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charts/chart2.xml" ContentType="application/vnd.openxmlformats-officedocument.drawingml.char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11.xml" ContentType="application/vnd.openxmlformats-officedocument.spreadsheetml.worksheet+xml"/>
  <Override PartName="/xl/charts/chart3.xml" ContentType="application/vnd.openxmlformats-officedocument.drawingml.char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16.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17.xml" ContentType="application/vnd.openxmlformats-officedocument.spreadsheetml.worksheet+xml"/>
  <Override PartName="/xl/calcChain.xml" ContentType="application/vnd.openxmlformats-officedocument.spreadsheetml.calcChain+xml"/>
  <Override PartName="/xl/metadata.xml" ContentType="application/vnd.openxmlformats-officedocument.spreadsheetml.sheetMetadata+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activeTab="14" windowHeight="15800" windowWidth="28040" xWindow="4240" yWindow="640"/>
  </bookViews>
  <sheets>
    <sheet name="Q1 TARGET PERSONAL LICENSE &amp; UM" sheetId="2" r:id="rId6"/>
    <sheet name="Q1 TARGET MAPID ACADEMY" sheetId="3" r:id="rId7"/>
    <sheet name="REMINDER EVENT" sheetId="4" r:id="rId8"/>
    <sheet name="REMINDER CONTENT" sheetId="5" r:id="rId9"/>
    <sheet name="Q1 Target Tracking B2C" sheetId="6" r:id="rId10"/>
    <sheet name="Q1 Target Tracking B2B" sheetId="7" r:id="rId11"/>
    <sheet name="Q2 Target Tracking B2C" sheetId="8" r:id="rId12"/>
    <sheet name="Q2 Target Tracking B2B" sheetId="9" r:id="rId13"/>
    <sheet name="DAILY STANDUP" sheetId="10" r:id="rId14"/>
    <sheet name="List Demo Call" sheetId="11" r:id="rId15"/>
    <sheet name="List FC" sheetId="12" r:id="rId16"/>
    <sheet name="CRM" sheetId="13" r:id="rId17"/>
    <sheet name="DOKUMEN PENTING" sheetId="14" r:id="rId18"/>
    <sheet name="Backlog List" sheetId="15" r:id="rId19"/>
    <sheet name="Data dari admin" sheetId="16" r:id="rId20"/>
    <sheet name="Sheet14" sheetId="17" r:id="rId2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1" i="3" a="true"/>
  <c r="G11" i="3" a="true"/>
  <c r="M11" i="3" a="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J3" authorId="0" shapeId="0" xr:uid="{a750f238-b5e3-497f-87cc-a787bab34c39}">
      <text>
        <r>
          <t>Community</t>
        </r>
      </text>
    </comment>
    <comment ref="AU155" authorId="0" shapeId="0" xr:uid="{b0be99a2-27b5-4d9b-988a-fdb48cb97c44}">
      <text>
        <r>
          <t xml:space="preserve">Cicilan ke 2</t>
        </r>
      </text>
    </comment>
    <comment ref="S38" authorId="0" shapeId="0" xr:uid="{8ac2e483-9a5d-4525-8b15-43f1cacb01eb}">
      <text>
        <r>
          <t xml:space="preserve">Warna ini= pendaftar dari Community</t>
        </r>
      </text>
    </comment>
    <comment ref="BB48" authorId="0" shapeId="0" xr:uid="{5e1d6ec1-d304-4dfc-b600-d10349a8087f}">
      <text>
        <r>
          <t xml:space="preserve">Ini bayarnya pake invoice manual digabung dengan ghinaa24 - telkomsat</t>
        </r>
      </text>
    </comment>
    <comment ref="AU63" authorId="0" shapeId="0" xr:uid="{64df0a86-fdc4-42d9-a4f7-fccda05bad81}">
      <text>
        <r>
          <t>Cicilan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tc={F507F972-3CA6-4DD4-9C63-755A3DDA7A57}</author>
  </authors>
  <commentList>
    <comment ref="B560" authorId="0" shapeId="0" xr:uid="{F507F972-3CA6-4DD4-9C63-755A3DDA7A57}">
      <text>
        <t>[Threaded comment] Your version of Excel allows you to read this threaded comment; however, any edits to it will get removed if the file is opened in a newer version of Excel. Learn more: https://go.microsoft.com/fwlink/?linkid=870924 Comment: @Muhammad Zhafran ini untuk monitoring tasknya ya fran, boleh diisi kira2 apa yang mau dilakukan di hari ini Reply: Copy Kak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tc={8042A443-A0B4-42D4-BDB6-BF24CA70E995}</author>
  </authors>
  <commentList>
    <comment ref="A13" authorId="0" shapeId="0" xr:uid="{8042A443-A0B4-42D4-BDB6-BF24CA70E995}">
      <text>
        <t>[Threaded comment] Your version of Excel allows you to read this threaded comment; however, any edits to it will get removed if the file is opened in a newer version of Excel. Learn more: https://go.microsoft.com/fwlink/?linkid=870924 Comment: Klien2 makanan yg udah subs Reply: Di block 71 bandung atau yg lainnya Reply: Food bazaar + umkm + talkshow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tc={FF4B5336-26C3-4F7B-AC50-307CB6E40A6D}</author>
    <author>tc={E208AD80-7AB9-4BBF-BD50-53F7DB865AD7}</author>
  </authors>
  <commentList>
    <comment ref="A1" authorId="0" shapeId="0" xr:uid="{FF4B5336-26C3-4F7B-AC50-307CB6E40A6D}">
      <text>
        <t>[Threaded comment] Your version of Excel allows you to read this threaded comment; however, any edits to it will get removed if the file is opened in a newer version of Excel. Learn more: https://go.microsoft.com/fwlink/?linkid=870924 Comment: @Dwi ini data dari admin yg wait purchase dan yg user baru ya Reply: Periode januari - februari Reply: Okee thankyou</t>
      </text>
    </comment>
    <comment ref="A2" authorId="1" shapeId="0" xr:uid="{E208AD80-7AB9-4BBF-BD50-53F7DB865AD7}">
      <text>
        <t>[Threaded comment] Your version of Excel allows you to read this threaded comment; however, any edits to it will get removed if the file is opened in a newer version of Excel. Learn more: https://go.microsoft.com/fwlink/?linkid=870924 Comment: @Dwi ini update terbaru user yg register di geo tapi belum beli ya Reply: Okee pak</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<sst xmlns="http://schemas.openxmlformats.org/spreadsheetml/2006/main" count="425" uniqueCount="425">
  <si>
    <t xml:space="preserve">  </t>
  </si>
  <si>
    <t/>
    <r>
      <rPr>
        <u/>
        <sz val="10.5"/>
        <color theme="10"/>
        <rFont val="Calibri"/>
        <family val="2"/>
      </rPr>
      <t>contact@mapid.co.id</t>
    </r>
  </si>
  <si>
    <t/>
    <r>
      <rPr>
        <u/>
        <sz val="9.75"/>
        <color theme="10"/>
        <rFont val="Calibri"/>
        <family val="2"/>
      </rPr>
      <t>contact@mapid.co.id</t>
    </r>
  </si>
  <si>
    <t/>
    <r>
      <rPr>
        <u/>
        <sz val="10.5"/>
        <color theme="10"/>
        <rFont val="Calibri"/>
        <family val="2"/>
      </rPr>
      <t>fhiqhia@gmail.com</t>
    </r>
  </si>
  <si>
    <t/>
    <r>
      <rPr>
        <u/>
        <sz val="10.5"/>
        <color theme="10"/>
        <rFont val="Calibri"/>
        <family val="2"/>
      </rPr>
      <t>rea.qinthara@stickearn.com</t>
    </r>
  </si>
  <si>
    <t/>
    <r>
      <rPr>
        <u/>
        <sz val="10.5"/>
        <color theme="10"/>
        <rFont val="Calibri"/>
        <family val="2"/>
      </rPr>
      <t>ghinaa24putri@gmail.com</t>
    </r>
  </si>
  <si>
    <t/>
    <r>
      <rPr>
        <u/>
        <sz val="10.5"/>
        <color theme="10"/>
        <rFont val="Calibri"/>
        <family val="2"/>
      </rPr>
      <t>gptinaja@gmail.com</t>
    </r>
  </si>
  <si>
    <t/>
    <r>
      <rPr>
        <u/>
        <sz val="10.5"/>
        <color theme="10"/>
        <rFont val="Calibri"/>
        <family val="2"/>
      </rPr>
      <t>nikmasupermap@gmail.com</t>
    </r>
  </si>
  <si>
    <t/>
    <r>
      <rPr>
        <u/>
        <sz val="9.75"/>
        <color theme="10"/>
        <rFont val="Calibri"/>
        <family val="2"/>
      </rPr>
      <t>nathanaelboyke11@gmail.com</t>
    </r>
  </si>
  <si>
    <t/>
    <r>
      <rPr>
        <u/>
        <sz val="12"/>
        <color theme="10"/>
        <rFont val="Calibri"/>
        <family val="2"/>
      </rPr>
      <t>sofyan.saugani@gmail.com</t>
    </r>
  </si>
  <si>
    <t/>
    <r>
      <rPr>
        <u/>
        <sz val="9.75"/>
        <color theme="10"/>
        <rFont val="Calibri"/>
        <family val="2"/>
      </rPr>
      <t>iibadurahman13@gmail.com</t>
    </r>
  </si>
  <si>
    <t/>
    <r>
      <rPr>
        <u/>
        <sz val="12"/>
        <color theme="10"/>
        <rFont val="Calibri"/>
        <family val="2"/>
      </rPr>
      <t>salinadhiya@gmail.com</t>
    </r>
  </si>
  <si>
    <t/>
    <r>
      <rPr>
        <u/>
        <sz val="9.75"/>
        <color theme="10"/>
        <rFont val="Calibri"/>
        <family val="2"/>
      </rPr>
      <t>Hasriatic@gmail.com</t>
    </r>
  </si>
  <si>
    <t/>
    <r>
      <rPr>
        <u/>
        <sz val="9.75"/>
        <color theme="10"/>
        <rFont val="Calibri"/>
        <family val="2"/>
      </rPr>
      <t>annisaputris001@gmail.com</t>
    </r>
  </si>
  <si>
    <t/>
    <r>
      <rPr>
        <u/>
        <sz val="9.75"/>
        <color theme="10"/>
        <rFont val="Calibri"/>
        <family val="2"/>
      </rPr>
      <t>rajwabalqisecha@gmail.com</t>
    </r>
  </si>
  <si>
    <t/>
    <r>
      <rPr>
        <u/>
        <sz val="10.5"/>
        <color theme="10"/>
        <rFont val="Calibri"/>
        <family val="2"/>
      </rPr>
      <t>hafshahbeta0107@gmail.com</t>
    </r>
  </si>
  <si>
    <t/>
    <r>
      <rPr>
        <u/>
        <sz val="12"/>
        <color theme="10"/>
        <rFont val="Calibri"/>
        <family val="2"/>
      </rPr>
      <t>aditaarifin40@gmail.com</t>
    </r>
  </si>
  <si>
    <t/>
    <r>
      <rPr>
        <u/>
        <sz val="12"/>
        <color theme="10"/>
        <rFont val="Calibri"/>
        <family val="2"/>
      </rPr>
      <t>mandaamr05@gmail.com</t>
    </r>
  </si>
  <si>
    <t/>
    <r>
      <rPr>
        <u/>
        <sz val="9.75"/>
        <color theme="10"/>
        <rFont val="Calibri"/>
        <family val="2"/>
      </rPr>
      <t>shabrinadivania124@gmail.com</t>
    </r>
  </si>
  <si>
    <t/>
    <r>
      <rPr>
        <u/>
        <sz val="9.75"/>
        <color theme="10"/>
        <rFont val="Calibri"/>
        <family val="2"/>
      </rPr>
      <t>amiliarizki101@gmail.com</t>
    </r>
  </si>
  <si>
    <t/>
    <r>
      <rPr>
        <u/>
        <sz val="12"/>
        <color theme="10"/>
        <rFont val="Calibri"/>
        <family val="2"/>
      </rPr>
      <t>gregorius.budi@gmail.com</t>
    </r>
  </si>
  <si>
    <t/>
    <r>
      <rPr>
        <u/>
        <sz val="12"/>
        <color theme="10"/>
        <rFont val="Calibri"/>
        <family val="2"/>
      </rPr>
      <t>agungwiibowo09@gmail.com</t>
    </r>
  </si>
  <si>
    <t/>
    <r>
      <rPr>
        <u/>
        <sz val="9.75"/>
        <color theme="10"/>
        <rFont val="Calibri"/>
        <family val="2"/>
      </rPr>
      <t>yasser.taufiq@gmail.com</t>
    </r>
  </si>
  <si>
    <t/>
    <r>
      <rPr>
        <u/>
        <sz val="12"/>
        <color theme="10"/>
        <rFont val="Calibri"/>
        <family val="2"/>
      </rPr>
      <t>naomiangelia@gmail.com</t>
    </r>
  </si>
  <si>
    <t/>
    <r>
      <rPr>
        <u/>
        <sz val="9.75"/>
        <color theme="10"/>
        <rFont val="Calibri"/>
        <family val="2"/>
      </rPr>
      <t>rivanajiwds@gmail.com</t>
    </r>
  </si>
  <si>
    <t/>
    <r>
      <rPr>
        <u/>
        <sz val="12"/>
        <color theme="10"/>
        <rFont val="Calibri"/>
        <family val="2"/>
      </rPr>
      <t>krissimbolon28@gmail.com</t>
    </r>
  </si>
  <si>
    <t/>
    <r>
      <rPr>
        <u/>
        <sz val="9.75"/>
        <color theme="10"/>
        <rFont val="Calibri"/>
        <family val="2"/>
      </rPr>
      <t>muhammadakmaltiantsauban@mail.ugm.ac.id</t>
    </r>
  </si>
  <si>
    <t/>
    <r>
      <rPr>
        <u/>
        <sz val="9.75"/>
        <color theme="10"/>
        <rFont val="Calibri"/>
        <family val="2"/>
      </rPr>
      <t>choirunnisanur2001@gmail.com</t>
    </r>
  </si>
  <si>
    <t/>
    <r>
      <rPr>
        <u/>
        <sz val="12"/>
        <color theme="10"/>
        <rFont val="Calibri"/>
        <family val="2"/>
      </rPr>
      <t>arafatrahmanafat19@gmail.com</t>
    </r>
  </si>
  <si>
    <t/>
    <r>
      <rPr>
        <u/>
        <sz val="9.75"/>
        <color theme="10"/>
        <rFont val="Calibri"/>
        <family val="2"/>
      </rPr>
      <t>gaditia744@gmail.com</t>
    </r>
  </si>
  <si>
    <t/>
    <r>
      <rPr>
        <u/>
        <sz val="12"/>
        <color theme="10"/>
        <rFont val="Calibri"/>
        <family val="2"/>
      </rPr>
      <t>Dagaadza8@gmail.com</t>
    </r>
  </si>
  <si>
    <t/>
    <r>
      <rPr>
        <u/>
        <sz val="12"/>
        <color theme="10"/>
        <rFont val="Calibri"/>
        <family val="2"/>
      </rPr>
      <t>fauziahshali01@gmail.com</t>
    </r>
  </si>
  <si>
    <t/>
    <r>
      <rPr>
        <u/>
        <sz val="12"/>
        <color theme="10"/>
        <rFont val="Calibri"/>
        <family val="2"/>
      </rPr>
      <t>salsa.atalieani02@gmail.com</t>
    </r>
  </si>
  <si>
    <t/>
    <r>
      <rPr>
        <u/>
        <sz val="9.75"/>
        <color theme="10"/>
        <rFont val="Calibri"/>
        <family val="2"/>
      </rPr>
      <t>anggie.bahrend12@gmail.com</t>
    </r>
  </si>
  <si>
    <t/>
    <r>
      <rPr>
        <u/>
        <sz val="9.75"/>
        <color theme="10"/>
        <rFont val="Calibri"/>
        <family val="2"/>
      </rPr>
      <t>fathauli@gmail.com</t>
    </r>
  </si>
  <si>
    <t/>
    <r>
      <rPr>
        <u/>
        <sz val="9.75"/>
        <color theme="10"/>
        <rFont val="Calibri"/>
        <family val="2"/>
      </rPr>
      <t>ameliaherawati082@gmail.com</t>
    </r>
  </si>
  <si>
    <t/>
    <r>
      <rPr>
        <u/>
        <sz val="9.75"/>
        <color theme="10"/>
        <rFont val="Calibri"/>
        <family val="2"/>
      </rPr>
      <t>fauzan1812@gmail.com</t>
    </r>
  </si>
  <si>
    <t/>
    <r>
      <rPr>
        <u/>
        <sz val="12"/>
        <color theme="10"/>
        <rFont val="Calibri"/>
        <family val="2"/>
      </rPr>
      <t>maritsakamilah@gmail.com</t>
    </r>
  </si>
  <si>
    <t/>
    <r>
      <rPr>
        <u/>
        <sz val="9.75"/>
        <color theme="10"/>
        <rFont val="Calibri"/>
        <family val="2"/>
      </rPr>
      <t>samirafebrita3@gmail.com</t>
    </r>
  </si>
  <si>
    <t/>
    <r>
      <rPr>
        <u/>
        <sz val="12"/>
        <color theme="10"/>
        <rFont val="Calibri"/>
        <family val="2"/>
      </rPr>
      <t>Mfahrimfs96@gmail.com</t>
    </r>
  </si>
  <si>
    <t/>
    <r>
      <rPr>
        <u/>
        <sz val="12"/>
        <color theme="10"/>
        <rFont val="Calibri"/>
        <family val="2"/>
      </rPr>
      <t>danangajionoe@gmail.com</t>
    </r>
  </si>
  <si>
    <t/>
    <r>
      <rPr>
        <u/>
        <sz val="9.75"/>
        <color theme="10"/>
        <rFont val="Calibri"/>
        <family val="2"/>
      </rPr>
      <t>mams15011990@gmail.com</t>
    </r>
  </si>
  <si>
    <t/>
    <r>
      <rPr>
        <u/>
        <sz val="9.75"/>
        <color theme="10"/>
        <rFont val="Calibri"/>
        <family val="2"/>
      </rPr>
      <t>salmamuvidayanti@gmail.com</t>
    </r>
  </si>
  <si>
    <t/>
    <r>
      <rPr>
        <u/>
        <sz val="12"/>
        <color theme="10"/>
        <rFont val="Calibri"/>
        <family val="2"/>
      </rPr>
      <t>haurazkaa@gmail.com</t>
    </r>
  </si>
  <si>
    <t/>
    <r>
      <rPr>
        <u/>
        <sz val="9.75"/>
        <color theme="10"/>
        <rFont val="Calibri"/>
        <family val="2"/>
      </rPr>
      <t>ichfanmaulana7@gmail.com</t>
    </r>
  </si>
  <si>
    <t/>
    <r>
      <rPr>
        <u/>
        <sz val="9.75"/>
        <color theme="10"/>
        <rFont val="Calibri"/>
        <family val="2"/>
      </rPr>
      <t>yohanesgerardushagazai@gmail.com</t>
    </r>
  </si>
  <si>
    <t/>
    <r>
      <rPr>
        <u/>
        <sz val="12"/>
        <color theme="10"/>
        <rFont val="Calibri"/>
        <family val="2"/>
      </rPr>
      <t>nadhiaferra2405@gmail.com</t>
    </r>
  </si>
  <si>
    <t/>
    <r>
      <rPr>
        <u/>
        <sz val="12"/>
        <color theme="10"/>
        <rFont val="Calibri"/>
        <family val="2"/>
      </rPr>
      <t>gsaud111@gmail.com</t>
    </r>
  </si>
  <si>
    <t/>
    <r>
      <rPr>
        <u/>
        <sz val="9.75"/>
        <color theme="10"/>
        <rFont val="Calibri"/>
        <family val="2"/>
      </rPr>
      <t>aldamutiara1122@gmail.com</t>
    </r>
  </si>
  <si>
    <t/>
    <r>
      <rPr>
        <u/>
        <sz val="12"/>
        <color theme="10"/>
        <rFont val="Calibri"/>
        <family val="2"/>
      </rPr>
      <t>dimsprstyo@gmail.com</t>
    </r>
  </si>
  <si>
    <t/>
    <r>
      <rPr>
        <u/>
        <sz val="10.5"/>
        <color theme="10"/>
        <rFont val="Calibri"/>
        <family val="2"/>
      </rPr>
      <t>delabintang23yahoo@gmail.com</t>
    </r>
  </si>
  <si>
    <t/>
    <r>
      <rPr>
        <u/>
        <sz val="10.5"/>
        <color theme="10"/>
        <rFont val="Calibri"/>
        <family val="2"/>
      </rPr>
      <t>nadhia.ferlia2403@mail.ugm.ac.id</t>
    </r>
  </si>
  <si>
    <t/>
    <r>
      <rPr>
        <u/>
        <sz val="9.75"/>
        <color theme="10"/>
        <rFont val="Calibri"/>
        <family val="2"/>
      </rPr>
      <t>harnisyahaziz2301@gmail.com</t>
    </r>
  </si>
  <si>
    <t/>
    <r>
      <rPr>
        <u/>
        <sz val="9.75"/>
        <color theme="10"/>
        <rFont val="Calibri"/>
        <family val="2"/>
      </rPr>
      <t>nabilanahdatul@gmail.com</t>
    </r>
  </si>
  <si>
    <t/>
    <r>
      <rPr>
        <u/>
        <sz val="9.75"/>
        <color theme="10"/>
        <rFont val="Calibri"/>
        <family val="2"/>
      </rPr>
      <t>brandonlsantosa@gmail.com</t>
    </r>
  </si>
  <si>
    <t/>
    <r>
      <rPr>
        <u/>
        <sz val="10.5"/>
        <color theme="10"/>
        <rFont val="Calibri"/>
        <family val="2"/>
      </rPr>
      <t>justinchristian352@gmail.com</t>
    </r>
  </si>
  <si>
    <t/>
    <r>
      <rPr>
        <u/>
        <sz val="12"/>
        <color theme="10"/>
        <rFont val="Calibri"/>
        <family val="2"/>
      </rPr>
      <t>aliiyadanishh@gmail.com</t>
    </r>
  </si>
  <si>
    <t/>
    <r>
      <rPr>
        <u/>
        <sz val="10.5"/>
        <color theme="10"/>
        <rFont val="Calibri"/>
        <family val="2"/>
      </rPr>
      <t>mardjanomaika@gmail.com</t>
    </r>
  </si>
  <si>
    <t/>
    <r>
      <rPr>
        <u/>
        <sz val="9.75"/>
        <color theme="10"/>
        <rFont val="Calibri"/>
        <family val="2"/>
      </rPr>
      <t>benedictusokapr@gmail.com</t>
    </r>
  </si>
  <si>
    <t/>
    <r>
      <rPr>
        <u/>
        <sz val="9.75"/>
        <color theme="10"/>
        <rFont val="Calibri"/>
        <family val="2"/>
      </rPr>
      <t>zilzilfauzil@gmail.com</t>
    </r>
  </si>
  <si>
    <t/>
    <r>
      <rPr>
        <u/>
        <sz val="9.75"/>
        <color theme="10"/>
        <rFont val="Calibri"/>
        <family val="2"/>
      </rPr>
      <t>farid.lecture154@gmail.com</t>
    </r>
  </si>
  <si>
    <t/>
    <r>
      <rPr>
        <u/>
        <sz val="12"/>
        <color theme="10"/>
        <rFont val="Calibri"/>
        <family val="2"/>
      </rPr>
      <t>hakiimalan@gmail.com</t>
    </r>
  </si>
  <si>
    <t/>
    <r>
      <rPr>
        <u/>
        <sz val="10.5"/>
        <color theme="10"/>
        <rFont val="Calibri"/>
        <family val="2"/>
      </rPr>
      <t>arieffauzy99@gmail.com</t>
    </r>
  </si>
  <si>
    <t/>
    <r>
      <rPr>
        <u/>
        <sz val="10.5"/>
        <color theme="10"/>
        <rFont val="Calibri"/>
        <family val="2"/>
      </rPr>
      <t>irfanfirdaus990@gmail.com</t>
    </r>
  </si>
  <si>
    <t/>
    <r>
      <rPr>
        <u/>
        <sz val="10.5"/>
        <color theme="10"/>
        <rFont val="Calibri"/>
        <family val="2"/>
      </rPr>
      <t>alfandysb2000@gmail.com</t>
    </r>
  </si>
  <si>
    <t/>
    <r>
      <rPr>
        <u/>
        <sz val="10.5"/>
        <color theme="10"/>
        <rFont val="Calibri"/>
        <family val="2"/>
      </rPr>
      <t>anwardeedat17@gmail.com</t>
    </r>
  </si>
  <si>
    <t/>
    <r>
      <rPr>
        <u/>
        <sz val="12"/>
        <color theme="10"/>
        <rFont val="Calibri"/>
        <family val="2"/>
      </rPr>
      <t>fazamfaris@gmail.com</t>
    </r>
  </si>
  <si>
    <t/>
    <r>
      <rPr>
        <u/>
        <sz val="9.75"/>
        <color theme="10"/>
        <rFont val="Calibri"/>
        <family val="2"/>
      </rPr>
      <t>novaldoramzis@gmail.com</t>
    </r>
  </si>
  <si>
    <t/>
    <r>
      <rPr>
        <u/>
        <sz val="10.5"/>
        <color theme="10"/>
        <rFont val="Calibri"/>
        <family val="2"/>
      </rPr>
      <t>ekamr16@gmail.com</t>
    </r>
  </si>
  <si>
    <t/>
    <r>
      <rPr>
        <u/>
        <sz val="9.75"/>
        <color theme="10"/>
        <rFont val="Calibri"/>
        <family val="2"/>
      </rPr>
      <t>muhammadramadana@yahoo.com</t>
    </r>
  </si>
  <si>
    <t/>
    <r>
      <rPr>
        <u/>
        <sz val="12"/>
        <color theme="10"/>
        <rFont val="Calibri"/>
        <family val="2"/>
      </rPr>
      <t>Aqillafitdhea00@gmail.com</t>
    </r>
  </si>
  <si>
    <t/>
    <r>
      <rPr>
        <u/>
        <sz val="10.5"/>
        <color theme="10"/>
        <rFont val="Calibri"/>
        <family val="2"/>
      </rPr>
      <t>karir.hafidh@gmail.com</t>
    </r>
  </si>
  <si>
    <t/>
    <r>
      <rPr>
        <u/>
        <sz val="12"/>
        <color theme="10"/>
        <rFont val="Calibri"/>
        <family val="2"/>
      </rPr>
      <t>khoirulrizki79@gmail.com</t>
    </r>
  </si>
  <si>
    <t/>
    <r>
      <rPr>
        <u/>
        <sz val="10.5"/>
        <color theme="10"/>
        <rFont val="Calibri"/>
        <family val="2"/>
      </rPr>
      <t>mutiara.saragi2006@gmail.com</t>
    </r>
  </si>
  <si>
    <t/>
    <r>
      <rPr>
        <u/>
        <sz val="9.75"/>
        <color theme="10"/>
        <rFont val="Calibri"/>
        <family val="2"/>
      </rPr>
      <t>hasanachmad571@gmail.com</t>
    </r>
  </si>
  <si>
    <t/>
    <r>
      <rPr>
        <u/>
        <sz val="9.75"/>
        <color theme="10"/>
        <rFont val="Calibri"/>
        <family val="2"/>
      </rPr>
      <t>azmansihab@gmail.com</t>
    </r>
  </si>
  <si>
    <t/>
    <r>
      <rPr>
        <u/>
        <sz val="10.5"/>
        <color theme="10"/>
        <rFont val="Calibri"/>
        <family val="2"/>
      </rPr>
      <t>mams15011990@gmail.com</t>
    </r>
  </si>
  <si>
    <t/>
    <r>
      <rPr>
        <u/>
        <sz val="9.75"/>
        <color theme="10"/>
        <rFont val="Calibri"/>
        <family val="2"/>
      </rPr>
      <t>hiqmalalkhadafi@apps.ipb.ac.id</t>
    </r>
  </si>
  <si>
    <t/>
    <r>
      <rPr>
        <u/>
        <sz val="12"/>
        <color theme="10"/>
        <rFont val="Calibri"/>
        <family val="2"/>
      </rPr>
      <t>jochiephu23@gmail.com</t>
    </r>
  </si>
  <si>
    <t/>
    <r>
      <rPr>
        <u/>
        <sz val="10.5"/>
        <color theme="10"/>
        <rFont val="Calibri"/>
        <family val="2"/>
      </rPr>
      <t>Aqillafitdhea00@gmail.com</t>
    </r>
  </si>
  <si>
    <t/>
    <r>
      <rPr>
        <u/>
        <sz val="12"/>
        <color theme="10"/>
        <rFont val="Calibri"/>
        <family val="2"/>
      </rPr>
      <t>khrisnadharma10@gmail.com</t>
    </r>
  </si>
  <si>
    <t/>
    <r>
      <rPr>
        <u/>
        <sz val="9.75"/>
        <color theme="10"/>
        <rFont val="Calibri"/>
        <family val="2"/>
      </rPr>
      <t>antonimadyasiahaan@gmail.com</t>
    </r>
  </si>
  <si>
    <t/>
    <r>
      <rPr>
        <u/>
        <sz val="9.75"/>
        <color theme="10"/>
        <rFont val="Calibri"/>
        <family val="2"/>
      </rPr>
      <t>dimasriyanhidayat01@gmail.com</t>
    </r>
  </si>
  <si>
    <t/>
    <r>
      <rPr>
        <u/>
        <sz val="12"/>
        <color theme="10"/>
        <rFont val="Calibri"/>
        <family val="2"/>
      </rPr>
      <t>farouqmatondang@gmail.com</t>
    </r>
  </si>
  <si>
    <t/>
    <r>
      <rPr>
        <u/>
        <sz val="9.75"/>
        <color theme="10"/>
        <rFont val="Calibri"/>
        <family val="2"/>
      </rPr>
      <t>Selamathariyadi42@gmail.com</t>
    </r>
  </si>
  <si>
    <t/>
    <r>
      <rPr>
        <u/>
        <sz val="12"/>
        <color theme="10"/>
        <rFont val="Calibri"/>
        <family val="2"/>
      </rPr>
      <t>raniadaniswara87@gmail.com</t>
    </r>
  </si>
  <si>
    <t/>
    <r>
      <rPr>
        <u/>
        <sz val="9.75"/>
        <color theme="10"/>
        <rFont val="Calibri"/>
        <family val="2"/>
      </rPr>
      <t>msnramadhoni@gmail.com</t>
    </r>
  </si>
  <si>
    <t/>
    <r>
      <rPr>
        <u/>
        <sz val="12"/>
        <color theme="10"/>
        <rFont val="Calibri"/>
        <family val="2"/>
      </rPr>
      <t>salmanwilmart29@gmail.com</t>
    </r>
  </si>
  <si>
    <t/>
    <r>
      <rPr>
        <u/>
        <sz val="10.5"/>
        <color theme="10"/>
        <rFont val="Calibri"/>
        <family val="2"/>
      </rPr>
      <t>nabilanahdatul@gmail.com</t>
    </r>
  </si>
  <si>
    <t/>
    <r>
      <rPr>
        <u/>
        <sz val="10.5"/>
        <color theme="10"/>
        <rFont val="Calibri"/>
        <family val="2"/>
      </rPr>
      <t>adaniebrilliant@gmail.com</t>
    </r>
  </si>
  <si>
    <t/>
    <r>
      <rPr>
        <u/>
        <sz val="12"/>
        <color theme="10"/>
        <rFont val="Calibri"/>
        <family val="2"/>
      </rPr>
      <t>suryapranataamiconi@gmail.com</t>
    </r>
  </si>
  <si>
    <t/>
    <r>
      <rPr>
        <u/>
        <sz val="9.75"/>
        <color theme="10"/>
        <rFont val="Calibri"/>
        <family val="2"/>
      </rPr>
      <t>Alfianrizkyr@gmail.com</t>
    </r>
  </si>
  <si>
    <t/>
    <r>
      <rPr>
        <u/>
        <sz val="12"/>
        <color theme="10"/>
        <rFont val="Calibri"/>
        <family val="2"/>
      </rPr>
      <t>azizahnasywa27@gmail.com</t>
    </r>
  </si>
  <si>
    <t/>
    <r>
      <rPr>
        <u/>
        <sz val="10.5"/>
        <color theme="10"/>
        <rFont val="Calibri"/>
        <family val="2"/>
      </rPr>
      <t>upikmaulvi2002@gmail.com</t>
    </r>
  </si>
  <si>
    <t/>
    <r>
      <rPr>
        <u/>
        <sz val="10.5"/>
        <color theme="10"/>
        <rFont val="Calibri"/>
        <family val="2"/>
      </rPr>
      <t>anisnabilatun03@gmail.com</t>
    </r>
  </si>
  <si>
    <t/>
    <r>
      <rPr>
        <u/>
        <sz val="9.75"/>
        <color theme="10"/>
        <rFont val="Calibri"/>
        <family val="2"/>
      </rPr>
      <t>muammar.khadafhi2@gmail.com</t>
    </r>
  </si>
  <si>
    <t/>
    <r>
      <rPr>
        <u/>
        <sz val="12"/>
        <color theme="10"/>
        <rFont val="Calibri"/>
        <family val="2"/>
      </rPr>
      <t>muzakia.azzahra@gmail.com</t>
    </r>
  </si>
  <si>
    <t/>
    <r>
      <rPr>
        <u/>
        <sz val="9.75"/>
        <color theme="10"/>
        <rFont val="Calibri"/>
        <family val="2"/>
      </rPr>
      <t>revalia142@gmail.com</t>
    </r>
  </si>
  <si>
    <t/>
    <r>
      <rPr>
        <u/>
        <sz val="10.5"/>
        <color theme="10"/>
        <rFont val="Calibri"/>
        <family val="2"/>
      </rPr>
      <t>ziadbwdn@gmail.com</t>
    </r>
  </si>
  <si>
    <t/>
    <r>
      <rPr>
        <u/>
        <sz val="10.5"/>
        <color theme="10"/>
        <rFont val="Calibri"/>
        <family val="2"/>
      </rPr>
      <t>alifahhanif123@gmail.com</t>
    </r>
  </si>
  <si>
    <t/>
    <r>
      <rPr>
        <u/>
        <sz val="12"/>
        <color theme="10"/>
        <rFont val="Calibri"/>
        <family val="2"/>
      </rPr>
      <t>cysitompul@gmail.com</t>
    </r>
  </si>
  <si>
    <t/>
    <r>
      <rPr>
        <u/>
        <sz val="9.75"/>
        <color theme="10"/>
        <rFont val="Calibri"/>
        <family val="2"/>
      </rPr>
      <t>yunitaenzelinasilaban@gmail.com</t>
    </r>
  </si>
  <si>
    <t/>
    <r>
      <rPr>
        <u/>
        <sz val="9.75"/>
        <color theme="10"/>
        <rFont val="Calibri"/>
        <family val="2"/>
      </rPr>
      <t>alfahutan15@gmail.com</t>
    </r>
  </si>
  <si>
    <t/>
    <r>
      <rPr>
        <u/>
        <sz val="10.5"/>
        <color theme="10"/>
        <rFont val="Calibri"/>
        <family val="2"/>
      </rPr>
      <t>radityaariyanto28@gmail.com</t>
    </r>
  </si>
  <si>
    <t/>
    <r>
      <rPr>
        <u/>
        <sz val="10.5"/>
        <color theme="10"/>
        <rFont val="Calibri"/>
        <family val="2"/>
      </rPr>
      <t>raihanherdiansyah09@gmail.com</t>
    </r>
  </si>
  <si>
    <t/>
    <r>
      <rPr>
        <u/>
        <sz val="12"/>
        <color theme="10"/>
        <rFont val="Calibri"/>
        <family val="2"/>
      </rPr>
      <t>fabyyudha21@gmail.com</t>
    </r>
  </si>
  <si>
    <t/>
    <r>
      <rPr>
        <u/>
        <sz val="9.75"/>
        <color theme="10"/>
        <rFont val="Calibri"/>
        <family val="2"/>
      </rPr>
      <t>Lutfifirdaus4@gmail.com</t>
    </r>
  </si>
  <si>
    <t/>
    <r>
      <rPr>
        <u/>
        <sz val="9.75"/>
        <color theme="10"/>
        <rFont val="Calibri"/>
        <family val="2"/>
      </rPr>
      <t>devidamayanti488@gmail.com</t>
    </r>
  </si>
  <si>
    <t/>
    <r>
      <rPr>
        <u/>
        <sz val="9.75"/>
        <color theme="10"/>
        <rFont val="Calibri"/>
        <family val="2"/>
      </rPr>
      <t>ranastasya90@gmail.com</t>
    </r>
  </si>
  <si>
    <t/>
    <r>
      <rPr>
        <u/>
        <sz val="10.5"/>
        <color theme="10"/>
        <rFont val="Calibri"/>
        <family val="2"/>
      </rPr>
      <t>mddchh617@gmail.com</t>
    </r>
  </si>
  <si>
    <t/>
    <r>
      <rPr>
        <u/>
        <sz val="10.5"/>
        <color theme="10"/>
        <rFont val="Calibri"/>
        <family val="2"/>
      </rPr>
      <t>dediraihan5@gmail.com</t>
    </r>
  </si>
  <si>
    <t/>
    <r>
      <rPr>
        <u/>
        <sz val="9.75"/>
        <color theme="10"/>
        <rFont val="Calibri"/>
        <family val="2"/>
      </rPr>
      <t>sanjung.develop@gmail.com</t>
    </r>
  </si>
  <si>
    <t/>
    <r>
      <rPr>
        <u/>
        <sz val="9.75"/>
        <color theme="10"/>
        <rFont val="Calibri"/>
        <family val="2"/>
      </rPr>
      <t>azerpd91@gmail.com</t>
    </r>
  </si>
  <si>
    <t/>
    <r>
      <rPr>
        <u/>
        <sz val="10.5"/>
        <color theme="10"/>
        <rFont val="Calibri"/>
        <family val="2"/>
      </rPr>
      <t>angelinakirana10@gmail.com</t>
    </r>
  </si>
  <si>
    <t/>
    <r>
      <rPr>
        <u/>
        <sz val="10.5"/>
        <color theme="10"/>
        <rFont val="Calibri"/>
        <family val="2"/>
      </rPr>
      <t>abafajar2@gmail.com</t>
    </r>
  </si>
  <si>
    <t/>
    <r>
      <rPr>
        <u/>
        <sz val="9.75"/>
        <color theme="10"/>
        <rFont val="Calibri"/>
        <family val="2"/>
      </rPr>
      <t>fathurali942@gmail.com</t>
    </r>
  </si>
  <si>
    <t/>
    <r>
      <rPr>
        <u/>
        <sz val="9.75"/>
        <color theme="10"/>
        <rFont val="Calibri"/>
        <family val="2"/>
      </rPr>
      <t>Wenniamelia32@gmail.com</t>
    </r>
  </si>
  <si>
    <t/>
    <r>
      <rPr>
        <u/>
        <sz val="10.5"/>
        <color theme="10"/>
        <rFont val="Calibri"/>
        <family val="2"/>
      </rPr>
      <t>rmrisyad@gmail.com</t>
    </r>
  </si>
  <si>
    <t/>
    <r>
      <rPr>
        <u/>
        <sz val="9.75"/>
        <color theme="10"/>
        <rFont val="Calibri"/>
        <family val="2"/>
      </rPr>
      <t>zahran.sofyanfalahudin95@gmail.com</t>
    </r>
  </si>
  <si>
    <t/>
    <r>
      <rPr>
        <u/>
        <sz val="12"/>
        <color theme="10"/>
        <rFont val="Calibri"/>
        <family val="2"/>
      </rPr>
      <t>driveresy@gmail.com</t>
    </r>
  </si>
  <si>
    <t/>
    <r>
      <rPr>
        <u/>
        <sz val="10.5"/>
        <color theme="10"/>
        <rFont val="Calibri"/>
        <family val="2"/>
      </rPr>
      <t>awisnuf@gmail.com</t>
    </r>
  </si>
  <si>
    <t/>
    <r>
      <rPr>
        <u/>
        <sz val="12"/>
        <color theme="10"/>
        <rFont val="Calibri"/>
        <family val="2"/>
      </rPr>
      <t>akbarramanda99@gmail.com</t>
    </r>
  </si>
  <si>
    <t/>
    <r>
      <rPr>
        <u/>
        <sz val="10.5"/>
        <color theme="10"/>
        <rFont val="Calibri"/>
        <family val="2"/>
      </rPr>
      <t>tiarma.pane@gmail.com</t>
    </r>
  </si>
  <si>
    <t/>
    <r>
      <rPr>
        <u/>
        <sz val="10.5"/>
        <color theme="10"/>
        <rFont val="Calibri"/>
        <family val="2"/>
      </rPr>
      <t>paret.sanjaka@gmail.com</t>
    </r>
  </si>
  <si>
    <t/>
    <r>
      <rPr>
        <u/>
        <sz val="9.75"/>
        <color theme="10"/>
        <rFont val="Calibri"/>
        <family val="2"/>
      </rPr>
      <t>raytamboenan@gmail.com</t>
    </r>
  </si>
  <si>
    <t/>
    <r>
      <rPr>
        <u/>
        <sz val="9.75"/>
        <color theme="10"/>
        <rFont val="Calibri"/>
        <family val="2"/>
      </rPr>
      <t>rahmatulmaulana28112004@gmail.com</t>
    </r>
  </si>
  <si>
    <t/>
    <r>
      <rPr>
        <u/>
        <sz val="12"/>
        <color theme="10"/>
        <rFont val="Calibri"/>
        <family val="2"/>
      </rPr>
      <t>tasyava7@gmail.com</t>
    </r>
  </si>
  <si>
    <t/>
    <r>
      <rPr>
        <u/>
        <sz val="9.75"/>
        <color theme="10"/>
        <rFont val="Calibri"/>
        <family val="2"/>
      </rPr>
      <t>riskaayu434@gmail.com</t>
    </r>
  </si>
  <si>
    <t/>
    <r>
      <rPr>
        <u/>
        <sz val="12"/>
        <color theme="10"/>
        <rFont val="Calibri"/>
        <family val="2"/>
      </rPr>
      <t>arnabila76@gmail.com</t>
    </r>
  </si>
  <si>
    <t/>
    <r>
      <rPr>
        <u/>
        <sz val="10.5"/>
        <color theme="10"/>
        <rFont val="Calibri"/>
        <family val="2"/>
      </rPr>
      <t>dillah.fn@gmail.com</t>
    </r>
  </si>
  <si>
    <t/>
    <r>
      <rPr>
        <u/>
        <sz val="9.75"/>
        <color theme="10"/>
        <rFont val="Calibri"/>
        <family val="2"/>
      </rPr>
      <t>titoadityaurama@gmail.com</t>
    </r>
  </si>
  <si>
    <t/>
    <r>
      <rPr>
        <u/>
        <sz val="12"/>
        <color theme="10"/>
        <rFont val="Calibri"/>
        <family val="2"/>
      </rPr>
      <t>triyadijasmine3@gmail.com</t>
    </r>
  </si>
  <si>
    <t/>
    <r>
      <rPr>
        <u/>
        <sz val="10.5"/>
        <color theme="10"/>
        <rFont val="Calibri"/>
        <family val="2"/>
      </rPr>
      <t>isnainineni15@gmail.com</t>
    </r>
  </si>
  <si>
    <t/>
    <r>
      <rPr>
        <u/>
        <sz val="12"/>
        <color theme="10"/>
        <rFont val="Calibri"/>
        <family val="2"/>
      </rPr>
      <t>abafajar2@gmail.com</t>
    </r>
  </si>
  <si>
    <t/>
    <r>
      <rPr>
        <u/>
        <sz val="10.5"/>
        <color theme="10"/>
        <rFont val="Calibri"/>
        <family val="2"/>
      </rPr>
      <t>rafiteguh6@gmail.com</t>
    </r>
  </si>
  <si>
    <t/>
    <r>
      <rPr>
        <u/>
        <sz val="9.75"/>
        <color theme="10"/>
        <rFont val="Calibri"/>
        <family val="2"/>
      </rPr>
      <t>jksabdana@gmail.com</t>
    </r>
  </si>
  <si>
    <t/>
    <r>
      <rPr>
        <u/>
        <sz val="9.75"/>
        <color theme="10"/>
        <rFont val="Calibri"/>
        <family val="2"/>
      </rPr>
      <t>danyyramadhann@gmail.com</t>
    </r>
  </si>
  <si>
    <t/>
    <r>
      <rPr>
        <u/>
        <sz val="12"/>
        <color theme="10"/>
        <rFont val="Calibri"/>
        <family val="2"/>
      </rPr>
      <t>hafshahbeta0107@gmail.com</t>
    </r>
  </si>
  <si>
    <t/>
    <r>
      <rPr>
        <u/>
        <sz val="10.5"/>
        <color theme="10"/>
        <rFont val="Calibri"/>
        <family val="2"/>
      </rPr>
      <t>Athaisyah@yahoo.com</t>
    </r>
  </si>
  <si>
    <t/>
    <r>
      <rPr>
        <u/>
        <sz val="9.75"/>
        <color theme="10"/>
        <rFont val="Calibri"/>
        <family val="2"/>
      </rPr>
      <t>Nh27723@gmail.com</t>
    </r>
  </si>
  <si>
    <t/>
    <r>
      <rPr>
        <u/>
        <sz val="12"/>
        <color theme="10"/>
        <rFont val="Calibri"/>
        <family val="2"/>
      </rPr>
      <t>rahmaliasafitri06@gmail.com</t>
    </r>
  </si>
  <si>
    <t/>
    <r>
      <rPr>
        <u/>
        <sz val="10.5"/>
        <color theme="10"/>
        <rFont val="Calibri"/>
        <family val="2"/>
      </rPr>
      <t>radjaadzka18@gmail.com</t>
    </r>
  </si>
  <si>
    <t/>
    <r>
      <rPr>
        <u/>
        <sz val="9.75"/>
        <color theme="10"/>
        <rFont val="Calibri"/>
        <family val="2"/>
      </rPr>
      <t>harianto.ikel13@gmail.com</t>
    </r>
  </si>
  <si>
    <t/>
    <r>
      <rPr>
        <u/>
        <sz val="12"/>
        <color theme="10"/>
        <rFont val="Calibri"/>
        <family val="2"/>
      </rPr>
      <t>budiandresy@gmail.com</t>
    </r>
  </si>
  <si>
    <t/>
    <r>
      <rPr>
        <u/>
        <sz val="9.75"/>
        <color theme="10"/>
        <rFont val="Calibri"/>
        <family val="2"/>
      </rPr>
      <t>ninditaeka@gmail.com</t>
    </r>
  </si>
  <si>
    <t/>
    <r>
      <rPr>
        <u/>
        <sz val="10.5"/>
        <color theme="10"/>
        <rFont val="Calibri"/>
        <family val="2"/>
      </rPr>
      <t>aryaaryaweda19@gmail.com</t>
    </r>
  </si>
  <si>
    <t/>
    <r>
      <rPr>
        <u/>
        <sz val="10.5"/>
        <color theme="10"/>
        <rFont val="Calibri"/>
        <family val="2"/>
      </rPr>
      <t>arafatrahmanafat19@gmail.com</t>
    </r>
  </si>
  <si>
    <t/>
    <r>
      <rPr>
        <u/>
        <sz val="12"/>
        <color theme="10"/>
        <rFont val="Calibri"/>
        <family val="2"/>
      </rPr>
      <t>rmrisyad@gmail.com</t>
    </r>
  </si>
  <si>
    <t/>
    <r>
      <rPr>
        <u/>
        <sz val="9.75"/>
        <color theme="10"/>
        <rFont val="Calibri"/>
        <family val="2"/>
      </rPr>
      <t>yasminmhaliza24@gmail.com</t>
    </r>
  </si>
  <si>
    <t/>
    <r>
      <rPr>
        <u/>
        <sz val="12"/>
        <color theme="10"/>
        <rFont val="Calibri"/>
        <family val="2"/>
      </rPr>
      <t>ahmadfauzi.habibi@gmail.com</t>
    </r>
  </si>
  <si>
    <t/>
    <r>
      <rPr>
        <u/>
        <sz val="10.5"/>
        <color theme="10"/>
        <rFont val="Calibri"/>
        <family val="2"/>
      </rPr>
      <t>maritsakamilah@gmail.com</t>
    </r>
  </si>
  <si>
    <t/>
    <r>
      <rPr>
        <u/>
        <sz val="12"/>
        <color theme="10"/>
        <rFont val="Calibri"/>
        <family val="2"/>
      </rPr>
      <t>radiwanh@gmail.com</t>
    </r>
  </si>
  <si>
    <t/>
    <r>
      <rPr>
        <u/>
        <sz val="10.5"/>
        <color theme="10"/>
        <rFont val="Calibri"/>
        <family val="2"/>
      </rPr>
      <t>hanifibfaj94@gmail.com</t>
    </r>
  </si>
  <si>
    <t/>
    <r>
      <rPr>
        <u/>
        <sz val="9.75"/>
        <color theme="10"/>
        <rFont val="Calibri"/>
        <family val="2"/>
      </rPr>
      <t>nukiadit@gmail.com</t>
    </r>
  </si>
  <si>
    <t/>
    <r>
      <rPr>
        <u/>
        <sz val="9.75"/>
        <color theme="10"/>
        <rFont val="Calibri"/>
        <family val="2"/>
      </rPr>
      <t>bastensitinjak9@gmail.com</t>
    </r>
  </si>
  <si>
    <t/>
    <r>
      <rPr>
        <u/>
        <sz val="12"/>
        <color theme="10"/>
        <rFont val="Calibri"/>
        <family val="2"/>
      </rPr>
      <t>zahirahmad0905@gmail.com</t>
    </r>
  </si>
  <si>
    <t/>
    <r>
      <rPr>
        <u/>
        <sz val="10.5"/>
        <color theme="10"/>
        <rFont val="Calibri"/>
        <family val="2"/>
      </rPr>
      <t>fidyampdrg@gmail.com</t>
    </r>
  </si>
  <si>
    <t/>
    <r>
      <rPr>
        <u/>
        <sz val="10.5"/>
        <color theme="10"/>
        <rFont val="Calibri"/>
        <family val="2"/>
      </rPr>
      <t>haurazkaa@gmail.com</t>
    </r>
  </si>
  <si>
    <t/>
    <r>
      <rPr>
        <u/>
        <sz val="12"/>
        <color theme="10"/>
        <rFont val="Calibri"/>
        <family val="2"/>
      </rPr>
      <t>irfanfirdaus990@gmail.com</t>
    </r>
  </si>
  <si>
    <t/>
    <r>
      <rPr>
        <u/>
        <sz val="9.75"/>
        <color theme="10"/>
        <rFont val="Calibri"/>
        <family val="2"/>
      </rPr>
      <t>walibatara9@gmail.com</t>
    </r>
  </si>
  <si>
    <t/>
    <r>
      <rPr>
        <u/>
        <sz val="12"/>
        <color theme="10"/>
        <rFont val="Calibri"/>
        <family val="2"/>
      </rPr>
      <t>nengahsuwirya6@gmail.com</t>
    </r>
  </si>
  <si>
    <t/>
    <r>
      <rPr>
        <u/>
        <sz val="12"/>
        <color theme="10"/>
        <rFont val="Calibri"/>
        <family val="2"/>
      </rPr>
      <t>fatayatasya19@gmail.com</t>
    </r>
  </si>
  <si>
    <t/>
    <r>
      <rPr>
        <u/>
        <sz val="9.75"/>
        <color theme="10"/>
        <rFont val="Calibri"/>
        <family val="2"/>
      </rPr>
      <t>romannafriskapricilia@gmail.com</t>
    </r>
  </si>
  <si>
    <t/>
    <r>
      <rPr>
        <u/>
        <sz val="10.5"/>
        <color theme="10"/>
        <rFont val="Calibri"/>
        <family val="2"/>
      </rPr>
      <t>sathifaa25@gmail.com</t>
    </r>
  </si>
  <si>
    <t/>
    <r>
      <rPr>
        <u/>
        <sz val="10.5"/>
        <color theme="10"/>
        <rFont val="Calibri"/>
        <family val="2"/>
      </rPr>
      <t>rondonuwukayla@gmail.com</t>
    </r>
  </si>
  <si>
    <t/>
    <r>
      <rPr>
        <u/>
        <sz val="9.75"/>
        <color theme="10"/>
        <rFont val="Calibri"/>
        <family val="2"/>
      </rPr>
      <t>annisanabilahghaidaazzahra@gmail.com</t>
    </r>
  </si>
  <si>
    <t/>
    <r>
      <rPr>
        <u/>
        <sz val="12"/>
        <color theme="10"/>
        <rFont val="Calibri"/>
        <family val="2"/>
      </rPr>
      <t>muhammadariefpurnomo@gmail.com</t>
    </r>
  </si>
  <si>
    <t/>
    <r>
      <rPr>
        <u/>
        <sz val="10.5"/>
        <color theme="10"/>
        <rFont val="Calibri"/>
        <family val="2"/>
      </rPr>
      <t>zulnyberliana@gmail.com</t>
    </r>
  </si>
  <si>
    <t/>
    <r>
      <rPr>
        <u/>
        <sz val="9.75"/>
        <color theme="10"/>
        <rFont val="Calibri"/>
        <family val="2"/>
      </rPr>
      <t>akmalfauzan306@gmail.com</t>
    </r>
  </si>
  <si>
    <t/>
    <r>
      <rPr>
        <u/>
        <sz val="12"/>
        <color theme="10"/>
        <rFont val="Calibri"/>
        <family val="2"/>
      </rPr>
      <t>mutiara.saragi2006@gmail.com</t>
    </r>
  </si>
  <si>
    <t/>
    <r>
      <rPr>
        <u/>
        <sz val="10.5"/>
        <color theme="10"/>
        <rFont val="Calibri"/>
        <family val="2"/>
      </rPr>
      <t>salmamuvidayanti@gmail.com</t>
    </r>
  </si>
  <si>
    <t/>
    <r>
      <rPr>
        <u/>
        <sz val="9.75"/>
        <color theme="10"/>
        <rFont val="Calibri"/>
        <family val="2"/>
      </rPr>
      <t>andrianmaulanami@gmail.com</t>
    </r>
  </si>
  <si>
    <t/>
    <r>
      <rPr>
        <u/>
        <sz val="9.75"/>
        <color theme="10"/>
        <rFont val="Calibri"/>
        <family val="2"/>
      </rPr>
      <t>franswaas249@gmail.com</t>
    </r>
  </si>
  <si>
    <t/>
    <r>
      <rPr>
        <u/>
        <sz val="12"/>
        <color theme="10"/>
        <rFont val="Calibri"/>
        <family val="2"/>
      </rPr>
      <t>rifatrahadiansyah24@gmail.com</t>
    </r>
  </si>
  <si>
    <t/>
    <r>
      <rPr>
        <u/>
        <sz val="9.75"/>
        <color theme="10"/>
        <rFont val="Calibri"/>
        <family val="2"/>
      </rPr>
      <t>sherlinda296@gmail.com</t>
    </r>
  </si>
  <si>
    <t/>
    <r>
      <rPr>
        <u/>
        <sz val="12"/>
        <color theme="10"/>
        <rFont val="Calibri"/>
        <family val="2"/>
      </rPr>
      <t>sergioguntur18@gmail.com</t>
    </r>
  </si>
  <si>
    <t/>
    <r>
      <rPr>
        <u/>
        <sz val="9.75"/>
        <color theme="10"/>
        <rFont val="Calibri"/>
        <family val="2"/>
      </rPr>
      <t>faiznursyhrial@gmail.com</t>
    </r>
  </si>
  <si>
    <t/>
    <r>
      <rPr>
        <u/>
        <sz val="12"/>
        <color theme="10"/>
        <rFont val="Calibri"/>
        <family val="2"/>
      </rPr>
      <t>musfatimah2021@gmail.com</t>
    </r>
  </si>
  <si>
    <t/>
    <r>
      <rPr>
        <u/>
        <sz val="9.75"/>
        <color theme="10"/>
        <rFont val="Calibri"/>
        <family val="2"/>
      </rPr>
      <t>mfahrezi218@gmail.com</t>
    </r>
  </si>
  <si>
    <t/>
    <r>
      <rPr>
        <u/>
        <sz val="9.75"/>
        <color theme="10"/>
        <rFont val="Calibri"/>
        <family val="2"/>
      </rPr>
      <t>Harisadhi8@gmail.com</t>
    </r>
  </si>
  <si>
    <t/>
    <r>
      <rPr>
        <u/>
        <sz val="12"/>
        <color theme="10"/>
        <rFont val="Calibri"/>
        <family val="2"/>
      </rPr>
      <t>anwardeedat17@gmail.com</t>
    </r>
  </si>
  <si>
    <t/>
    <r>
      <rPr>
        <u/>
        <sz val="9.75"/>
        <color theme="10"/>
        <rFont val="Calibri"/>
        <family val="2"/>
      </rPr>
      <t>vsmkesanji997@gmail.com</t>
    </r>
  </si>
  <si>
    <t/>
    <r>
      <rPr>
        <u/>
        <sz val="9.75"/>
        <color theme="10"/>
        <rFont val="Calibri"/>
        <family val="2"/>
      </rPr>
      <t>palugate2@gmail.com</t>
    </r>
  </si>
  <si>
    <t/>
    <r>
      <rPr>
        <u/>
        <sz val="9.75"/>
        <color theme="10"/>
        <rFont val="Calibri"/>
        <family val="2"/>
      </rPr>
      <t>tadiustekwan02@gmail.com</t>
    </r>
  </si>
  <si>
    <t/>
    <r>
      <rPr>
        <u/>
        <sz val="12"/>
        <color theme="10"/>
        <rFont val="Calibri"/>
        <family val="2"/>
      </rPr>
      <t>radityaariyanto28@gmail.com</t>
    </r>
  </si>
  <si>
    <t/>
    <r>
      <rPr>
        <u/>
        <sz val="9.75"/>
        <color theme="10"/>
        <rFont val="Calibri"/>
        <family val="2"/>
      </rPr>
      <t>teguh.budmn@gmail.com</t>
    </r>
  </si>
  <si>
    <t/>
    <r>
      <rPr>
        <u/>
        <sz val="12"/>
        <color theme="10"/>
        <rFont val="Calibri"/>
        <family val="2"/>
      </rPr>
      <t>tiaraalda14@gmail.com</t>
    </r>
  </si>
  <si>
    <t/>
    <r>
      <rPr>
        <u/>
        <sz val="12"/>
        <color theme="10"/>
        <rFont val="Calibri"/>
        <family val="2"/>
      </rPr>
      <t>paret.sanjaka@gmail.com</t>
    </r>
  </si>
  <si>
    <t/>
    <r>
      <rPr>
        <u/>
        <sz val="9.75"/>
        <color theme="10"/>
        <rFont val="Calibri"/>
        <family val="2"/>
      </rPr>
      <t>afrizalalan002@gmail.com</t>
    </r>
  </si>
  <si>
    <t/>
    <r>
      <rPr>
        <u/>
        <sz val="9.75"/>
        <color theme="10"/>
        <rFont val="Calibri"/>
        <family val="2"/>
      </rPr>
      <t>natankristian2005@gmail.com</t>
    </r>
  </si>
  <si>
    <t/>
    <r>
      <rPr>
        <u/>
        <sz val="9.75"/>
        <color theme="10"/>
        <rFont val="Calibri"/>
        <family val="2"/>
      </rPr>
      <t>yahdinanst@gmail.com</t>
    </r>
  </si>
  <si>
    <t/>
    <r>
      <rPr>
        <u/>
        <sz val="12"/>
        <color theme="10"/>
        <rFont val="Calibri"/>
        <family val="2"/>
      </rPr>
      <t>dediraihan5@gmail.com</t>
    </r>
  </si>
  <si>
    <t/>
    <r>
      <rPr>
        <u/>
        <sz val="9.75"/>
        <color theme="10"/>
        <rFont val="Calibri"/>
        <family val="2"/>
      </rPr>
      <t>syeihaangelina@gmail.com</t>
    </r>
  </si>
  <si>
    <t/>
    <r>
      <rPr>
        <u/>
        <sz val="9.75"/>
        <color theme="10"/>
        <rFont val="Calibri"/>
        <family val="2"/>
      </rPr>
      <t>semeru.aga@gmail.com</t>
    </r>
  </si>
  <si>
    <t/>
    <r>
      <rPr>
        <u/>
        <sz val="9.75"/>
        <color theme="10"/>
        <rFont val="Calibri"/>
        <family val="2"/>
      </rPr>
      <t>dion.wedha@gmail.com</t>
    </r>
  </si>
  <si>
    <t/>
    <r>
      <rPr>
        <u/>
        <sz val="12"/>
        <color theme="10"/>
        <rFont val="Calibri"/>
        <family val="2"/>
      </rPr>
      <t>nadhia.ferlia2403@mail.ugm.ac.id</t>
    </r>
  </si>
  <si>
    <t/>
    <r>
      <rPr>
        <u/>
        <sz val="12"/>
        <color theme="10"/>
        <rFont val="Calibri"/>
        <family val="2"/>
      </rPr>
      <t>arieffauzy99@gmail.com</t>
    </r>
  </si>
  <si>
    <t/>
    <r>
      <rPr>
        <u/>
        <sz val="12"/>
        <color theme="10"/>
        <rFont val="Calibri"/>
        <family val="2"/>
      </rPr>
      <t>justinchristian352@gmail.com</t>
    </r>
  </si>
  <si>
    <t/>
    <r>
      <rPr>
        <u/>
        <sz val="9.75"/>
        <color theme="10"/>
        <rFont val="Calibri"/>
        <family val="2"/>
      </rPr>
      <t>mohradyt.fahrasya@gmail.com</t>
    </r>
  </si>
  <si>
    <t/>
    <r>
      <rPr>
        <u/>
        <sz val="9.75"/>
        <color theme="10"/>
        <rFont val="Calibri"/>
        <family val="2"/>
      </rPr>
      <t>asuszfngold34@gmail.com</t>
    </r>
  </si>
  <si>
    <t/>
    <r>
      <rPr>
        <u/>
        <sz val="12"/>
        <color theme="10"/>
        <rFont val="Calibri"/>
        <family val="2"/>
      </rPr>
      <t>ekamr16@gmail.com</t>
    </r>
  </si>
  <si>
    <t/>
    <r>
      <rPr>
        <u/>
        <sz val="12"/>
        <color theme="10"/>
        <rFont val="Calibri"/>
        <family val="2"/>
      </rPr>
      <t>ziadbwdn@gmail.com</t>
    </r>
  </si>
  <si>
    <t/>
    <r>
      <rPr>
        <u/>
        <sz val="12"/>
        <color theme="10"/>
        <rFont val="Calibri"/>
        <family val="2"/>
      </rPr>
      <t>nugrohoadi26@gmail.com</t>
    </r>
  </si>
  <si>
    <t/>
    <r>
      <rPr>
        <u/>
        <sz val="12"/>
        <color theme="10"/>
        <rFont val="Calibri"/>
        <family val="2"/>
      </rPr>
      <t>Nawalsyafiq31@gmail.com</t>
    </r>
  </si>
  <si>
    <t/>
    <r>
      <rPr>
        <u/>
        <sz val="9.75"/>
        <color theme="10"/>
        <rFont val="Calibri"/>
        <family val="2"/>
      </rPr>
      <t>arsyadika25@gmail.com</t>
    </r>
  </si>
  <si>
    <t/>
    <r>
      <rPr>
        <u/>
        <sz val="9.75"/>
        <color theme="10"/>
        <rFont val="Calibri"/>
        <family val="2"/>
      </rPr>
      <t>rizalnazari11@gmail.com</t>
    </r>
  </si>
  <si>
    <t/>
    <r>
      <rPr>
        <u/>
        <sz val="12"/>
        <color theme="10"/>
        <rFont val="Calibri"/>
        <family val="2"/>
      </rPr>
      <t>karir.hafidh@gmail.com</t>
    </r>
  </si>
  <si>
    <t/>
    <r>
      <rPr>
        <u/>
        <sz val="9.75"/>
        <color theme="10"/>
        <rFont val="Calibri"/>
        <family val="2"/>
      </rPr>
      <t>dhiagram.kusuma@gmail.com</t>
    </r>
  </si>
  <si>
    <t/>
    <r>
      <rPr>
        <u/>
        <sz val="12"/>
        <color theme="10"/>
        <rFont val="Calibri"/>
        <family val="2"/>
      </rPr>
      <t>andra.rasel@gmail.com</t>
    </r>
  </si>
  <si>
    <t/>
    <r>
      <rPr>
        <u/>
        <sz val="9.75"/>
        <color theme="10"/>
        <rFont val="Calibri"/>
        <family val="2"/>
      </rPr>
      <t>akbaraksigemilang@gmail.com</t>
    </r>
  </si>
  <si>
    <t/>
    <r>
      <rPr>
        <u/>
        <sz val="12"/>
        <color theme="10"/>
        <rFont val="Calibri"/>
        <family val="2"/>
      </rPr>
      <t>angelinakirana10@gmail.com</t>
    </r>
  </si>
  <si>
    <t/>
    <r>
      <rPr>
        <u/>
        <sz val="9.75"/>
        <color theme="10"/>
        <rFont val="Calibri"/>
        <family val="2"/>
      </rPr>
      <t>prantionofernando@gmail.com</t>
    </r>
  </si>
  <si>
    <t/>
    <r>
      <rPr>
        <u/>
        <sz val="12"/>
        <color theme="10"/>
        <rFont val="Calibri"/>
        <family val="2"/>
      </rPr>
      <t>zulnyberliana@gmail.com</t>
    </r>
  </si>
  <si>
    <t/>
    <r>
      <rPr>
        <u/>
        <sz val="9.75"/>
        <color theme="10"/>
        <rFont val="Calibri"/>
        <family val="2"/>
      </rPr>
      <t>aulianaufaln@gmail.com</t>
    </r>
  </si>
  <si>
    <t/>
    <r>
      <rPr>
        <u/>
        <sz val="12"/>
        <color theme="10"/>
        <rFont val="Calibri"/>
        <family val="2"/>
      </rPr>
      <t>alifahhanif123@gmail.com</t>
    </r>
  </si>
  <si>
    <t/>
    <r>
      <rPr>
        <u/>
        <sz val="9.75"/>
        <color theme="10"/>
        <rFont val="Calibri"/>
        <family val="2"/>
      </rPr>
      <t>jihanizzaba@gmail.com</t>
    </r>
  </si>
  <si>
    <t/>
    <r>
      <rPr>
        <u/>
        <sz val="12"/>
        <color theme="10"/>
        <rFont val="Calibri"/>
        <family val="2"/>
      </rPr>
      <t>anisnabilatun03@gmail.com</t>
    </r>
  </si>
  <si>
    <t/>
    <r>
      <rPr>
        <u/>
        <sz val="9.75"/>
        <color theme="10"/>
        <rFont val="Calibri"/>
        <family val="2"/>
      </rPr>
      <t>aditamanurrahman525@gmail.com</t>
    </r>
  </si>
  <si>
    <t/>
    <r>
      <rPr>
        <u/>
        <sz val="9.75"/>
        <color theme="10"/>
        <rFont val="Calibri"/>
        <family val="2"/>
      </rPr>
      <t>Winarti0612@gmail.com</t>
    </r>
  </si>
  <si>
    <t/>
    <r>
      <rPr>
        <u/>
        <sz val="12"/>
        <color theme="10"/>
        <rFont val="Calibri"/>
        <family val="2"/>
      </rPr>
      <t>sathifaa25@gmail.com</t>
    </r>
  </si>
  <si>
    <t/>
    <r>
      <rPr>
        <u/>
        <sz val="9.75"/>
        <color theme="10"/>
        <rFont val="Calibri"/>
        <family val="2"/>
      </rPr>
      <t>aryadipayana@gmail.com</t>
    </r>
  </si>
  <si>
    <t/>
    <r>
      <rPr>
        <u/>
        <sz val="9.75"/>
        <color theme="10"/>
        <rFont val="Calibri"/>
        <family val="2"/>
      </rPr>
      <t>ediwahyudi301@gmail.com</t>
    </r>
  </si>
  <si>
    <t/>
    <r>
      <rPr>
        <u/>
        <sz val="12"/>
        <color theme="10"/>
        <rFont val="Calibri"/>
        <family val="2"/>
      </rPr>
      <t>januaril760@gmail.com</t>
    </r>
  </si>
  <si>
    <t/>
    <r>
      <rPr>
        <u/>
        <sz val="9.75"/>
        <color theme="10"/>
        <rFont val="Calibri"/>
        <family val="2"/>
      </rPr>
      <t>faizal.career1@gmail.com</t>
    </r>
  </si>
  <si>
    <t/>
    <r>
      <rPr>
        <u/>
        <sz val="9.75"/>
        <color theme="10"/>
        <rFont val="Calibri"/>
        <family val="2"/>
      </rPr>
      <t>fnugraha588@gmail.com</t>
    </r>
  </si>
  <si>
    <t/>
    <r>
      <rPr>
        <u/>
        <sz val="12"/>
        <color theme="10"/>
        <rFont val="Calibri"/>
        <family val="2"/>
      </rPr>
      <t>hanifibfaj94@gmail.com</t>
    </r>
  </si>
  <si>
    <t/>
    <r>
      <rPr>
        <u/>
        <sz val="9.75"/>
        <color theme="10"/>
        <rFont val="Calibri"/>
        <family val="2"/>
      </rPr>
      <t>nursyifaf0408@gmail.com</t>
    </r>
  </si>
  <si>
    <t/>
    <r>
      <rPr>
        <u/>
        <sz val="9.75"/>
        <color theme="10"/>
        <rFont val="Calibri"/>
        <family val="2"/>
      </rPr>
      <t>Wijdanharli@gmail.com</t>
    </r>
  </si>
  <si>
    <t/>
    <r>
      <rPr>
        <u/>
        <sz val="9.75"/>
        <color theme="10"/>
        <rFont val="Calibri"/>
        <family val="2"/>
      </rPr>
      <t>ameliawenni3@gmail.com</t>
    </r>
  </si>
  <si>
    <t/>
    <r>
      <rPr>
        <u/>
        <sz val="12"/>
        <color theme="10"/>
        <rFont val="Calibri"/>
        <family val="2"/>
      </rPr>
      <t>mddchh617@gmail.com</t>
    </r>
  </si>
  <si>
    <t/>
    <r>
      <rPr>
        <u/>
        <sz val="12"/>
        <color theme="10"/>
        <rFont val="Calibri"/>
        <family val="2"/>
      </rPr>
      <t>fputerisantosa@gmail.com</t>
    </r>
  </si>
  <si>
    <t/>
    <r>
      <rPr>
        <u/>
        <sz val="9.75"/>
        <color theme="10"/>
        <rFont val="Calibri"/>
        <family val="2"/>
      </rPr>
      <t>syadzahusnun@gmail.com</t>
    </r>
  </si>
  <si>
    <t/>
    <r>
      <rPr>
        <u/>
        <sz val="9.75"/>
        <color theme="10"/>
        <rFont val="Calibri"/>
        <family val="2"/>
      </rPr>
      <t>mdandijuandi47@gmail.com</t>
    </r>
  </si>
  <si>
    <t/>
    <r>
      <rPr>
        <u/>
        <sz val="10.5"/>
        <color theme="10"/>
        <rFont val="Calibri"/>
        <family val="2"/>
      </rPr>
      <t>nadhiaferra2405@gmail.com</t>
    </r>
  </si>
  <si>
    <t/>
    <r>
      <rPr>
        <u/>
        <sz val="12"/>
        <color theme="10"/>
        <rFont val="Calibri"/>
        <family val="2"/>
      </rPr>
      <t>dagaadza8@gmail.com</t>
    </r>
  </si>
  <si>
    <t/>
    <r>
      <rPr>
        <u/>
        <sz val="9.75"/>
        <color theme="10"/>
        <rFont val="Calibri"/>
        <family val="2"/>
      </rPr>
      <t>nurlina@live.com</t>
    </r>
  </si>
  <si>
    <t/>
    <r>
      <rPr>
        <u/>
        <sz val="9.75"/>
        <color theme="10"/>
        <rFont val="Calibri"/>
        <family val="2"/>
      </rPr>
      <t>rizalardiaffandi@gmail.com</t>
    </r>
  </si>
  <si>
    <t/>
    <r>
      <rPr>
        <u/>
        <sz val="12"/>
        <color theme="10"/>
        <rFont val="Calibri"/>
        <family val="2"/>
      </rPr>
      <t>raihanherdiansyah09@gmail.com</t>
    </r>
  </si>
  <si>
    <t/>
    <r>
      <rPr>
        <u/>
        <sz val="10.5"/>
        <color theme="10"/>
        <rFont val="Calibri"/>
        <family val="2"/>
      </rPr>
      <t>muhammadarwanggai@gmail.com</t>
    </r>
  </si>
  <si>
    <t/>
    <r>
      <rPr>
        <u/>
        <sz val="9.75"/>
        <color theme="10"/>
        <rFont val="Calibri"/>
        <family val="2"/>
      </rPr>
      <t>mhmdfiqhh@gmail.com</t>
    </r>
  </si>
  <si>
    <t/>
    <r>
      <rPr>
        <u/>
        <sz val="12"/>
        <color theme="10"/>
        <rFont val="Calibri"/>
        <family val="2"/>
      </rPr>
      <t>aji.widyantoro.bimo@gmail.com</t>
    </r>
  </si>
  <si>
    <t/>
    <r>
      <rPr>
        <u/>
        <sz val="9.75"/>
        <color theme="10"/>
        <rFont val="Calibri"/>
        <family val="2"/>
      </rPr>
      <t>noviandry.hamzah@gmail.com</t>
    </r>
  </si>
  <si>
    <t/>
    <r>
      <rPr>
        <u/>
        <sz val="9.75"/>
        <color theme="10"/>
        <rFont val="Calibri"/>
        <family val="2"/>
      </rPr>
      <t>ekarisita1425@gmail.com</t>
    </r>
  </si>
  <si>
    <t/>
    <r>
      <rPr>
        <u/>
        <sz val="9.75"/>
        <color theme="10"/>
        <rFont val="Calibri"/>
        <family val="2"/>
      </rPr>
      <t>hanbelajarsipil@gmail.com</t>
    </r>
  </si>
  <si>
    <t/>
    <r>
      <rPr>
        <u/>
        <sz val="12"/>
        <color theme="10"/>
        <rFont val="Calibri"/>
        <family val="2"/>
      </rPr>
      <t>awisnuf@gmail.com</t>
    </r>
  </si>
  <si>
    <t/>
    <r>
      <rPr>
        <u/>
        <sz val="10.5"/>
        <color theme="10"/>
        <rFont val="Calibri"/>
        <family val="2"/>
      </rPr>
      <t>harisscott630@gmail.com</t>
    </r>
  </si>
  <si>
    <t/>
    <r>
      <rPr>
        <u/>
        <sz val="12"/>
        <color theme="10"/>
        <rFont val="Calibri"/>
        <family val="2"/>
      </rPr>
      <t>andrianmaulanami@gmail.com</t>
    </r>
  </si>
  <si>
    <t/>
    <r>
      <rPr>
        <u/>
        <sz val="12"/>
        <color theme="10"/>
        <rFont val="Calibri"/>
        <family val="2"/>
      </rPr>
      <t>ahmzulfadli@gmail.com</t>
    </r>
  </si>
  <si>
    <t/>
    <r>
      <rPr>
        <u/>
        <sz val="9.75"/>
        <color theme="10"/>
        <rFont val="Calibri"/>
        <family val="2"/>
      </rPr>
      <t>jvnerlando@gmail.com</t>
    </r>
  </si>
  <si>
    <t/>
    <r>
      <rPr>
        <u/>
        <sz val="9.75"/>
        <color theme="10"/>
        <rFont val="Calibri"/>
        <family val="2"/>
      </rPr>
      <t>muhammaddivaiosaputra@gmail.com</t>
    </r>
  </si>
  <si>
    <t/>
    <r>
      <rPr>
        <u/>
        <sz val="9.75"/>
        <color theme="10"/>
        <rFont val="Calibri"/>
        <family val="2"/>
      </rPr>
      <t>hanifabiyyu2705@gmail.com</t>
    </r>
  </si>
  <si>
    <t/>
    <r>
      <rPr>
        <u/>
        <sz val="12"/>
        <color theme="10"/>
        <rFont val="Calibri"/>
        <family val="2"/>
      </rPr>
      <t>tiarma.pane@gmail.com</t>
    </r>
  </si>
  <si>
    <t/>
    <r>
      <rPr>
        <u/>
        <sz val="12"/>
        <color theme="10"/>
        <rFont val="Calibri"/>
        <family val="2"/>
      </rPr>
      <t>agustinusdani86@gmail.com</t>
    </r>
  </si>
  <si>
    <t/>
    <r>
      <rPr>
        <u/>
        <sz val="9.75"/>
        <color theme="10"/>
        <rFont val="Calibri"/>
        <family val="2"/>
      </rPr>
      <t>muhammadabdularoffi2123@gmail.com</t>
    </r>
  </si>
  <si>
    <t/>
    <r>
      <rPr>
        <u/>
        <sz val="12"/>
        <color theme="10"/>
        <rFont val="Calibri"/>
        <family val="2"/>
      </rPr>
      <t>Spodesede14@gmail.com</t>
    </r>
  </si>
  <si>
    <t/>
    <r>
      <rPr>
        <u/>
        <sz val="10.5"/>
        <color theme="10"/>
        <rFont val="Calibri"/>
        <family val="2"/>
      </rPr>
      <t>Fahmiau17@gmail.com</t>
    </r>
  </si>
  <si>
    <t/>
    <r>
      <rPr>
        <u/>
        <sz val="12"/>
        <color theme="10"/>
        <rFont val="Calibri"/>
        <family val="2"/>
      </rPr>
      <t>dillah.fn@gmail.com</t>
    </r>
  </si>
  <si>
    <t/>
    <r>
      <rPr>
        <u/>
        <sz val="9.75"/>
        <color theme="10"/>
        <rFont val="Calibri"/>
        <family val="2"/>
      </rPr>
      <t>diannugraheni03@gmail.com</t>
    </r>
  </si>
  <si>
    <t/>
    <r>
      <rPr>
        <u/>
        <sz val="12"/>
        <color theme="10"/>
        <rFont val="Calibri"/>
        <family val="2"/>
      </rPr>
      <t>mardjanomaika@gmail.com</t>
    </r>
  </si>
  <si>
    <t/>
    <r>
      <rPr>
        <u/>
        <sz val="12"/>
        <color theme="10"/>
        <rFont val="Calibri"/>
        <family val="2"/>
      </rPr>
      <t>bawamade0119@gmail.com</t>
    </r>
  </si>
  <si>
    <t/>
    <r>
      <rPr>
        <u/>
        <sz val="10.5"/>
        <color theme="10"/>
        <rFont val="Calibri"/>
        <family val="2"/>
      </rPr>
      <t>ahmzulfadli@gmail.com</t>
    </r>
  </si>
  <si>
    <t/>
    <r>
      <rPr>
        <u/>
        <sz val="12"/>
        <color theme="10"/>
        <rFont val="Calibri"/>
        <family val="2"/>
      </rPr>
      <t>mustagimahsiti@gmail.com</t>
    </r>
  </si>
  <si>
    <t/>
    <r>
      <rPr>
        <u/>
        <sz val="9.75"/>
        <color theme="10"/>
        <rFont val="Calibri"/>
        <family val="2"/>
      </rPr>
      <t>arielpirie11@gmail.com</t>
    </r>
  </si>
  <si>
    <t/>
    <r>
      <rPr>
        <u/>
        <sz val="9.75"/>
        <color theme="10"/>
        <rFont val="Calibri"/>
        <family val="2"/>
      </rPr>
      <t>septianjackrianto@gmail.com</t>
    </r>
  </si>
  <si>
    <t/>
    <r>
      <rPr>
        <u/>
        <sz val="12"/>
        <color theme="10"/>
        <rFont val="Calibri"/>
        <family val="2"/>
      </rPr>
      <t>isnainineni15@gmail.com</t>
    </r>
  </si>
  <si>
    <t/>
    <r>
      <rPr>
        <u/>
        <sz val="9.75"/>
        <color theme="10"/>
        <rFont val="Calibri"/>
        <family val="2"/>
      </rPr>
      <t>plzbli5@gmail.com</t>
    </r>
  </si>
  <si>
    <t/>
    <r>
      <rPr>
        <u/>
        <sz val="12"/>
        <color theme="10"/>
        <rFont val="Calibri"/>
        <family val="2"/>
      </rPr>
      <t>Rosye.uq@gmail.com</t>
    </r>
  </si>
  <si>
    <t/>
    <r>
      <rPr>
        <u/>
        <sz val="10.5"/>
        <color theme="10"/>
        <rFont val="Calibri"/>
        <family val="2"/>
      </rPr>
      <t>agustinusdani86@gmail.com</t>
    </r>
  </si>
  <si>
    <t/>
    <r>
      <rPr>
        <u/>
        <sz val="12"/>
        <color theme="10"/>
        <rFont val="Calibri"/>
        <family val="2"/>
      </rPr>
      <t>aryaaryaweda19@gmail.com</t>
    </r>
  </si>
  <si>
    <t/>
    <r>
      <rPr>
        <u/>
        <sz val="9.75"/>
        <color theme="10"/>
        <rFont val="Calibri"/>
        <family val="2"/>
      </rPr>
      <t>Bambang@yahoo.com</t>
    </r>
  </si>
  <si>
    <t/>
    <r>
      <rPr>
        <u/>
        <sz val="12"/>
        <color theme="10"/>
        <rFont val="Calibri"/>
        <family val="2"/>
      </rPr>
      <t>Athaisyah@yahoo.com</t>
    </r>
  </si>
  <si>
    <t/>
    <r>
      <rPr>
        <u/>
        <sz val="9.75"/>
        <color theme="10"/>
        <rFont val="Calibri"/>
        <family val="2"/>
      </rPr>
      <t>ivanapurbaningtyass@gmail.com</t>
    </r>
  </si>
  <si>
    <t/>
    <r>
      <rPr>
        <u/>
        <sz val="12"/>
        <color theme="10"/>
        <rFont val="Calibri"/>
        <family val="2"/>
      </rPr>
      <t>alfandysb2000@gmail.com</t>
    </r>
  </si>
  <si>
    <t/>
    <r>
      <rPr>
        <u/>
        <sz val="12"/>
        <color theme="10"/>
        <rFont val="Calibri"/>
        <family val="2"/>
      </rPr>
      <t>adaniebrilliant@gmail.com</t>
    </r>
  </si>
  <si>
    <t/>
    <r>
      <rPr>
        <u/>
        <sz val="9.75"/>
        <color theme="10"/>
        <rFont val="Calibri"/>
        <family val="2"/>
      </rPr>
      <t>januardi127@gmail.com</t>
    </r>
  </si>
  <si>
    <t/>
    <r>
      <rPr>
        <u/>
        <sz val="9.75"/>
        <color theme="10"/>
        <rFont val="Calibri"/>
        <family val="2"/>
      </rPr>
      <t>bimantarafaqih@gmail.com</t>
    </r>
  </si>
  <si>
    <t/>
    <r>
      <rPr>
        <u/>
        <sz val="12"/>
        <color theme="10"/>
        <rFont val="Calibri"/>
        <family val="2"/>
      </rPr>
      <t>delabintang23yahoo@gmail.com</t>
    </r>
  </si>
  <si>
    <t/>
    <r>
      <rPr>
        <u/>
        <sz val="12"/>
        <color theme="10"/>
        <rFont val="Calibri"/>
        <family val="2"/>
      </rPr>
      <t>fidyampdrg@gmail.com</t>
    </r>
  </si>
  <si>
    <t/>
    <r>
      <rPr>
        <u/>
        <sz val="9.75"/>
        <color theme="10"/>
        <rFont val="Calibri"/>
        <family val="2"/>
      </rPr>
      <t>saniafajrinditya@gmail.com</t>
    </r>
  </si>
  <si>
    <t/>
    <r>
      <rPr>
        <u/>
        <sz val="9.75"/>
        <color theme="10"/>
        <rFont val="Calibri"/>
        <family val="2"/>
      </rPr>
      <t>karizmafahlevy@yahoo.com</t>
    </r>
  </si>
  <si>
    <t/>
    <r>
      <rPr>
        <u/>
        <sz val="12"/>
        <color theme="10"/>
        <rFont val="Calibri"/>
        <family val="2"/>
      </rPr>
      <t>muhilhamfah99@gmail.com</t>
    </r>
  </si>
  <si>
    <t/>
    <r>
      <rPr>
        <u/>
        <sz val="9.75"/>
        <color theme="10"/>
        <rFont val="Calibri"/>
        <family val="2"/>
      </rPr>
      <t>dwisusanto.susanto@gmail.com</t>
    </r>
  </si>
  <si>
    <t/>
    <r>
      <rPr>
        <u/>
        <sz val="12"/>
        <color theme="10"/>
        <rFont val="Calibri"/>
        <family val="2"/>
      </rPr>
      <t>annisaamandaputri2004@gmail.com</t>
    </r>
  </si>
  <si>
    <t/>
    <r>
      <rPr>
        <u/>
        <sz val="12"/>
        <color theme="10"/>
        <rFont val="Calibri"/>
        <family val="2"/>
      </rPr>
      <t>semerualghazaliyusup@mail.ugm.ac.id</t>
    </r>
  </si>
  <si>
    <t/>
    <r>
      <rPr>
        <u/>
        <sz val="9.75"/>
        <color theme="10"/>
        <rFont val="Calibri"/>
        <family val="2"/>
      </rPr>
      <t>shafamuthia.3019@gmail.com</t>
    </r>
  </si>
  <si>
    <t/>
    <r>
      <rPr>
        <u/>
        <sz val="9.75"/>
        <color theme="10"/>
        <rFont val="Calibri"/>
        <family val="2"/>
      </rPr>
      <t>kasyaamuthiaa@gmail.com</t>
    </r>
  </si>
  <si>
    <t/>
    <r>
      <rPr>
        <u/>
        <sz val="12"/>
        <color theme="10"/>
        <rFont val="Calibri"/>
        <family val="2"/>
      </rPr>
      <t>Alfin.dnash71@gmail.com</t>
    </r>
  </si>
  <si>
    <t/>
    <r>
      <rPr>
        <u/>
        <sz val="12"/>
        <color theme="10"/>
        <rFont val="Calibri"/>
        <family val="2"/>
      </rPr>
      <t>jasmine.khrn@gmail.com</t>
    </r>
  </si>
  <si>
    <t/>
    <r>
      <rPr>
        <u/>
        <sz val="12"/>
        <color theme="10"/>
        <rFont val="Calibri"/>
        <family val="2"/>
      </rPr>
      <t>muhammadarwanggai@gmail.com</t>
    </r>
  </si>
  <si>
    <t/>
    <r>
      <rPr>
        <u/>
        <sz val="9.75"/>
        <color theme="10"/>
        <rFont val="Calibri"/>
        <family val="2"/>
      </rPr>
      <t>mahendrayusuf1999@gmail.com</t>
    </r>
  </si>
  <si>
    <t/>
    <r>
      <rPr>
        <u/>
        <sz val="9.75"/>
        <color theme="10"/>
        <rFont val="Calibri"/>
        <family val="2"/>
      </rPr>
      <t>abdulmujiib02@gmail.com</t>
    </r>
  </si>
  <si>
    <t/>
    <r>
      <rPr>
        <u/>
        <sz val="12"/>
        <color theme="10"/>
        <rFont val="Calibri"/>
        <family val="2"/>
      </rPr>
      <t>ghinaa24putri@gmail.com</t>
    </r>
  </si>
  <si>
    <t/>
    <r>
      <rPr>
        <u/>
        <sz val="9.75"/>
        <color theme="10"/>
        <rFont val="Calibri"/>
        <family val="2"/>
      </rPr>
      <t>fitriulvianti@gmail.com</t>
    </r>
  </si>
  <si>
    <t/>
    <r>
      <rPr>
        <u/>
        <sz val="12"/>
        <color theme="10"/>
        <rFont val="Calibri"/>
        <family val="2"/>
      </rPr>
      <t>ferryrussel1002@gmail.com</t>
    </r>
  </si>
  <si>
    <t/>
    <r>
      <rPr>
        <u/>
        <sz val="12"/>
        <color theme="10"/>
        <rFont val="Calibri"/>
        <family val="2"/>
      </rPr>
      <t>Fahmiau17@gmail.com</t>
    </r>
  </si>
  <si>
    <t/>
    <r>
      <rPr>
        <u/>
        <sz val="12"/>
        <color theme="10"/>
        <rFont val="Calibri"/>
        <family val="2"/>
      </rPr>
      <t>ranggaadinugraha26jan@gmail.com</t>
    </r>
  </si>
  <si>
    <t/>
    <r>
      <rPr>
        <u/>
        <sz val="12"/>
        <color theme="10"/>
        <rFont val="Calibri"/>
        <family val="2"/>
      </rPr>
      <t>farhan.muhammad2095@gmail.com</t>
    </r>
  </si>
  <si>
    <t/>
    <r>
      <rPr>
        <u/>
        <sz val="9.75"/>
        <color theme="10"/>
        <rFont val="Calibri"/>
        <family val="2"/>
      </rPr>
      <t>indaharumch@gmail.com</t>
    </r>
  </si>
  <si>
    <t/>
    <r>
      <rPr>
        <u/>
        <sz val="9.75"/>
        <color theme="10"/>
        <rFont val="Calibri"/>
        <family val="2"/>
      </rPr>
      <t>pendrimikola9@gmail.com</t>
    </r>
  </si>
  <si>
    <t/>
    <r>
      <rPr>
        <u/>
        <sz val="12"/>
        <color theme="10"/>
        <rFont val="Calibri"/>
        <family val="2"/>
      </rPr>
      <t>tiarajulia9@gmail.com</t>
    </r>
  </si>
  <si>
    <t/>
    <r>
      <rPr>
        <u/>
        <sz val="9.75"/>
        <color theme="10"/>
        <rFont val="Calibri"/>
        <family val="2"/>
      </rPr>
      <t>rakhmatsenoaji@gmail.com</t>
    </r>
  </si>
  <si>
    <t/>
    <r>
      <rPr>
        <u/>
        <sz val="12"/>
        <color theme="10"/>
        <rFont val="Calibri"/>
        <family val="2"/>
      </rPr>
      <t>lukysutansyah02@gmail.com</t>
    </r>
  </si>
  <si>
    <t/>
    <r>
      <rPr>
        <u/>
        <sz val="12"/>
        <color theme="10"/>
        <rFont val="Calibri"/>
        <family val="2"/>
      </rPr>
      <t>syaifuddin.nursyams54@gmail.com</t>
    </r>
  </si>
  <si>
    <t/>
    <r>
      <rPr>
        <u/>
        <sz val="9.75"/>
        <color theme="10"/>
        <rFont val="Calibri"/>
        <family val="2"/>
      </rPr>
      <t>jpchristofel02@gmail.com</t>
    </r>
  </si>
  <si>
    <t/>
    <r>
      <rPr>
        <u/>
        <sz val="9.75"/>
        <color theme="10"/>
        <rFont val="Calibri"/>
        <family val="2"/>
      </rPr>
      <t>abidin214n@gmail.com</t>
    </r>
  </si>
  <si>
    <t/>
    <r>
      <rPr>
        <u/>
        <sz val="12"/>
        <color theme="10"/>
        <rFont val="Calibri"/>
        <family val="2"/>
      </rPr>
      <t>rafiteguh6@gmail.com</t>
    </r>
  </si>
  <si>
    <t/>
    <r>
      <rPr>
        <u/>
        <sz val="12"/>
        <color theme="10"/>
        <rFont val="Calibri"/>
        <family val="2"/>
      </rPr>
      <t>adindaadella1011@gmail.com</t>
    </r>
  </si>
  <si>
    <t/>
    <r>
      <rPr>
        <u/>
        <sz val="9.75"/>
        <color theme="10"/>
        <rFont val="Calibri"/>
        <family val="2"/>
      </rPr>
      <t>khameliabelvazaria189@gmail.com</t>
    </r>
  </si>
  <si>
    <t/>
    <r>
      <rPr>
        <u/>
        <sz val="12"/>
        <color theme="10"/>
        <rFont val="Calibri"/>
        <family val="2"/>
      </rPr>
      <t>atkrhna@gmail.com</t>
    </r>
  </si>
  <si>
    <t/>
    <r>
      <rPr>
        <u/>
        <sz val="9.75"/>
        <color theme="10"/>
        <rFont val="Calibri"/>
        <family val="2"/>
      </rPr>
      <t>zhillanqisa.zhln@gmail.com</t>
    </r>
  </si>
  <si>
    <t/>
    <r>
      <rPr>
        <u/>
        <sz val="9.75"/>
        <color theme="10"/>
        <rFont val="Calibri"/>
        <family val="2"/>
      </rPr>
      <t>ciprianopereira36@gmail.com</t>
    </r>
  </si>
  <si>
    <t/>
    <r>
      <rPr>
        <u/>
        <sz val="12"/>
        <color theme="10"/>
        <rFont val="Calibri"/>
        <family val="2"/>
      </rPr>
      <t>upikmaulvi2002@gmail.com</t>
    </r>
  </si>
  <si>
    <t/>
    <r>
      <rPr>
        <u/>
        <sz val="10.5"/>
        <color theme="10"/>
        <rFont val="Calibri"/>
        <family val="2"/>
      </rPr>
      <t>naomiangelia@gmail.com</t>
    </r>
  </si>
  <si>
    <t/>
    <r>
      <rPr>
        <u/>
        <sz val="12"/>
        <color theme="10"/>
        <rFont val="Calibri"/>
        <family val="2"/>
      </rPr>
      <t>yosiandhika@gmail.com</t>
    </r>
  </si>
  <si>
    <t/>
    <r>
      <rPr>
        <u/>
        <sz val="12"/>
        <color theme="10"/>
        <rFont val="Calibri"/>
        <family val="2"/>
      </rPr>
      <t>harisscott630@gmail.com</t>
    </r>
  </si>
  <si>
    <t/>
    <r>
      <rPr>
        <u/>
        <sz val="9.75"/>
        <color theme="10"/>
        <rFont val="Calibri"/>
        <family val="2"/>
      </rPr>
      <t>agungadea@gmail.com</t>
    </r>
  </si>
  <si>
    <t/>
    <r>
      <rPr>
        <u/>
        <sz val="9.75"/>
        <color theme="10"/>
        <rFont val="Calibri"/>
        <family val="2"/>
      </rPr>
      <t>priyankaasmiran@gmail.com</t>
    </r>
  </si>
  <si>
    <t/>
    <r>
      <rPr>
        <u/>
        <sz val="12"/>
        <color theme="10"/>
        <rFont val="Calibri"/>
        <family val="2"/>
      </rPr>
      <t>rondonuwukayla@gmail.com</t>
    </r>
  </si>
  <si>
    <t/>
    <r>
      <rPr>
        <u/>
        <sz val="9.75"/>
        <color theme="10"/>
        <rFont val="Calibri"/>
        <family val="2"/>
      </rPr>
      <t>adnanasyam10@gmail.com</t>
    </r>
  </si>
  <si>
    <t/>
    <r>
      <rPr>
        <u/>
        <sz val="12"/>
        <color theme="10"/>
        <rFont val="Calibri"/>
        <family val="2"/>
      </rPr>
      <t>roadcarer7@gmail.com</t>
    </r>
  </si>
  <si>
    <t/>
    <r>
      <rPr>
        <u/>
        <sz val="9.75"/>
        <color theme="10"/>
        <rFont val="Calibri"/>
        <family val="2"/>
      </rPr>
      <t>rayhanalirachman@gmail.com</t>
    </r>
  </si>
  <si>
    <t/>
    <r>
      <rPr>
        <u/>
        <sz val="9.75"/>
        <color theme="10"/>
        <rFont val="Calibri"/>
        <family val="2"/>
      </rPr>
      <t>katanesia17@gmail.com</t>
    </r>
  </si>
  <si>
    <t/>
    <r>
      <rPr>
        <u/>
        <sz val="9.75"/>
        <color theme="10"/>
        <rFont val="Calibri"/>
        <family val="2"/>
      </rPr>
      <t>ramadhinan9@gmail.com</t>
    </r>
  </si>
  <si>
    <t/>
    <r>
      <rPr>
        <u/>
        <sz val="10.5"/>
        <color theme="10"/>
        <rFont val="Calibri"/>
        <family val="2"/>
      </rPr>
      <t>tasyava7@gmail.com</t>
    </r>
  </si>
  <si>
    <t/>
    <r>
      <rPr>
        <u/>
        <sz val="9.75"/>
        <color theme="10"/>
        <rFont val="Calibri"/>
        <family val="2"/>
      </rPr>
      <t>azimaidzni@gmail.com</t>
    </r>
  </si>
  <si>
    <t/>
    <r>
      <rPr>
        <u/>
        <sz val="9.75"/>
        <color theme="10"/>
        <rFont val="Calibri"/>
        <family val="2"/>
      </rPr>
      <t>mappingriko@gmail.com</t>
    </r>
  </si>
  <si>
    <t/>
    <r>
      <rPr>
        <u/>
        <sz val="9.75"/>
        <color theme="10"/>
        <rFont val="Calibri"/>
        <family val="2"/>
      </rPr>
      <t>yoaldede@gmail.com</t>
    </r>
  </si>
  <si>
    <t/>
    <r>
      <rPr>
        <u/>
        <sz val="9.75"/>
        <color theme="10"/>
        <rFont val="Calibri"/>
        <family val="2"/>
      </rPr>
      <t>rafliando@gmail.com</t>
    </r>
  </si>
  <si>
    <t/>
    <r>
      <rPr>
        <u/>
        <sz val="9.75"/>
        <color theme="10"/>
        <rFont val="Calibri"/>
        <family val="2"/>
      </rPr>
      <t>sekencois44@gmail.com</t>
    </r>
  </si>
  <si>
    <t/>
    <r>
      <rPr>
        <u/>
        <sz val="12"/>
        <color theme="10"/>
        <rFont val="Calibri"/>
        <family val="2"/>
      </rPr>
      <t>radjaadzka18@gmail.com</t>
    </r>
  </si>
  <si>
    <t/>
    <r>
      <rPr>
        <b/>
        <sz val="9"/>
        <color rgb="FF000000"/>
        <rFont val="Calibri"/>
        <family val="2"/>
      </rPr>
      <t>big_event_name</t>
    </r>
  </si>
  <si>
    <t/>
    <r>
      <rPr>
        <u/>
        <sz val="9.75"/>
        <color theme="10"/>
        <rFont val="Calibri"/>
        <family val="2"/>
      </rPr>
      <t>https://www.instagram.com/p/DSwRhxhkTGm/</t>
    </r>
  </si>
  <si>
    <t/>
    <r>
      <rPr>
        <u/>
        <sz val="9.75"/>
        <color theme="10"/>
        <rFont val="Calibri"/>
        <family val="2"/>
      </rPr>
      <t>https://www.instagram.com/p/DTIKFCGj_2X/?utm_source=ig_web_copy_link&amp;igsh=NTc4MTIwNjQ2YQ==</t>
    </r>
  </si>
  <si>
    <t/>
    <r>
      <rPr>
        <u/>
        <sz val="9.75"/>
        <color theme="10"/>
        <rFont val="Calibri"/>
        <family val="2"/>
      </rPr>
      <t xml:space="preserve">Running to Heal: Running, Mental Wellness, and Spatial Business Opportunities in Bandung</t>
    </r>
  </si>
  <si>
    <t/>
    <r>
      <rPr>
        <u/>
        <sz val="9.75"/>
        <color theme="10"/>
        <rFont val="Calibri"/>
        <family val="2"/>
      </rPr>
      <t xml:space="preserve">Corporate Training Product Strategy for Q1 2026</t>
    </r>
    <r>
      <t xml:space="preserve"> </t>
    </r>
  </si>
  <si>
    <t/>
    <r>
      <rPr>
        <u/>
        <sz val="9.75"/>
        <color theme="10"/>
        <rFont val="Calibri"/>
        <family val="2"/>
      </rPr>
      <t xml:space="preserve">MAPID Community - Januari 2026</t>
    </r>
    <r>
      <t xml:space="preserve"> 
</t>
    </r>
    <r>
      <t xml:space="preserve">- UPI &amp; UNDIP</t>
    </r>
  </si>
  <si>
    <t/>
    <r>
      <rPr>
        <u/>
        <sz val="9.75"/>
        <color theme="10"/>
        <rFont val="Calibri"/>
        <family val="2"/>
      </rPr>
      <t xml:space="preserve">3.0 Website Revamp</t>
    </r>
    <r>
      <t xml:space="preserve"> </t>
    </r>
  </si>
  <si>
    <t/>
    <r>
      <t xml:space="preserve">log monitoring data analyst: </t>
    </r>
    <r>
      <rPr>
        <u/>
        <sz val="9.75"/>
        <color theme="10"/>
        <rFont val="Calibri"/>
        <family val="2"/>
      </rPr>
      <t>https://mapid25-my.sharepoint.com/:x:/g/personal/business_mapid25_onmicrosoft_com/IQBfqY9O4iJCTJPuQZr_wtWkAWSuETrh4ORfmLA_9MDl-IM?e=OFCgb9</t>
    </r>
  </si>
  <si>
    <t/>
    <r>
      <rPr>
        <u/>
        <sz val="9.75"/>
        <color theme="10"/>
        <rFont val="Calibri"/>
        <family val="2"/>
      </rPr>
      <t>https://mapid25-my.sharepoint.com/:x:/g/personal/business_mapid25_onmicrosoft_com/IQDw_B9lxJLJR43tzZ1F8fWGAS-2sXIaipb58dHvkix_Pdk?e=gdc9VK</t>
    </r>
  </si>
  <si>
    <t/>
    <r>
      <t xml:space="preserve">Demo call </t>
    </r>
    <r>
      <rPr>
        <u/>
        <sz val="9.75"/>
        <color theme="10"/>
        <rFont val="Calibri"/>
        <family val="2"/>
      </rPr>
      <t>kattegat.ai</t>
    </r>
  </si>
  <si>
    <t/>
    <r>
      <rPr>
        <u/>
        <sz val="9.75"/>
        <color theme="10"/>
        <rFont val="Calibri"/>
        <family val="2"/>
      </rPr>
      <t xml:space="preserve">Dedicated Engineer Pool Strategy 2026</t>
    </r>
    <r>
      <t xml:space="preserve"> </t>
    </r>
  </si>
  <si>
    <t/>
    <r>
      <t xml:space="preserve">pricing per SKU: </t>
    </r>
    <r>
      <rPr>
        <u/>
        <sz val="9.75"/>
        <color theme="10"/>
        <rFont val="Calibri"/>
        <family val="2"/>
      </rPr>
      <t>https://mapid25-my.sharepoint.com/:x:/g/personal/business_mapid25_onmicrosoft_com/IQAqo87LtjxtRK6sYxH3JB6yAYVaw8LHIv5AfHO_49CZiv8?e=K3uprA</t>
    </r>
    <r>
      <t xml:space="preserve">
</t>
    </r>
    <r>
      <t xml:space="preserve">untuk teknis need meeting lanjutan sama tim data (rencana rabu)</t>
    </r>
  </si>
  <si>
    <t/>
    <r>
      <rPr>
        <u/>
        <sz val="9.75"/>
        <color theme="10"/>
        <rFont val="Calibri"/>
        <family val="2"/>
      </rPr>
      <t xml:space="preserve">TOR (Terms of Reference) – MAPID WebGIS Competition 2026</t>
    </r>
    <r>
      <t xml:space="preserve"> </t>
    </r>
  </si>
  <si>
    <t/>
    <r>
      <rPr>
        <u/>
        <color theme="10"/>
      </rPr>
      <t xml:space="preserve">MAPID F&amp;B EXPANSION DAY</t>
    </r>
    <r>
      <t xml:space="preserve"> </t>
    </r>
  </si>
  <si>
    <t/>
    <r>
      <t xml:space="preserve">1. </t>
    </r>
    <r>
      <rPr>
        <u/>
        <sz val="9.75"/>
        <color theme="10"/>
        <rFont val="Calibri"/>
        <family val="2"/>
      </rPr>
      <t>https://mapid25-my.sharepoint.com/:w:/g/personal/business_mapid25_onmicrosoft_com/IQDtsZyqCA6tS6ax51FmXl1kAThBqd-TlPS5Bld-RerFWZE?e=2QBjeE</t>
    </r>
  </si>
  <si>
    <t/>
    <r>
      <rPr>
        <u/>
        <sz val="9.75"/>
        <color theme="10"/>
        <rFont val="Calibri"/>
        <family val="2"/>
      </rPr>
      <t xml:space="preserve">Konteks Issue Dashboard Nabati 01042026</t>
    </r>
    <r>
      <t xml:space="preserve"> </t>
    </r>
  </si>
  <si>
    <t/>
    <r>
      <rPr>
        <u/>
        <sz val="9.75"/>
        <color theme="10"/>
        <rFont val="Calibri"/>
        <family val="2"/>
      </rPr>
      <t>https://www.canva.com/design/DAHDm4J1ZLs/plZ6i4u9qVrOcKIUKzJCMg/edit</t>
    </r>
  </si>
  <si>
    <t/>
    <r>
      <rPr>
        <u/>
        <sz val="9.75"/>
        <color theme="10"/>
        <rFont val="Calibri"/>
        <family val="2"/>
      </rPr>
      <t>https://mapid25-my.sharepoint.com/:x:/r/personal/business_mapid25_onmicrosoft_com/_layouts/15/Doc.aspx?sourcedoc=%7BD641DA54-D041-449C-9E4C-95DE72655618%7D&amp;file=NABATI%20CALCULATION.xlsx&amp;action=default&amp;mobileredirect=true</t>
    </r>
  </si>
  <si>
    <t/>
    <r>
      <rPr>
        <u/>
        <sz val="9.75"/>
        <color theme="10"/>
        <rFont val="Calibri"/>
        <family val="2"/>
      </rPr>
      <t xml:space="preserve">PLAYBOOK COMMUNITY MANAGER - MAPID APPS</t>
    </r>
    <r>
      <t xml:space="preserve"> </t>
    </r>
  </si>
  <si>
    <t/>
    <r>
      <t xml:space="preserve">contoh: </t>
    </r>
    <r>
      <rPr>
        <u/>
        <sz val="9.75"/>
        <color theme="10"/>
        <rFont val="Calibri"/>
        <family val="2"/>
      </rPr>
      <t>https://share.google/xPDGEBCt6ycEqmJV4</t>
    </r>
  </si>
  <si>
    <t/>
    <r>
      <rPr>
        <u/>
        <sz val="9.75"/>
        <color theme="10"/>
        <rFont val="Calibri"/>
        <family val="2"/>
      </rPr>
      <t xml:space="preserve">REKAP MAPID Sales - Februari 2026</t>
    </r>
    <r>
      <t xml:space="preserve"> </t>
    </r>
  </si>
  <si>
    <t/>
    <r>
      <rPr>
        <u/>
        <sz val="9.75"/>
        <color theme="10"/>
        <rFont val="Calibri"/>
        <family val="2"/>
      </rPr>
      <t>https://mapid25-my.sharepoint.com/:w:/g/personal/business_mapid25_onmicrosoft_com/IQAtMvFV52iGS4mycNxtbFwBAfccWPgwcJNElhDAWmX8ukU?e=g1b7iK</t>
    </r>
  </si>
  <si>
    <t/>
    <r>
      <rPr>
        <u/>
        <sz val="9.75"/>
        <color theme="10"/>
        <rFont val="Calibri"/>
        <family val="2"/>
      </rPr>
      <t>https://www.canva.com/design/DAG-MSNUGlM/pBeY0YV0x3Bzsq4JpvZUrg/edit</t>
    </r>
  </si>
  <si>
    <t/>
    <r>
      <t xml:space="preserve">meeting senin jam 1</t>
    </r>
    <r>
      <t xml:space="preserve">
</t>
    </r>
    <r>
      <t xml:space="preserve">tor yg mereka kasih: </t>
    </r>
    <r>
      <rPr>
        <u/>
        <sz val="9.75"/>
        <color theme="10"/>
        <rFont val="Calibri"/>
        <family val="2"/>
      </rPr>
      <t>https://mapid25-my.sharepoint.com/:b:/g/personal/business_mapid25_onmicrosoft_com/IQBGKDDY_JjcS7sZz78RyjRQAdaNSh-rt4WBrDXq_mMpxig?e=nXicWM</t>
    </r>
  </si>
  <si>
    <t/>
    <r>
      <rPr>
        <u/>
        <sz val="9.75"/>
        <color theme="10"/>
        <rFont val="Calibri"/>
        <family val="2"/>
      </rPr>
      <t xml:space="preserve">Pengajuan Biaya Tambahan Operasional MAPID Academy WebGIS Development Batch 2</t>
    </r>
    <r>
      <t xml:space="preserve"> </t>
    </r>
  </si>
  <si>
    <t/>
    <r>
      <rPr>
        <u/>
        <sz val="9.75"/>
        <color theme="10"/>
        <rFont val="Calibri"/>
        <family val="2"/>
      </rPr>
      <t>https://www.canva.com/design/DAG-00fH3MQ/G5cb7XtEwbGFJkY0wJdsvw/edit?continue_in_browser=true</t>
    </r>
  </si>
  <si>
    <t/>
    <r>
      <rPr>
        <u/>
        <sz val="9.75"/>
        <color theme="10"/>
        <rFont val="Calibri"/>
        <family val="2"/>
      </rPr>
      <t xml:space="preserve">[BRIEF] Thematic Class - Maret 2026</t>
    </r>
    <r>
      <t xml:space="preserve"> </t>
    </r>
  </si>
  <si>
    <t/>
    <r>
      <rPr>
        <u/>
        <sz val="9.75"/>
        <color theme="10"/>
        <rFont val="Calibri"/>
        <family val="2"/>
      </rPr>
      <t>https://mapid25-my.sharepoint.com/:w:/g/personal/business_mapid25_onmicrosoft_com/IQAquYyFJvmTT6VYZWQRkjBEAc8W98hElTlz9aolblWYZHo?e=D4Xfba</t>
    </r>
  </si>
  <si>
    <t/>
    <r>
      <rPr>
        <u/>
        <sz val="9.75"/>
        <color theme="10"/>
        <rFont val="Calibri"/>
        <family val="2"/>
      </rPr>
      <t>https://mapid25-my.sharepoint.com/:w:/g/personal/business_mapid25_onmicrosoft_com/IQBzWkXMTlSITbUFGmbSXry-AV_fkiyn-s63zZR1rDvGwno?e=ULKc7r</t>
    </r>
  </si>
  <si>
    <t/>
    <r>
      <t xml:space="preserve">15.00: meeting sm user terkait report survey dan monitoring dashboard
</t>
    </r>
    <r>
      <t xml:space="preserve">link laporan pilot project survei nabati: </t>
    </r>
    <r>
      <rPr>
        <u/>
        <sz val="9.75"/>
        <color theme="10"/>
        <rFont val="Calibri"/>
        <family val="2"/>
      </rPr>
      <t>https://mapid25-my.sharepoint.com/:w:/g/personal/business_mapid25_onmicrosoft_com/IQA6mgb9Qe5JSL4PFyKJpBPVAS8-THXubul5-dfu7iJSjoU?e=o6aDT2</t>
    </r>
  </si>
  <si>
    <t/>
    <r>
      <rPr>
        <u/>
        <sz val="9.75"/>
        <color theme="10"/>
        <rFont val="Calibri"/>
        <family val="2"/>
      </rPr>
      <t>https://mapid25-my.sharepoint.com/:w:/g/personal/business_mapid25_onmicrosoft_com/IQBzWkXMTlSITbUFGmbSXry-AV_fkiyn-s63zZR1rDvGwno?e=SS8KqP</t>
    </r>
  </si>
  <si>
    <t/>
    <r>
      <rPr>
        <u/>
        <sz val="9.75"/>
        <color theme="10"/>
        <rFont val="Calibri"/>
        <family val="2"/>
      </rPr>
      <t>mapid.co.id/SourceCodeBBWSCilicis</t>
    </r>
  </si>
  <si>
    <t/>
    <r>
      <rPr>
        <u/>
        <sz val="9.75"/>
        <color theme="10"/>
        <rFont val="Calibri"/>
        <family val="2"/>
      </rPr>
      <t>https://smartwater.mapid.io/</t>
    </r>
  </si>
  <si>
    <t/>
    <r>
      <rPr>
        <u/>
        <sz val="9.75"/>
        <color theme="10"/>
        <rFont val="Calibri"/>
        <family val="2"/>
      </rPr>
      <t xml:space="preserve">[Brief] MAPID Academy - ADS MAB15</t>
    </r>
    <r>
      <t xml:space="preserve"> </t>
    </r>
  </si>
  <si>
    <t/>
    <r>
      <rPr>
        <u/>
        <sz val="9.75"/>
        <color theme="10"/>
        <rFont val="Calibri"/>
        <family val="2"/>
      </rPr>
      <t xml:space="preserve">Concept Course Lab for 2026 - Q1</t>
    </r>
    <r>
      <t xml:space="preserve"> </t>
    </r>
  </si>
  <si>
    <t/>
    <r>
      <rPr>
        <u/>
        <sz val="9.75"/>
        <color theme="10"/>
        <rFont val="Calibri"/>
        <family val="2"/>
      </rPr>
      <t xml:space="preserve">Concept Course Lab for 2026</t>
    </r>
    <r>
      <t xml:space="preserve"> </t>
    </r>
  </si>
  <si>
    <t/>
    <r>
      <t xml:space="preserve">sudah approved mba muf dan sedang proses dokumen adendum
</t>
    </r>
    <r>
      <t xml:space="preserve">link dokumen CRF: </t>
    </r>
    <r>
      <rPr>
        <u/>
        <sz val="9.75"/>
        <color theme="10"/>
        <rFont val="Calibri"/>
        <family val="2"/>
      </rPr>
      <t>https://mapid25-my.sharepoint.com/:w:/g/personal/business_mapid25_onmicrosoft_com/IQBxHyldQ5BCQZ2KSrr2AKSaAcRKLt-DjhB8iXYPIrRU8uM?e=mj55AP</t>
    </r>
    <r>
      <t xml:space="preserve">
</t>
    </r>
    <r>
      <t xml:space="preserve">link itungan modal: </t>
    </r>
    <r>
      <rPr>
        <u/>
        <sz val="9.75"/>
        <color theme="10"/>
        <rFont val="Calibri"/>
        <family val="2"/>
      </rPr>
      <t>https://mapid25-my.sharepoint.com/:x:/g/personal/business_mapid25_onmicrosoft_com/IQD8XqBA3faMR7j0ViSd_fgZAWSIQgpfQs4DjIF9rvZwX3M?e=y5Rjrw</t>
    </r>
  </si>
  <si>
    <t/>
    <r>
      <rPr>
        <u/>
        <sz val="9.75"/>
        <color theme="10"/>
        <rFont val="Calibri"/>
        <family val="2"/>
      </rPr>
      <t>https://mapid25-my.sharepoint.com/:w:/g/personal/business_mapid25_onmicrosoft_com/IQAZIEG04xhkRbEGw9LP59eRAeZZN3t8pZY9Raiv4cDM3Bs?e=JTIpg3</t>
    </r>
  </si>
  <si>
    <t/>
    <r>
      <rPr>
        <u/>
        <sz val="9.75"/>
        <color theme="10"/>
        <rFont val="Calibri"/>
        <family val="2"/>
      </rPr>
      <t xml:space="preserve">Dokumen Konsep Film Dokumenter</t>
    </r>
    <r>
      <t xml:space="preserve"> </t>
    </r>
  </si>
  <si>
    <t/>
    <r>
      <t xml:space="preserve">Community 
</t>
    </r>
    <r>
      <t xml:space="preserve">- Chatshow ✅ 
</t>
    </r>
    <r>
      <t xml:space="preserve">- Opening Survey di Apps (ngedit videonya)
</t>
    </r>
    <r>
      <t xml:space="preserve">- Free Class (materi, beli zoom karna bentrok)</t>
    </r>
    <r>
      <t xml:space="preserve">
</t>
    </r>
    <r>
      <t xml:space="preserve">- survey gorontalo (</t>
    </r>
    <r>
      <rPr>
        <u/>
        <sz val="9.75"/>
        <color theme="10"/>
        <rFont val="Calibri"/>
        <family val="2"/>
      </rPr>
      <t>https://csgh0664zke9.sg.larksuite.com/docx/IfvgdFaM8o3WRuxlHSYluRNugke)</t>
    </r>
  </si>
  <si>
    <t/>
    <r>
      <rPr>
        <u/>
        <sz val="9.75"/>
        <color theme="10"/>
        <rFont val="Calibri"/>
        <family val="2"/>
      </rPr>
      <t>https://mapid25-my.sharepoint.com/:w:/g/personal/business_mapid25_onmicrosoft_com/IQCn731vnV5CSqiJ36d0QyrfAT72QvLAk7XuZ05snvBpDfs?e=O2yExq</t>
    </r>
  </si>
  <si>
    <t/>
    <r>
      <t xml:space="preserve">Fee Surveyor </t>
    </r>
    <r>
      <rPr>
        <u/>
        <sz val="9.75"/>
        <color theme="10"/>
        <rFont val="Calibri"/>
        <family val="2"/>
      </rPr>
      <t xml:space="preserve">Pricing Pilot Project.xlsx</t>
    </r>
    <r>
      <t xml:space="preserve">
</t>
    </r>
    <r>
      <t xml:space="preserve">Draft SoW </t>
    </r>
    <r>
      <rPr>
        <u/>
        <sz val="9.75"/>
        <color theme="10"/>
        <rFont val="Calibri"/>
        <family val="2"/>
      </rPr>
      <t xml:space="preserve">SOW - Pilot In Store Survey Nabati</t>
    </r>
  </si>
  <si>
    <t/>
    <r>
      <rPr>
        <u/>
        <sz val="9.75"/>
        <color theme="10"/>
        <rFont val="Calibri"/>
        <family val="2"/>
      </rPr>
      <t xml:space="preserve">SOCMED EDITORIAL PLAN (2026)</t>
    </r>
    <r>
      <t xml:space="preserve"> </t>
    </r>
  </si>
  <si>
    <t/>
    <r>
      <t xml:space="preserve">pupuk's internal progress and its timeline can be seen here </t>
    </r>
    <r>
      <rPr>
        <u/>
        <sz val="9.75"/>
        <color theme="10"/>
        <rFont val="Calibri"/>
        <family val="2"/>
      </rPr>
      <t xml:space="preserve">Benchmarking Survei Komoditas Pupuk Indonesia</t>
    </r>
    <r>
      <t xml:space="preserve"> </t>
    </r>
  </si>
  <si>
    <t/>
    <r>
      <rPr>
        <u/>
        <sz val="9.75"/>
        <color theme="10"/>
        <rFont val="Calibri"/>
        <family val="2"/>
      </rPr>
      <t>https://www.canva.com/design/DAHFApucXlo/7IPvQt140gViixtowk0xjg/edit?utm_content=DAHFApucXlo&amp;utm_campaign=designshare&amp;utm_medium=link2&amp;utm_source=sharebutton</t>
    </r>
    <r>
      <t xml:space="preserve">
</t>
    </r>
    <r>
      <t xml:space="preserve">
</t>
    </r>
    <r>
      <t xml:space="preserve">file pendukung:
</t>
    </r>
    <r>
      <rPr>
        <u/>
        <sz val="9.75"/>
        <color theme="10"/>
        <rFont val="Calibri"/>
        <family val="2"/>
      </rPr>
      <t xml:space="preserve">MAPID Social Media Report - Februari</t>
    </r>
    <r>
      <t xml:space="preserve">  </t>
    </r>
    <r>
      <rPr>
        <u/>
        <sz val="9.75"/>
        <color theme="10"/>
        <rFont val="Calibri"/>
        <family val="2"/>
      </rPr>
      <t xml:space="preserve">MAPID Social Media Report - Maret</t>
    </r>
    <r>
      <t xml:space="preserve">  </t>
    </r>
    <r>
      <rPr>
        <u/>
        <sz val="9.75"/>
        <color theme="10"/>
        <rFont val="Calibri"/>
        <family val="2"/>
      </rPr>
      <t xml:space="preserve">REKAP MAPID Sales - Maret 2026</t>
    </r>
    <r>
      <t xml:space="preserve">  </t>
    </r>
    <r>
      <rPr>
        <u/>
        <sz val="9.75"/>
        <color theme="10"/>
        <rFont val="Calibri"/>
        <family val="2"/>
      </rPr>
      <t xml:space="preserve">REKAP MAPID Sales - Februari 2026</t>
    </r>
    <r>
      <t xml:space="preserve"> </t>
    </r>
  </si>
  <si>
    <t/>
    <r>
      <rPr>
        <u/>
        <sz val="9.75"/>
        <color theme="10"/>
        <rFont val="Calibri"/>
        <family val="2"/>
      </rPr>
      <t>https://mapid25-my.sharepoint.com/:x:/g/personal/business_mapid25_onmicrosoft_com/IQCwiNGfE_UkSrUAGY5JVVI9AezBu0RckT-Eww3Sv6wb2ok?e=b2l5Gp</t>
    </r>
  </si>
  <si>
    <t/>
    <r>
      <rPr>
        <u/>
        <sz val="9.75"/>
        <color theme="10"/>
        <rFont val="Calibri"/>
        <family val="2"/>
      </rPr>
      <t>https://mapidbusinessteam.netlify.app/</t>
    </r>
  </si>
  <si>
    <t/>
    <r>
      <rPr>
        <u/>
        <sz val="9.75"/>
        <color theme="10"/>
        <rFont val="Calibri"/>
        <family val="2"/>
      </rPr>
      <t>https://mapid25-my.sharepoint.com/:w:/g/personal/business_mapid25_onmicrosoft_com/IQBYNW8sJMaBQJ5gmGIaCq18Afd08Oy4Ud5MZPro0j4rv3E?e=E4IrxY</t>
    </r>
  </si>
  <si>
    <t/>
    <r>
      <rPr>
        <u/>
        <sz val="9.75"/>
        <color theme="10"/>
        <rFont val="Calibri"/>
        <family val="2"/>
      </rPr>
      <t>joincreop@gmail.com</t>
    </r>
  </si>
  <si>
    <t/>
    <r>
      <rPr>
        <u/>
        <sz val="9.75"/>
        <color theme="10"/>
        <rFont val="Calibri"/>
        <family val="2"/>
      </rPr>
      <t>https://mapid25-my.sharepoint.com/:w:/g/personal/business_mapid25_onmicrosoft_com/IQC1h14fsA20Sae4Va8s6M65AbhvOhmM6b1zWjCKzU9y9RQ?e=bMpEut</t>
    </r>
  </si>
  <si>
    <t/>
    <r>
      <rPr>
        <sz val="9.75"/>
        <color rgb="FF000000"/>
        <rFont val="Calibri"/>
        <family val="2"/>
      </rPr>
      <t xml:space="preserve">Sudah di contact tapi belum membalas
CUSTOMER SUMMARY - DEMO CALL
Mencari tools untuk mapping dan analisis potensi area dalam rangka ekspansi pembukaan cabang baru di kota-kota yang belum familiar.
</t>
    </r>
    <r>
      <rPr>
        <b/>
        <sz val="9.75"/>
        <color rgb="FF000000"/>
        <rFont val="Calibri"/>
        <family val="2"/>
      </rPr>
      <t xml:space="preserve">Target Kota Ekspansi:</t>
    </r>
    <r>
      <rPr>
        <sz val="9.75"/>
        <color rgb="FF000000"/>
        <rFont val="Calibri"/>
        <family val="2"/>
      </rPr>
      <t xml:space="preserve"> Semarang (prioritas pertama), Malang, Bandung, Surabaya, Jakarta, total 6 kota dalam 1 tahun.
</t>
    </r>
    <r>
      <rPr>
        <b/>
        <sz val="9.75"/>
        <color rgb="FF000000"/>
        <rFont val="Calibri"/>
        <family val="2"/>
      </rPr>
      <t>Timeline:</t>
    </r>
    <r>
      <rPr>
        <sz val="9.75"/>
        <color rgb="FF000000"/>
        <rFont val="Calibri"/>
        <family val="2"/>
      </rPr>
      <t xml:space="preserve"> Sudah mulai bergerak untuk Semarang, lanjut Malang, dan target keseluruhan 6 kota selesai dalam 1 tahun.
</t>
    </r>
    <r>
      <rPr>
        <b/>
        <sz val="9.75"/>
        <color rgb="FF000000"/>
        <rFont val="Calibri"/>
        <family val="2"/>
      </rPr>
      <t xml:space="preserve">Pain Point:</t>
    </r>
    <r>
      <rPr>
        <sz val="9.75"/>
        <color rgb="FF000000"/>
        <rFont val="Calibri"/>
        <family val="2"/>
      </rPr>
      <t xml:space="preserve"> Perlu analisis lokasi strategis berbasis data, terutama untuk kota-kota baru yang belum pernah ditinggali sebelumnya.
</t>
    </r>
    <r>
      <rPr>
        <b/>
        <sz val="9.75"/>
        <color rgb="FF000000"/>
        <rFont val="Calibri"/>
        <family val="2"/>
      </rPr>
      <t>Status:</t>
    </r>
    <r>
      <rPr>
        <sz val="9.75"/>
        <color rgb="FF000000"/>
        <rFont val="Calibri"/>
        <family val="2"/>
      </rPr>
      <t xml:space="preserve"> Tertarik untuk demo/simulasi langsung, fokus awal pada kota Semarang.</t>
    </r>
  </si>
  <si>
    <t/>
    <r>
      <rPr>
        <u/>
        <sz val="10.5"/>
        <color theme="10"/>
        <rFont val="Calibri"/>
        <family val="2"/>
      </rPr>
      <t>dolat@nec.co.id</t>
    </r>
  </si>
  <si>
    <t/>
    <r>
      <rPr>
        <u/>
        <sz val="10.5"/>
        <color theme="10"/>
        <rFont val="Calibri"/>
        <family val="2"/>
      </rPr>
      <t>antonius.wisanggeni@biznetnetworks.com</t>
    </r>
  </si>
  <si>
    <t/>
    <r>
      <rPr>
        <u/>
        <sz val="10.5"/>
        <color theme="10"/>
        <rFont val="Calibri"/>
        <family val="2"/>
      </rPr>
      <t>https://www.canva.com/design/DAG30bLo_NM/rh3SdJlsLpjDp9E1t_pRCw/edit</t>
    </r>
  </si>
  <si>
    <t/>
    <r>
      <rPr>
        <u/>
        <sz val="10.5"/>
        <color theme="10"/>
        <rFont val="Calibri"/>
        <family val="2"/>
      </rPr>
      <t>radhi.ardhie@metranet.co.id</t>
    </r>
  </si>
  <si>
    <t/>
    <r>
      <rPr>
        <u/>
        <sz val="10.5"/>
        <color theme="10"/>
        <rFont val="Calibri"/>
        <family val="2"/>
      </rPr>
      <t>https://mapid.co.id/CyberJaya</t>
    </r>
  </si>
  <si>
    <t/>
    <r>
      <rPr>
        <u/>
        <sz val="10.5"/>
        <color theme="10"/>
        <rFont val="Calibri"/>
        <family val="2"/>
      </rPr>
      <t>https://www.canva.com/design/DAG-8Jf2K5Q/aZSWwFEyTZ6dWrIEYHpP4A/edit?utm_content=DAG-8Jf2K5Q&amp;utm_campaign=designshare&amp;utm_medium=link2&amp;utm_source=sharebutton</t>
    </r>
  </si>
  <si>
    <t/>
    <r>
      <rPr>
        <u/>
        <sz val="12"/>
        <color theme="10"/>
        <rFont val="Calibri"/>
        <family val="2"/>
      </rPr>
      <t>rhea.danaparamita@english1.com</t>
    </r>
    <r>
      <t xml:space="preserve">
 </t>
    </r>
    <r>
      <rPr>
        <u/>
        <sz val="12"/>
        <color theme="10"/>
        <rFont val="Calibri"/>
        <family val="2"/>
      </rPr>
      <t>agustin.sundari@english1.com</t>
    </r>
    <r>
      <t xml:space="preserve">
 </t>
    </r>
    <r>
      <rPr>
        <u/>
        <sz val="12"/>
        <color theme="10"/>
        <rFont val="Calibri"/>
        <family val="2"/>
      </rPr>
      <t>matthew.kenley@english1.com</t>
    </r>
    <r>
      <t xml:space="preserve">
 </t>
    </r>
    <r>
      <rPr>
        <u/>
        <sz val="12"/>
        <color theme="10"/>
        <rFont val="Calibri"/>
        <family val="2"/>
      </rPr>
      <t>andika.ekaputri@english1.com</t>
    </r>
  </si>
  <si>
    <t/>
    <r>
      <rPr>
        <u/>
        <sz val="10.5"/>
        <color theme="10"/>
        <rFont val="Calibri"/>
        <family val="2"/>
      </rPr>
      <t>https://www.canva.com/design/DAGqH3HTkqU/sBZO-dIh7YVfYRJHUQ2dEA/edit?utm_content=DAGqH3HTkqU&amp;utm_campaign=designshare&amp;utm_medium=link2&amp;utm_source=sharebutton</t>
    </r>
  </si>
  <si>
    <t/>
    <r>
      <rPr>
        <u/>
        <sz val="10.5"/>
        <color theme="10"/>
        <rFont val="Calibri"/>
        <family val="2"/>
      </rPr>
      <t>https://www.canva.com/design/DAG2rlohTZI/OOQQEFbtN_oaupn5LVSCzA/edit</t>
    </r>
  </si>
  <si>
    <t/>
    <r>
      <rPr>
        <u/>
        <sz val="10.5"/>
        <color theme="10"/>
        <rFont val="Calibri"/>
        <family val="2"/>
      </rPr>
      <t>https://www.canva.com/design/DAG_MvGpVQk/1872v9AIXn2mZYo7pnf4vQ/edit?utm_content=DAG_MvGpVQk&amp;utm_campaign=designshare&amp;utm_medium=link2&amp;utm_source=sharebutton</t>
    </r>
  </si>
  <si>
    <t/>
    <r>
      <rPr>
        <u/>
        <sz val="10.5"/>
        <color theme="10"/>
        <rFont val="Calibri"/>
        <family val="2"/>
      </rPr>
      <t>https://mapid.co.id/MAPIDforKino</t>
    </r>
  </si>
  <si>
    <t/>
    <r>
      <rPr>
        <u/>
        <sz val="10.5"/>
        <color theme="10"/>
        <rFont val="Calibri"/>
        <family val="2"/>
      </rPr>
      <t>https://www.canva.com/design/DAG78v-baWo/5BobnRbsZ8Aqwnq1zgqrxg/edit?utm_content=DAG78v-baWo&amp;utm_campaign=designshare&amp;utm_medium=link2&amp;utm_source=sharebutton</t>
    </r>
  </si>
  <si>
    <t/>
    <r>
      <rPr>
        <u/>
        <sz val="10.5"/>
        <color theme="10"/>
        <rFont val="Calibri"/>
        <family val="2"/>
      </rPr>
      <t>https://mapid.co.id/MAPIDforPelindo</t>
    </r>
  </si>
  <si>
    <t/>
    <r>
      <rPr>
        <u/>
        <sz val="10.5"/>
        <color theme="10"/>
        <rFont val="Calibri"/>
        <family val="2"/>
      </rPr>
      <t>dewi.madyani@takeda.com</t>
    </r>
  </si>
  <si>
    <t/>
    <r>
      <rPr>
        <u/>
        <sz val="10.5"/>
        <color theme="10"/>
        <rFont val="Calibri"/>
        <family val="2"/>
      </rPr>
      <t>fransiscus.johan@erajaya.com</t>
    </r>
  </si>
  <si>
    <t/>
    <r>
      <rPr>
        <u/>
        <sz val="10.5"/>
        <color theme="10"/>
        <rFont val="Calibri"/>
        <family val="2"/>
      </rPr>
      <t>http://mapid.co.id/MAPIDforErajaya</t>
    </r>
  </si>
  <si>
    <t/>
    <r>
      <rPr>
        <u/>
        <sz val="10.5"/>
        <color theme="10"/>
        <rFont val="Calibri"/>
        <family val="2"/>
      </rPr>
      <t>kawano@indokoei.co.id</t>
    </r>
  </si>
  <si>
    <t/>
    <r>
      <rPr>
        <u/>
        <sz val="10.5"/>
        <color theme="10"/>
        <rFont val="Calibri"/>
        <family val="2"/>
      </rPr>
      <t>https://csgh0664zke9.sg.larksuite.com/file/Jnq3bU6vxoZH7Gx7oWFlEFoLgkb?from=from_copylink</t>
    </r>
  </si>
  <si>
    <t/>
    <r>
      <rPr>
        <u/>
        <sz val="10.5"/>
        <color theme="10"/>
        <rFont val="Calibri"/>
        <family val="2"/>
      </rPr>
      <t>sylvia.monica@ocbc.id</t>
    </r>
  </si>
  <si>
    <t/>
    <r>
      <rPr>
        <u/>
        <sz val="10.5"/>
        <color theme="10"/>
        <rFont val="Calibri"/>
        <family val="2"/>
      </rPr>
      <t>nurkholis.ari@iconpln.co.id</t>
    </r>
  </si>
  <si>
    <t/>
    <r>
      <rPr>
        <u/>
        <sz val="10.5"/>
        <color theme="10"/>
        <rFont val="Calibri"/>
        <family val="2"/>
      </rPr>
      <t>https://www.canva.com/design/DAG2kqp6kxQ/xim5llb971WKriomuoOvaA/edit</t>
    </r>
  </si>
  <si>
    <t/>
    <r>
      <rPr>
        <u/>
        <sz val="10.5"/>
        <color theme="10"/>
        <rFont val="Calibri"/>
        <family val="2"/>
      </rPr>
      <t>irwansyah@psn.co.id</t>
    </r>
  </si>
  <si>
    <t/>
    <r>
      <rPr>
        <u/>
        <sz val="10.5"/>
        <color theme="10"/>
        <rFont val="Calibri"/>
        <family val="2"/>
      </rPr>
      <t>jismil.lathif@gmail.com</t>
    </r>
  </si>
  <si>
    <t/>
    <r>
      <rPr>
        <u/>
        <sz val="10.5"/>
        <color theme="10"/>
        <rFont val="Calibri"/>
        <family val="2"/>
      </rPr>
      <t>luanacastillo@shopee.com</t>
    </r>
  </si>
  <si>
    <t/>
    <r>
      <rPr>
        <u/>
        <sz val="10.5"/>
        <color theme="10"/>
        <rFont val="Calibri"/>
        <family val="2"/>
      </rPr>
      <t>https://www.canva.com/design/DAG7MhHBnYM/2RGZI6v24YaQ4yYUcM4WUg/edit?utm_content=DAG7MhHBnYM&amp;utm_campaign=designshare&amp;utm_medium=link2&amp;utm_source=sharebutton</t>
    </r>
  </si>
  <si>
    <t/>
    <r>
      <rPr>
        <u/>
        <sz val="10.5"/>
        <color theme="10"/>
        <rFont val="Calibri"/>
        <family val="2"/>
      </rPr>
      <t>lukito.galuh@toyota.astra.co.id</t>
    </r>
  </si>
  <si>
    <t/>
    <r>
      <rPr>
        <u/>
        <sz val="10.5"/>
        <color theme="10"/>
        <rFont val="Calibri"/>
        <family val="2"/>
      </rPr>
      <t xml:space="preserve">RFP Document for OCBC - MAPID.pdf</t>
    </r>
    <r>
      <t xml:space="preserve"> </t>
    </r>
  </si>
  <si>
    <t/>
    <r>
      <rPr>
        <u/>
        <sz val="10.5"/>
        <color theme="10"/>
        <rFont val="Calibri"/>
        <family val="2"/>
      </rPr>
      <t>‎indrawan.fauzi@cinema21.co.id</t>
    </r>
  </si>
  <si>
    <t/>
    <r>
      <rPr>
        <u/>
        <sz val="10.5"/>
        <color theme="10"/>
        <rFont val="Calibri"/>
        <family val="2"/>
      </rPr>
      <t>simon.pasito@hypernet.co.id</t>
    </r>
  </si>
  <si>
    <t/>
    <r>
      <rPr>
        <u/>
        <sz val="10.5"/>
        <color theme="10"/>
        <rFont val="Calibri"/>
        <family val="2"/>
      </rPr>
      <t>https://mapid.co.id/MAPIDforHypernet</t>
    </r>
  </si>
  <si>
    <t/>
    <r>
      <rPr>
        <u/>
        <sz val="10.5"/>
        <color theme="10"/>
        <rFont val="Calibri"/>
        <family val="2"/>
      </rPr>
      <t>https://mapid.co.id/MAPIDforGisara</t>
    </r>
  </si>
  <si>
    <t/>
    <r>
      <rPr>
        <u/>
        <sz val="9.75"/>
        <color theme="10"/>
        <rFont val="Calibri"/>
        <family val="2"/>
      </rPr>
      <t xml:space="preserve">Freelance Community - Hub</t>
    </r>
    <r>
      <t xml:space="preserve"> </t>
    </r>
  </si>
  <si>
    <t/>
    <r>
      <rPr>
        <u/>
        <sz val="9.75"/>
        <color theme="10"/>
        <rFont val="Calibri"/>
        <family val="2"/>
      </rPr>
      <t>mapid.co.id/MAPIDforBTID</t>
    </r>
  </si>
  <si>
    <t/>
    <r>
      <rPr>
        <u/>
        <sz val="9.75"/>
        <color theme="10"/>
        <rFont val="Calibri"/>
        <family val="2"/>
      </rPr>
      <t>https://drive.google.com/drive/folders/100lVF1ora1tETR_h7KYk2vXv4ztHB5ja?usp=drive_link</t>
    </r>
  </si>
  <si>
    <t/>
    <r>
      <rPr>
        <u/>
        <color theme="10"/>
      </rPr>
      <t>https://csgh0664zke9.sg.larksuite.com/drive/folder/TSsOf894VllmSPdn1dSldLwegvb?from=from_copylink</t>
    </r>
  </si>
  <si>
    <t/>
    <r>
      <rPr>
        <u/>
        <sz val="9.75"/>
        <color theme="10"/>
        <rFont val="Calibri"/>
        <family val="2"/>
      </rPr>
      <t>mapid.co.id/MAPIDforErajaya</t>
    </r>
  </si>
  <si>
    <t/>
    <r>
      <rPr>
        <u/>
        <sz val="9.75"/>
        <color theme="10"/>
        <rFont val="Calibri"/>
        <family val="2"/>
      </rPr>
      <t>mapid.co.id/MAPIDCOMPANYPROFILE</t>
    </r>
  </si>
  <si>
    <t/>
    <r>
      <rPr>
        <u/>
        <sz val="9.75"/>
        <color theme="10"/>
        <rFont val="Calibri"/>
        <family val="2"/>
      </rPr>
      <t>mapid.co.id/MAPIDforPelindo</t>
    </r>
  </si>
  <si>
    <t/>
    <r>
      <rPr>
        <u/>
        <sz val="12"/>
        <color theme="10"/>
        <rFont val="Calibri"/>
        <family val="2"/>
      </rPr>
      <t>irfanfirdaus990@gmail.com</t>
    </r>
    <r>
      <t xml:space="preserve"> / 6287766923330</t>
    </r>
  </si>
  <si>
    <t/>
    <r>
      <rPr>
        <u/>
        <sz val="12"/>
        <color theme="10"/>
        <rFont val="Calibri"/>
        <family val="2"/>
      </rPr>
      <t>krissimbolon28@gmail.com</t>
    </r>
    <r>
      <t xml:space="preserve"> / 6287861647001</t>
    </r>
  </si>
  <si>
    <t/>
    <r>
      <rPr>
        <u/>
        <sz val="12"/>
        <color theme="10"/>
        <rFont val="Calibri"/>
        <family val="2"/>
      </rPr>
      <t>azmansihab@gmail.com</t>
    </r>
  </si>
  <si>
    <t/>
    <r>
      <rPr>
        <u/>
        <sz val="12"/>
        <color theme="10"/>
        <rFont val="Calibri"/>
        <family val="2"/>
      </rPr>
      <t>rifqinaufalfayyadh@gmail.com</t>
    </r>
    <r>
      <t xml:space="preserve"> / 6281911075017</t>
    </r>
  </si>
  <si>
    <t/>
    <r>
      <rPr>
        <u/>
        <sz val="12"/>
        <color theme="10"/>
        <rFont val="Calibri"/>
        <family val="2"/>
      </rPr>
      <t>padangpanjang@gmail.com</t>
    </r>
  </si>
  <si>
    <t/>
    <r>
      <rPr>
        <u/>
        <sz val="12"/>
        <color theme="10"/>
        <rFont val="Calibri"/>
        <family val="2"/>
      </rPr>
      <t>rizalnazari11@gmail.com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</si>
</sst>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2">
    <numFmt numFmtId="164" formatCode="[$-id-ID]&quot;Rp&quot;#,##0_);([$-id-ID]&quot;Rp&quot;#,##0)"/>
    <numFmt numFmtId="165" formatCode="m/d/yyyy"/>
    <numFmt numFmtId="166" formatCode="m/d/yyyy h:mm"/>
    <numFmt numFmtId="167" formatCode="0"/>
    <numFmt numFmtId="168" formatCode="MM/dd/yyyy"/>
    <numFmt numFmtId="169" formatCode="0"/>
    <numFmt numFmtId="170" formatCode="MM/dd/yyyy"/>
    <numFmt numFmtId="171" formatCode="[$-id-ID]&quot;Rp&quot;#,##0_);([$-id-ID]&quot;Rp&quot;#,##0)"/>
    <numFmt numFmtId="172" formatCode="[$-id-ID]&quot;Rp&quot;#,##0_);([$-id-ID]&quot;Rp&quot;#,##0)"/>
    <numFmt numFmtId="173" formatCode="m/d/yyyy"/>
    <numFmt numFmtId="174" formatCode="m/d/yyyy"/>
    <numFmt numFmtId="175" formatCode="0"/>
    <numFmt numFmtId="176" formatCode="[$-id-ID]&quot;Rp&quot;#,##0_);([$-id-ID]&quot;Rp&quot;#,##0)"/>
    <numFmt numFmtId="177" formatCode="0"/>
    <numFmt numFmtId="178" formatCode="0.000"/>
    <numFmt numFmtId="179" formatCode="[$-id-ID]&quot;Rp&quot;#,##0_);([$-id-ID]&quot;Rp&quot;#,##0)"/>
    <numFmt numFmtId="180" formatCode="[$-id-ID]&quot;Rp&quot;#,##0_);([$-id-ID]&quot;Rp&quot;#,##0)"/>
    <numFmt numFmtId="181" formatCode="m/d/yyyy"/>
    <numFmt numFmtId="182" formatCode="[$-id-ID]&quot;Rp&quot;#,##0_);([$-id-ID]&quot;Rp&quot;#,##0)"/>
    <numFmt numFmtId="183" formatCode="m/d/yyyy"/>
    <numFmt numFmtId="184" formatCode="m/d/yyyy"/>
    <numFmt numFmtId="185" formatCode="0"/>
    <numFmt numFmtId="186" formatCode="MM/dd/yyyy"/>
    <numFmt numFmtId="187" formatCode="0.0%"/>
    <numFmt numFmtId="188" formatCode="[$-id-ID]&quot;Rp&quot;#,##0_);([$-id-ID]&quot;Rp&quot;#,##0)"/>
    <numFmt numFmtId="189" formatCode="m/d/yyyy h:mm"/>
    <numFmt numFmtId="190" formatCode="m/d/yyyy"/>
    <numFmt numFmtId="191" formatCode="m/d/yyyy"/>
    <numFmt numFmtId="192" formatCode="m/d/yyyy"/>
    <numFmt numFmtId="193" formatCode="0"/>
    <numFmt numFmtId="194" formatCode="[$-id-ID]&quot;Rp&quot;#,##0_);([$-id-ID]&quot;Rp&quot;#,##0)"/>
    <numFmt numFmtId="195" formatCode="[$-id-ID]&quot;Rp&quot;#,##0_);([$-id-ID]&quot;Rp&quot;#,##0)"/>
    <numFmt numFmtId="196" formatCode="[$-id-ID]&quot;Rp&quot;#,##0_);([$-id-ID]&quot;Rp&quot;#,##0)"/>
    <numFmt numFmtId="197" formatCode="[$-id-ID]&quot;Rp&quot;#,##0_);([$-id-ID]&quot;Rp&quot;#,##0)"/>
    <numFmt numFmtId="198" formatCode="[$-id-ID]&quot;Rp&quot;#,##0_);([$-id-ID]&quot;Rp&quot;#,##0)"/>
    <numFmt numFmtId="199" formatCode="[$-id-ID]&quot;Rp&quot;#,##0_);([$-id-ID]&quot;Rp&quot;#,##0)"/>
    <numFmt numFmtId="200" formatCode="[$-id-ID]&quot;Rp&quot;#,##0_);([$-id-ID]&quot;Rp&quot;#,##0)"/>
    <numFmt numFmtId="201" formatCode="[$-id-ID]&quot;Rp&quot;#,##0_);([$-id-ID]&quot;Rp&quot;#,##0)"/>
    <numFmt numFmtId="202" formatCode="[$-id-ID]&quot;Rp&quot;#,##0_);([$-id-ID]&quot;Rp&quot;#,##0)"/>
    <numFmt numFmtId="203" formatCode="[$-id-ID]&quot;Rp&quot;#,##0_);([$-id-ID]&quot;Rp&quot;#,##0)"/>
    <numFmt numFmtId="204" formatCode="[$-id-ID]&quot;Rp&quot;#,##0_);([$-id-ID]&quot;Rp&quot;#,##0)"/>
    <numFmt numFmtId="205" formatCode="[$-id-ID]&quot;Rp&quot;#,##0_);([$-id-ID]&quot;Rp&quot;#,##0)"/>
    <numFmt numFmtId="206" formatCode="0%"/>
    <numFmt numFmtId="207" formatCode="[$-id-ID]&quot;Rp&quot;#,##0_);([$-id-ID]&quot;Rp&quot;#,##0)"/>
    <numFmt numFmtId="208" formatCode="[$-id-ID]&quot;Rp&quot;#,##0_);([$-id-ID]&quot;Rp&quot;#,##0)"/>
    <numFmt numFmtId="209" formatCode="[$-id-ID]&quot;Rp&quot;#,##0_);([$-id-ID]&quot;Rp&quot;#,##0)"/>
    <numFmt numFmtId="210" formatCode="[$-id-ID]&quot;Rp&quot;#,##0_);([$-id-ID]&quot;Rp&quot;#,##0)"/>
    <numFmt numFmtId="211" formatCode="[$-id-ID]&quot;Rp&quot;#,##0_);([$-id-ID]&quot;Rp&quot;#,##0)"/>
    <numFmt numFmtId="212" formatCode="[$-id-ID]&quot;Rp&quot;#,##0_);([$-id-ID]&quot;Rp&quot;#,##0)"/>
    <numFmt numFmtId="213" formatCode="[$-id-ID]&quot;Rp&quot;#,##0_);([$-id-ID]&quot;Rp&quot;#,##0)"/>
    <numFmt numFmtId="214" formatCode="MM/dd/yyyy"/>
    <numFmt numFmtId="215" formatCode="MM/dd/yyyy"/>
    <numFmt numFmtId="216" formatCode="MM/dd/yyyy"/>
    <numFmt numFmtId="217" formatCode="mm/dd/yy"/>
    <numFmt numFmtId="218" formatCode="m/d/yyyy"/>
    <numFmt numFmtId="219" formatCode="m/d/yyyy"/>
    <numFmt numFmtId="220" formatCode="[$-id-ID]&quot;Rp&quot;#,##0_);([$-id-ID]&quot;Rp&quot;#,##0)"/>
    <numFmt numFmtId="221" formatCode="[$-id-ID]&quot;Rp&quot;#,##0_);([$-id-ID]&quot;Rp&quot;#,##0)"/>
    <numFmt numFmtId="222" formatCode="[$-id-ID]&quot;Rp&quot;#,##0.00_);([$-id-ID]&quot;Rp&quot;#,##0.00)"/>
    <numFmt numFmtId="223" formatCode="0%"/>
    <numFmt numFmtId="224" formatCode="[$-id-ID]&quot;Rp&quot;#,##0_);([$-id-ID]&quot;Rp&quot;#,##0)"/>
    <numFmt numFmtId="225" formatCode="0.00"/>
    <numFmt numFmtId="226" formatCode="MM/dd/yyyy"/>
    <numFmt numFmtId="227" formatCode="0.00"/>
    <numFmt numFmtId="228" formatCode="@"/>
    <numFmt numFmtId="229" formatCode="@"/>
    <numFmt numFmtId="230" formatCode="@"/>
    <numFmt numFmtId="231" formatCode="0.00"/>
    <numFmt numFmtId="232" formatCode="0.00"/>
    <numFmt numFmtId="233" formatCode="@"/>
    <numFmt numFmtId="234" formatCode="0.00"/>
    <numFmt numFmtId="235" formatCode="0.00"/>
    <numFmt numFmtId="236" formatCode="0.00"/>
    <numFmt numFmtId="237" formatCode="@"/>
    <numFmt numFmtId="238" formatCode="General"/>
    <numFmt numFmtId="239" formatCode="dd/MM/yyyy"/>
    <numFmt numFmtId="240" formatCode="dd/MM/yyyy"/>
    <numFmt numFmtId="241" formatCode="m/d/yyyy"/>
    <numFmt numFmtId="242" formatCode="dd/MM/yyyy"/>
    <numFmt numFmtId="243" formatCode="dd/MM/yyyy"/>
    <numFmt numFmtId="244" formatCode="dd/MM/yyyy"/>
    <numFmt numFmtId="245" formatCode="m/d/yyyy"/>
    <numFmt numFmtId="246" formatCode="General"/>
    <numFmt numFmtId="247" formatCode="General"/>
    <numFmt numFmtId="248" formatCode="General"/>
    <numFmt numFmtId="249" formatCode="General"/>
    <numFmt numFmtId="250" formatCode="m/d/yyyy"/>
    <numFmt numFmtId="251" formatCode="m/d/yyyy"/>
    <numFmt numFmtId="252" formatCode="m/d/yyyy"/>
    <numFmt numFmtId="253" formatCode="0%"/>
    <numFmt numFmtId="254" formatCode="d-mmm-yy"/>
    <numFmt numFmtId="255" formatCode="0%"/>
    <numFmt numFmtId="256" formatCode="0%"/>
    <numFmt numFmtId="257" formatCode="0%"/>
    <numFmt numFmtId="258" formatCode="m/d/yyyy"/>
    <numFmt numFmtId="259" formatCode="#,##0"/>
    <numFmt numFmtId="260" formatCode="m/d/yyyy"/>
    <numFmt numFmtId="261" formatCode="d-mmm-yy"/>
    <numFmt numFmtId="262" formatCode="#,##0"/>
    <numFmt numFmtId="263" formatCode="#,##0"/>
    <numFmt numFmtId="264" formatCode="#,##0"/>
    <numFmt numFmtId="265" formatCode="#,##0"/>
  </numFmts>
  <fonts count="47">
    <font>
      <sz val="10"/>
      <color theme="1"/>
      <name val="Calibri"/>
      <family val="2"/>
      <scheme val="minor"/>
    </font>
    <font>
      <sz val="18"/>
      <color rgb="FF000000"/>
      <name val="Calibri"/>
      <family val="2"/>
      <scheme val="minor"/>
    </font>
    <font>
      <sz val="10"/>
      <color rgb="FF000000"/>
      <name val="Calibri"/>
      <family val="2"/>
      <scheme val="minor"/>
    </font>
    <font>
      <sz val="11"/>
      <color rgb="FF000000"/>
      <name val="Calibri"/>
      <family val="2"/>
      <scheme val="minor"/>
    </font>
    <font>
      <sz val="10"/>
      <color rgb="FF000000"/>
      <name val="Calibri"/>
      <family val="2"/>
      <scheme val="minor"/>
    </font>
    <font>
      <b val="true"/>
      <sz val="11"/>
      <color rgb="FF000000"/>
      <name val="Calibri"/>
      <family val="2"/>
      <scheme val="minor"/>
    </font>
    <font>
      <b val="true"/>
      <sz val="14"/>
      <color rgb="FFFFFFFF"/>
      <name val="Calibri"/>
      <family val="2"/>
      <scheme val="minor"/>
    </font>
    <font>
      <sz val="9"/>
      <color rgb="FF000000"/>
      <name val="Calibri"/>
      <family val="2"/>
      <scheme val="minor"/>
    </font>
    <font>
      <b val="true"/>
      <sz val="18"/>
      <color rgb="FFFFFFFF"/>
      <name val="Calibri"/>
      <family val="2"/>
      <scheme val="minor"/>
    </font>
    <font>
      <b val="true"/>
      <sz val="12"/>
      <color rgb="FF000000"/>
      <name val="Calibri"/>
      <family val="2"/>
      <scheme val="minor"/>
    </font>
    <font>
      <b val="true"/>
      <sz val="10"/>
      <color rgb="FF000000"/>
      <name val="Calibri"/>
      <family val="2"/>
      <scheme val="minor"/>
    </font>
    <font>
      <sz val="10"/>
      <color rgb="FFFFFFFF"/>
      <name val="Calibri"/>
      <family val="2"/>
      <scheme val="minor"/>
    </font>
    <font>
      <b val="true"/>
      <sz val="10"/>
      <color rgb="FF000000"/>
      <name val="Calibri"/>
      <family val="2"/>
      <scheme val="minor"/>
    </font>
    <font>
      <sz val="24"/>
      <color rgb="FF000000"/>
      <name val="Calibri"/>
      <family val="2"/>
      <scheme val="minor"/>
    </font>
    <font>
      <b val="true"/>
      <sz val="11"/>
      <color rgb="FF000000"/>
      <name val="Calibri"/>
      <family val="2"/>
      <scheme val="minor"/>
    </font>
    <font>
      <sz val="12"/>
      <color rgb="FF1F2329"/>
      <name val="Calibri"/>
      <family val="2"/>
      <scheme val="minor"/>
    </font>
    <font>
      <b val="true"/>
      <sz val="10"/>
      <color rgb="FF1F2329"/>
      <name val="Calibri"/>
      <family val="2"/>
      <scheme val="minor"/>
    </font>
    <font>
      <sz val="11"/>
      <color rgb="FF2D2E34"/>
      <name val="Calibri"/>
      <family val="2"/>
      <scheme val="minor"/>
    </font>
    <font>
      <sz val="10"/>
      <color rgb="FF1F2329"/>
      <name val="Calibri"/>
      <family val="2"/>
      <scheme val="minor"/>
    </font>
    <font>
      <sz val="14"/>
      <color rgb="FF000000"/>
      <name val="Calibri"/>
      <family val="2"/>
      <scheme val="minor"/>
    </font>
    <font>
      <sz val="24"/>
      <color rgb="FF000000"/>
      <name val="Calibri"/>
      <family val="2"/>
      <scheme val="minor"/>
    </font>
    <font>
      <sz val="10"/>
      <color rgb="FF373C43"/>
      <name val="Calibri"/>
      <family val="2"/>
      <scheme val="minor"/>
    </font>
    <font>
      <sz val="12"/>
      <color rgb="FF000000"/>
      <name val="Calibri"/>
      <family val="2"/>
      <scheme val="minor"/>
    </font>
    <font>
      <sz val="14"/>
      <color rgb="FF000000"/>
      <name val="Calibri"/>
      <family val="2"/>
      <scheme val="minor"/>
    </font>
    <font>
      <b val="true"/>
      <sz val="18"/>
      <color rgb="FF000000"/>
      <name val="Calibri"/>
      <family val="2"/>
      <scheme val="minor"/>
    </font>
    <font>
      <u val="single"/>
      <sz val="12"/>
      <color rgb="FF0000EE"/>
      <name val="Calibri"/>
      <family val="2"/>
      <scheme val="minor"/>
    </font>
    <font>
      <i val="true"/>
      <sz val="14"/>
      <color rgb="FF000000"/>
      <name val="Calibri"/>
      <family val="2"/>
      <scheme val="minor"/>
    </font>
    <font>
      <sz val="9"/>
      <color rgb="FF000000"/>
      <name val="Calibri"/>
      <family val="2"/>
      <scheme val="minor"/>
    </font>
    <font>
      <b val="true"/>
      <sz val="10"/>
      <color rgb="FFFFFFFF"/>
      <name val="Calibri"/>
      <family val="2"/>
      <scheme val="minor"/>
    </font>
    <font>
      <b val="true"/>
      <sz val="12"/>
      <color rgb="FFFFFFFF"/>
      <name val="Calibri"/>
      <family val="2"/>
      <scheme val="minor"/>
    </font>
    <font>
      <b val="true"/>
      <sz val="14"/>
      <color rgb="FF000000"/>
      <name val="Calibri"/>
      <family val="2"/>
      <scheme val="minor"/>
    </font>
    <font>
      <sz val="36"/>
      <color rgb="FF000000"/>
      <name val="Calibri"/>
      <family val="2"/>
      <scheme val="minor"/>
    </font>
    <font>
      <sz val="36"/>
      <color rgb="FF000000"/>
      <name val="Calibri"/>
      <family val="2"/>
      <scheme val="minor"/>
    </font>
    <font>
      <i val="true"/>
      <sz val="18"/>
      <color rgb="FF000000"/>
      <name val="Calibri"/>
      <family val="2"/>
      <scheme val="minor"/>
    </font>
    <font>
      <b val="true"/>
      <sz val="9"/>
      <color rgb="FF000000"/>
      <name val="Calibri"/>
      <family val="2"/>
      <scheme val="minor"/>
    </font>
    <font>
      <sz val="11"/>
      <color rgb="FF1F2329"/>
      <name val="Calibri"/>
      <family val="2"/>
      <scheme val="minor"/>
    </font>
    <font>
      <sz val="12"/>
      <color rgb="FF9C0006"/>
      <name val="Calibri"/>
      <family val="2"/>
      <scheme val="minor"/>
    </font>
    <font>
      <sz val="12"/>
      <color rgb="FF9C5700"/>
      <name val="Calibri"/>
      <family val="2"/>
      <scheme val="minor"/>
    </font>
    <font>
      <u val="single"/>
      <sz val="11"/>
      <color rgb="FF0000EE"/>
      <name val="Calibri"/>
      <family val="2"/>
      <scheme val="minor"/>
    </font>
    <font>
      <sz val="12"/>
      <color rgb="FF006100"/>
      <name val="Calibri"/>
      <family val="2"/>
      <scheme val="minor"/>
    </font>
    <font>
      <b val="true"/>
      <sz val="12"/>
      <color rgb="FF262626"/>
      <name val="Calibri"/>
      <family val="2"/>
      <scheme val="minor"/>
    </font>
    <font>
      <sz val="12"/>
      <color rgb="FFFFFFFF"/>
      <name val="Calibri"/>
      <family val="2"/>
      <scheme val="minor"/>
    </font>
    <font>
      <sz val="28"/>
      <color rgb="FF303B53"/>
      <name val="Calibri"/>
      <family val="2"/>
      <scheme val="minor"/>
    </font>
    <font>
      <u val="single"/>
      <sz val="11"/>
      <color rgb="FF0563C1"/>
      <name val="Calibri"/>
      <family val="2"/>
      <scheme val="minor"/>
    </font>
    <font>
      <sz val="11"/>
      <color rgb="FF242424"/>
      <name val="Calibri"/>
      <family val="2"/>
      <scheme val="minor"/>
    </font>
    <font>
      <b val="true"/>
      <sz val="11"/>
      <color rgb="FF1F2329"/>
      <name val="Calibri"/>
      <family val="2"/>
      <scheme val="minor"/>
    </font>
    <font>
      <sz val="12"/>
      <color rgb="FF262626"/>
      <name val="Calibri"/>
      <family val="2"/>
      <scheme val="minor"/>
    </font>
  </fonts>
  <fills count="134">
    <fill>
      <patternFill patternType="none">
        <fgColor/>
        <bgColor/>
      </patternFill>
    </fill>
    <fill>
      <patternFill patternType="gray125">
        <fgColor/>
        <bgColor/>
      </patternFill>
    </fill>
    <fill>
      <patternFill patternType="solid">
        <fgColor rgb="FFF8F9FA"/>
        <bgColor/>
      </patternFill>
    </fill>
    <fill>
      <patternFill patternType="solid">
        <fgColor rgb="FFFAF1D1"/>
        <bgColor/>
      </patternFill>
    </fill>
    <fill>
      <patternFill patternType="solid">
        <fgColor rgb="FFF8F9FA"/>
        <bgColor/>
      </patternFill>
    </fill>
    <fill>
      <patternFill patternType="solid">
        <fgColor rgb="FFFBBFBC"/>
        <bgColor/>
      </patternFill>
    </fill>
    <fill>
      <patternFill patternType="solid">
        <fgColor rgb="FFFBBFBC"/>
        <bgColor/>
      </patternFill>
    </fill>
    <fill>
      <patternFill patternType="solid">
        <fgColor rgb="FF3370FF"/>
        <bgColor/>
      </patternFill>
    </fill>
    <fill>
      <patternFill patternType="solid">
        <fgColor rgb="FFFBBFBC"/>
        <bgColor/>
      </patternFill>
    </fill>
    <fill>
      <patternFill patternType="solid">
        <fgColor rgb="FFFAF1D1"/>
        <bgColor/>
      </patternFill>
    </fill>
    <fill>
      <patternFill patternType="solid">
        <fgColor rgb="FFFAF1D1"/>
        <bgColor/>
      </patternFill>
    </fill>
    <fill>
      <patternFill patternType="solid">
        <fgColor rgb="FFF8F9FA"/>
        <bgColor/>
      </patternFill>
    </fill>
    <fill>
      <patternFill patternType="solid">
        <fgColor rgb="FFFAF1D1"/>
        <bgColor/>
      </patternFill>
    </fill>
    <fill>
      <patternFill patternType="solid">
        <fgColor rgb="FFFAF1D1"/>
        <bgColor/>
      </patternFill>
    </fill>
    <fill>
      <patternFill patternType="solid">
        <fgColor rgb="FFF54A45"/>
        <bgColor/>
      </patternFill>
    </fill>
    <fill>
      <patternFill patternType="solid">
        <fgColor rgb="FFFAF1D1"/>
        <bgColor/>
      </patternFill>
    </fill>
    <fill>
      <patternFill patternType="solid">
        <fgColor rgb="FFF54A45"/>
        <bgColor/>
      </patternFill>
    </fill>
    <fill>
      <patternFill patternType="solid">
        <fgColor rgb="FFFAF1D1"/>
        <bgColor/>
      </patternFill>
    </fill>
    <fill>
      <patternFill patternType="solid">
        <fgColor rgb="FFFAF1D1"/>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FBBFBC"/>
        <bgColor/>
      </patternFill>
    </fill>
    <fill>
      <patternFill patternType="solid">
        <fgColor rgb="FFF8F9FA"/>
        <bgColor/>
      </patternFill>
    </fill>
    <fill>
      <patternFill patternType="solid">
        <fgColor rgb="FFF54A45"/>
        <bgColor/>
      </patternFill>
    </fill>
    <fill>
      <patternFill patternType="solid">
        <fgColor rgb="FFF54A45"/>
        <bgColor/>
      </patternFill>
    </fill>
    <fill>
      <patternFill patternType="solid">
        <fgColor rgb="FFF54A45"/>
        <bgColor/>
      </patternFill>
    </fill>
    <fill>
      <patternFill patternType="solid">
        <fgColor rgb="FFFBBFBC"/>
        <bgColor/>
      </patternFill>
    </fill>
    <fill>
      <patternFill patternType="solid">
        <fgColor rgb="FFFBBFBC"/>
        <bgColor/>
      </patternFill>
    </fill>
    <fill>
      <patternFill patternType="solid">
        <fgColor rgb="FF3370FF"/>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FBBFBC"/>
        <bgColor/>
      </patternFill>
    </fill>
    <fill>
      <patternFill patternType="solid">
        <fgColor rgb="FFD9F5D6"/>
        <bgColor/>
      </patternFill>
    </fill>
    <fill>
      <patternFill patternType="solid">
        <fgColor rgb="FFFAD355"/>
        <bgColor/>
      </patternFill>
    </fill>
    <fill>
      <patternFill patternType="solid">
        <fgColor rgb="FFFAD355"/>
        <bgColor/>
      </patternFill>
    </fill>
    <fill>
      <patternFill patternType="solid">
        <fgColor rgb="FFE1EAFF"/>
        <bgColor/>
      </patternFill>
    </fill>
    <fill>
      <patternFill patternType="solid">
        <fgColor rgb="FFFBBFBC"/>
        <bgColor/>
      </patternFill>
    </fill>
    <fill>
      <patternFill patternType="solid">
        <fgColor rgb="FFFBBFBC"/>
        <bgColor/>
      </patternFill>
    </fill>
    <fill>
      <patternFill patternType="solid">
        <fgColor rgb="FFD9F5D6"/>
        <bgColor/>
      </patternFill>
    </fill>
    <fill>
      <patternFill patternType="solid">
        <fgColor rgb="FFD9F5D6"/>
        <bgColor/>
      </patternFill>
    </fill>
    <fill>
      <patternFill patternType="solid">
        <fgColor rgb="FFD9F5D6"/>
        <bgColor/>
      </patternFill>
    </fill>
    <fill>
      <patternFill patternType="solid">
        <fgColor rgb="FFD9F5D6"/>
        <bgColor/>
      </patternFill>
    </fill>
    <fill>
      <patternFill patternType="solid">
        <fgColor rgb="FF049FD7"/>
        <bgColor/>
      </patternFill>
    </fill>
    <fill>
      <patternFill patternType="solid">
        <fgColor rgb="FFD9F5D6"/>
        <bgColor/>
      </patternFill>
    </fill>
    <fill>
      <patternFill patternType="solid">
        <fgColor rgb="FFD9F5D6"/>
        <bgColor/>
      </patternFill>
    </fill>
    <fill>
      <patternFill patternType="solid">
        <fgColor rgb="FFE1EAFF"/>
        <bgColor/>
      </patternFill>
    </fill>
    <fill>
      <patternFill patternType="solid">
        <fgColor rgb="FFE1EAFF"/>
        <bgColor/>
      </patternFill>
    </fill>
    <fill>
      <patternFill patternType="solid">
        <fgColor rgb="FFFAD355"/>
        <bgColor/>
      </patternFill>
    </fill>
    <fill>
      <patternFill patternType="solid">
        <fgColor rgb="FFAD82F7"/>
        <bgColor/>
      </patternFill>
    </fill>
    <fill>
      <patternFill patternType="solid">
        <fgColor rgb="FFFF8800"/>
        <bgColor/>
      </patternFill>
    </fill>
    <fill>
      <patternFill patternType="solid">
        <fgColor rgb="FFFAD355"/>
        <bgColor/>
      </patternFill>
    </fill>
    <fill>
      <patternFill patternType="solid">
        <fgColor rgb="FF6425D0"/>
        <bgColor/>
      </patternFill>
    </fill>
    <fill>
      <patternFill patternType="solid">
        <fgColor rgb="FF14C0FF"/>
        <bgColor/>
      </patternFill>
    </fill>
    <fill>
      <patternFill patternType="solid">
        <fgColor rgb="FFD9F3FD"/>
        <bgColor/>
      </patternFill>
    </fill>
    <fill>
      <patternFill patternType="solid">
        <fgColor rgb="FF14C0FF"/>
        <bgColor/>
      </patternFill>
    </fill>
    <fill>
      <patternFill patternType="solid">
        <fgColor rgb="FF14C0FF"/>
        <bgColor/>
      </patternFill>
    </fill>
    <fill>
      <patternFill patternType="solid">
        <fgColor rgb="FFFAD355"/>
        <bgColor/>
      </patternFill>
    </fill>
    <fill>
      <patternFill patternType="solid">
        <fgColor rgb="FFFAD355"/>
        <bgColor/>
      </patternFill>
    </fill>
    <fill>
      <patternFill patternType="solid">
        <fgColor rgb="FF14C0FF"/>
        <bgColor/>
      </patternFill>
    </fill>
    <fill>
      <patternFill patternType="solid">
        <fgColor rgb="FF14C0FF"/>
        <bgColor/>
      </patternFill>
    </fill>
    <fill>
      <patternFill patternType="solid">
        <fgColor rgb="FFD9F3FD"/>
        <bgColor/>
      </patternFill>
    </fill>
    <fill>
      <patternFill patternType="solid">
        <fgColor rgb="FFFAD355"/>
        <bgColor/>
      </patternFill>
    </fill>
    <fill>
      <patternFill patternType="solid">
        <fgColor rgb="FF14C0FF"/>
        <bgColor/>
      </patternFill>
    </fill>
    <fill>
      <patternFill patternType="solid">
        <fgColor rgb="FFAD82F7"/>
        <bgColor/>
      </patternFill>
    </fill>
    <fill>
      <patternFill patternType="solid">
        <fgColor rgb="FFFAD355"/>
        <bgColor/>
      </patternFill>
    </fill>
    <fill>
      <patternFill patternType="solid">
        <fgColor rgb="FF14C0FF"/>
        <bgColor/>
      </patternFill>
    </fill>
    <fill>
      <patternFill patternType="solid">
        <fgColor rgb="FF14C0FF"/>
        <bgColor/>
      </patternFill>
    </fill>
    <fill>
      <patternFill patternType="solid">
        <fgColor rgb="FF14C0FF"/>
        <bgColor/>
      </patternFill>
    </fill>
    <fill>
      <patternFill patternType="solid">
        <fgColor rgb="FFAD82F7"/>
        <bgColor/>
      </patternFill>
    </fill>
    <fill>
      <patternFill patternType="solid">
        <fgColor rgb="FFFAD355"/>
        <bgColor/>
      </patternFill>
    </fill>
    <fill>
      <patternFill patternType="solid">
        <fgColor rgb="FF14C0FF"/>
        <bgColor/>
      </patternFill>
    </fill>
    <fill>
      <patternFill patternType="solid">
        <fgColor rgb="FFFAD355"/>
        <bgColor/>
      </patternFill>
    </fill>
    <fill>
      <patternFill patternType="solid">
        <fgColor rgb="FFF54A45"/>
        <bgColor/>
      </patternFill>
    </fill>
    <fill>
      <patternFill patternType="solid">
        <fgColor rgb="FF7EDAFB"/>
        <bgColor/>
      </patternFill>
    </fill>
    <fill>
      <patternFill patternType="solid">
        <fgColor rgb="FF7EDAFB"/>
        <bgColor/>
      </patternFill>
    </fill>
    <fill>
      <patternFill patternType="solid">
        <fgColor rgb="FFF76964"/>
        <bgColor/>
      </patternFill>
    </fill>
    <fill>
      <patternFill patternType="solid">
        <fgColor rgb="FFF76964"/>
        <bgColor/>
      </patternFill>
    </fill>
    <fill>
      <patternFill patternType="solid">
        <fgColor rgb="FF7EDAFB"/>
        <bgColor/>
      </patternFill>
    </fill>
    <fill>
      <patternFill patternType="solid">
        <fgColor rgb="FF7EDAFB"/>
        <bgColor/>
      </patternFill>
    </fill>
    <fill>
      <patternFill patternType="solid">
        <fgColor rgb="FF7EDAFB"/>
        <bgColor/>
      </patternFill>
    </fill>
    <fill>
      <patternFill patternType="solid">
        <fgColor rgb="FF7EDAFB"/>
        <bgColor/>
      </patternFill>
    </fill>
    <fill>
      <patternFill patternType="solid">
        <fgColor rgb="FFFBBFBC"/>
        <bgColor/>
      </patternFill>
    </fill>
    <fill>
      <patternFill patternType="solid">
        <fgColor rgb="FFF54A45"/>
        <bgColor/>
      </patternFill>
    </fill>
    <fill>
      <patternFill patternType="solid">
        <fgColor rgb="FFF54A45"/>
        <bgColor/>
      </patternFill>
    </fill>
    <fill>
      <patternFill patternType="solid">
        <fgColor rgb="FFF54A45"/>
        <bgColor/>
      </patternFill>
    </fill>
    <fill>
      <patternFill patternType="solid">
        <fgColor rgb="FFF54A45"/>
        <bgColor/>
      </patternFill>
    </fill>
    <fill>
      <patternFill patternType="solid">
        <fgColor rgb="FFF54A45"/>
        <bgColor/>
      </patternFill>
    </fill>
    <fill>
      <patternFill patternType="solid">
        <fgColor rgb="FFF54A45"/>
        <bgColor/>
      </patternFill>
    </fill>
    <fill>
      <patternFill patternType="solid">
        <fgColor rgb="FFF54A45"/>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D5F6F2"/>
        <bgColor/>
      </patternFill>
    </fill>
    <fill>
      <patternFill patternType="solid">
        <fgColor rgb="FFFFF258"/>
        <bgColor/>
      </patternFill>
    </fill>
    <fill>
      <patternFill patternType="solid">
        <fgColor rgb="FFD5F6F2"/>
        <bgColor/>
      </patternFill>
    </fill>
    <fill>
      <patternFill patternType="solid">
        <fgColor rgb="FFFFC7CE"/>
        <bgColor/>
      </patternFill>
    </fill>
    <fill>
      <patternFill patternType="solid">
        <fgColor rgb="FFF6F6F9"/>
        <bgColor/>
      </patternFill>
    </fill>
    <fill>
      <patternFill patternType="solid">
        <fgColor rgb="FFF4F4F8"/>
        <bgColor/>
      </patternFill>
    </fill>
    <fill>
      <patternFill patternType="solid">
        <fgColor rgb="FFF6F6F9"/>
        <bgColor/>
      </patternFill>
    </fill>
    <fill>
      <patternFill patternType="solid">
        <fgColor rgb="FFF6F6F9"/>
        <bgColor/>
      </patternFill>
    </fill>
    <fill>
      <patternFill patternType="solid">
        <fgColor rgb="FFF6F6F9"/>
        <bgColor/>
      </patternFill>
    </fill>
    <fill>
      <patternFill patternType="solid">
        <fgColor rgb="FFF6F6F9"/>
        <bgColor/>
      </patternFill>
    </fill>
    <fill>
      <patternFill patternType="solid">
        <fgColor rgb="FFF4F4F8"/>
        <bgColor/>
      </patternFill>
    </fill>
    <fill>
      <patternFill patternType="solid">
        <fgColor rgb="FFFFEB9C"/>
        <bgColor/>
      </patternFill>
    </fill>
    <fill>
      <patternFill patternType="solid">
        <fgColor rgb="FFF6F6F9"/>
        <bgColor/>
      </patternFill>
    </fill>
    <fill>
      <patternFill patternType="solid">
        <fgColor rgb="FFF6F6F9"/>
        <bgColor/>
      </patternFill>
    </fill>
    <fill>
      <patternFill patternType="solid">
        <fgColor rgb="FFF4F4F8"/>
        <bgColor/>
      </patternFill>
    </fill>
    <fill>
      <patternFill patternType="solid">
        <fgColor rgb="FFF6F6F9"/>
        <bgColor/>
      </patternFill>
    </fill>
    <fill>
      <patternFill patternType="solid">
        <fgColor rgb="FFF6F6F9"/>
        <bgColor/>
      </patternFill>
    </fill>
    <fill>
      <patternFill patternType="solid">
        <fgColor rgb="FFFFC7CE"/>
        <bgColor/>
      </patternFill>
    </fill>
    <fill>
      <patternFill patternType="solid">
        <fgColor rgb="FFF6F6F9"/>
        <bgColor/>
      </patternFill>
    </fill>
    <fill>
      <patternFill patternType="solid">
        <fgColor rgb="FFE2EFDA"/>
        <bgColor/>
      </patternFill>
    </fill>
    <fill>
      <patternFill patternType="solid">
        <fgColor rgb="FFF6F6F9"/>
        <bgColor/>
      </patternFill>
    </fill>
    <fill>
      <patternFill patternType="solid">
        <fgColor rgb="FFC6EFCE"/>
        <bgColor/>
      </patternFill>
    </fill>
    <fill>
      <patternFill patternType="solid">
        <fgColor rgb="FF3E4D66"/>
        <bgColor/>
      </patternFill>
    </fill>
    <fill>
      <patternFill patternType="solid">
        <fgColor rgb="FFF6F6F9"/>
        <bgColor/>
      </patternFill>
    </fill>
    <fill>
      <patternFill patternType="solid">
        <fgColor rgb="FF34C724"/>
        <bgColor/>
      </patternFill>
    </fill>
    <fill>
      <patternFill patternType="solid">
        <fgColor rgb="FFF6F6F9"/>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EC595A"/>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9D9D9"/>
        <bgColor/>
      </patternFill>
    </fill>
  </fills>
  <borders count="336">
    <border>
      <left/>
      <right/>
      <top/>
      <bottom/>
      <diagonal/>
    </border>
    <border>
      <left/>
      <right/>
      <top/>
      <bottom/>
      <diagonal/>
    </border>
    <border>
      <left/>
      <right/>
      <top/>
      <bottom/>
      <diagonal/>
    </border>
    <border>
      <left/>
      <right/>
      <top/>
      <bottom/>
      <diagonal/>
    </border>
    <border>
      <left style="thin">
        <color rgb="FFF54A45"/>
      </left>
      <right/>
      <top/>
      <bottom/>
      <diagonal/>
    </border>
    <border>
      <left/>
      <right style="thin">
        <color rgb="FFF54A45"/>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F54A45"/>
      </left>
      <right/>
      <top/>
      <bottom/>
      <diagonal/>
    </border>
    <border>
      <left/>
      <right style="thin">
        <color rgb="FFF54A45"/>
      </right>
      <top/>
      <bottom/>
      <diagonal/>
    </border>
    <border>
      <left/>
      <right/>
      <top/>
      <bottom/>
      <diagonal/>
    </border>
    <border>
      <left/>
      <right/>
      <top/>
      <bottom/>
      <diagonal/>
    </border>
    <border>
      <left style="thin">
        <color rgb="FFF54A45"/>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style="thin">
        <color rgb="FFF54A45"/>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F54A45"/>
      </left>
      <right/>
      <top/>
      <bottom/>
      <diagonal/>
    </border>
    <border>
      <left style="thin">
        <color rgb="FF1F2329"/>
      </left>
      <right style="thin">
        <color rgb="FF1F2329"/>
      </right>
      <top style="thin">
        <color rgb="FF1F2329"/>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F54A45"/>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style="thin">
        <color rgb="FF1F2329"/>
      </top>
      <bottom/>
      <diagonal/>
    </border>
    <border>
      <left/>
      <right/>
      <top/>
      <bottom/>
      <diagonal/>
    </border>
    <border>
      <left/>
      <right/>
      <top/>
      <bottom style="thin">
        <color rgb="FF1F2329"/>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bottom/>
      <diagonal/>
    </border>
    <border>
      <left/>
      <right/>
      <top/>
      <bottom/>
      <diagonal/>
    </border>
    <border>
      <left style="thin">
        <color rgb="FF1F2329"/>
      </left>
      <right style="thin">
        <color rgb="FF1F2329"/>
      </right>
      <top/>
      <bottom style="thin">
        <color rgb="FF1F2329"/>
      </bottom>
      <diagonal/>
    </border>
    <border>
      <left/>
      <right/>
      <top/>
      <bottom/>
      <diagonal/>
    </border>
    <border>
      <left/>
      <right style="thin">
        <color rgb="FF1F2329"/>
      </right>
      <top/>
      <bottom/>
      <diagonal/>
    </border>
    <border>
      <left/>
      <right/>
      <top/>
      <bottom/>
      <diagonal/>
    </border>
    <border>
      <left style="thin">
        <color rgb="FF1F2329"/>
      </left>
      <right style="thin">
        <color rgb="FF1F2329"/>
      </right>
      <top/>
      <bottom/>
      <diagonal/>
    </border>
    <border>
      <left style="thin">
        <color rgb="FF1F2329"/>
      </left>
      <right/>
      <top/>
      <bottom/>
      <diagonal/>
    </border>
    <border>
      <left/>
      <right/>
      <top/>
      <bottom/>
      <diagonal/>
    </border>
    <border>
      <left style="thin">
        <color rgb="FF1F2329"/>
      </left>
      <right style="thin">
        <color rgb="FF1F2329"/>
      </right>
      <top/>
      <bottom/>
      <diagonal/>
    </border>
    <border>
      <left style="thin">
        <color rgb="FF1F2329"/>
      </left>
      <right/>
      <top/>
      <bottom/>
      <diagonal/>
    </border>
    <border>
      <left/>
      <right/>
      <top/>
      <bottom/>
      <diagonal/>
    </border>
    <border>
      <left/>
      <right style="thin">
        <color rgb="FF1F2329"/>
      </right>
      <top/>
      <bottom/>
      <diagonal/>
    </border>
    <border>
      <left style="thin">
        <color rgb="FF1F2329"/>
      </left>
      <right style="thin">
        <color rgb="FF1F2329"/>
      </right>
      <top style="thin">
        <color rgb="FF1F2329"/>
      </top>
      <bottom style="thin">
        <color rgb="FF1F2329"/>
      </bottom>
      <diagonal/>
    </border>
    <border>
      <left/>
      <right style="thin">
        <color rgb="FF1F2329"/>
      </right>
      <top/>
      <bottom/>
      <diagonal/>
    </border>
    <border>
      <left style="thin">
        <color rgb="FF1F2329"/>
      </left>
      <right style="thin">
        <color rgb="FF1F2329"/>
      </right>
      <top style="thin">
        <color rgb="FF1F2329"/>
      </top>
      <bottom style="thin">
        <color rgb="FF1F2329"/>
      </bottom>
      <diagonal/>
    </border>
    <border>
      <left/>
      <right/>
      <top/>
      <bottom/>
      <diagonal/>
    </border>
    <border>
      <left/>
      <right style="thin">
        <color rgb="FF000000"/>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style="thin">
        <color rgb="FF1F2329"/>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style="thin">
        <color rgb="FF1F2329"/>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style="thin">
        <color rgb="FF1F2329"/>
      </top>
      <bottom style="thin">
        <color rgb="FF1F2329"/>
      </bottom>
      <diagonal/>
    </border>
    <border>
      <left style="thin">
        <color rgb="FF1F2329"/>
      </left>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bottom style="thin">
        <color rgb="FF1F2329"/>
      </bottom>
      <diagonal/>
    </border>
    <border>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right/>
      <top/>
      <bottom/>
      <diagonal/>
    </border>
    <border>
      <left/>
      <right/>
      <top/>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style="thin">
        <color rgb="FF1F2329"/>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bottom/>
      <diagonal/>
    </border>
    <border>
      <left style="thin">
        <color rgb="FF1F2329"/>
      </left>
      <right style="thin">
        <color rgb="FF1F2329"/>
      </right>
      <top/>
      <bottom style="thin">
        <color rgb="FF1F2329"/>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right/>
      <top/>
      <bottom/>
      <diagonal/>
    </border>
    <border>
      <left/>
      <right/>
      <top/>
      <bottom/>
      <diagonal/>
    </border>
    <border>
      <left/>
      <right/>
      <top/>
      <bottom/>
      <diagonal/>
    </border>
    <border>
      <left/>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7E6E6"/>
      </left>
      <right style="thin">
        <color rgb="FFE7E6E6"/>
      </right>
      <top/>
      <bottom/>
      <diagonal/>
    </border>
    <border>
      <left style="thin">
        <color rgb="FFE1E4E7"/>
      </left>
      <right style="thin">
        <color rgb="FFE1E4E7"/>
      </right>
      <top style="thin">
        <color rgb="FF000000"/>
      </top>
      <bottom style="thin">
        <color rgb="FF000000"/>
      </bottom>
      <diagonal/>
    </border>
    <border>
      <left style="thin">
        <color rgb="FFE1E4E7"/>
      </left>
      <right style="thin">
        <color rgb="FFE1E4E7"/>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E1E4E7"/>
      </right>
      <top style="thin">
        <color rgb="FF000000"/>
      </top>
      <bottom style="thin">
        <color rgb="FF000000"/>
      </bottom>
      <diagonal/>
    </border>
    <border>
      <left style="thin">
        <color rgb="FFE1E4E7"/>
      </left>
      <right style="thin">
        <color rgb="FFE1E4E7"/>
      </right>
      <top style="thin">
        <color rgb="FF000000"/>
      </top>
      <bottom style="thin">
        <color rgb="FF000000"/>
      </bottom>
      <diagonal/>
    </border>
    <border>
      <left/>
      <right/>
      <top style="thin">
        <color rgb="FF000000"/>
      </top>
      <bottom style="thin">
        <color rgb="FF000000"/>
      </bottom>
      <diagonal/>
    </border>
    <border>
      <left style="thin">
        <color rgb="FFE1E4E7"/>
      </left>
      <right style="thin">
        <color rgb="FFE1E4E7"/>
      </right>
      <top style="thin">
        <color rgb="FF000000"/>
      </top>
      <bottom style="thin">
        <color rgb="FF000000"/>
      </bottom>
      <diagonal/>
    </border>
    <border>
      <left/>
      <right/>
      <top/>
      <bottom/>
      <diagonal/>
    </border>
    <border>
      <left style="thin">
        <color rgb="FFE1E4E7"/>
      </left>
      <right/>
      <top/>
      <bottom/>
      <diagonal/>
    </border>
    <border>
      <left/>
      <right style="thin">
        <color rgb="FFE1E4E7"/>
      </right>
      <top/>
      <bottom/>
      <diagonal/>
    </border>
    <border>
      <left/>
      <right/>
      <top/>
      <bottom/>
      <diagonal/>
    </border>
    <border>
      <left/>
      <right/>
      <top/>
      <bottom/>
      <diagonal/>
    </border>
    <border>
      <left/>
      <right/>
      <top/>
      <bottom/>
      <diagonal/>
    </border>
    <border>
      <left/>
      <right/>
      <top/>
      <bottom/>
      <diagonal/>
    </border>
    <border>
      <left style="thin">
        <color rgb="FFE7E6E6"/>
      </left>
      <right style="thin">
        <color rgb="FFE7E6E6"/>
      </right>
      <top/>
      <bottom/>
      <diagonal/>
    </border>
    <border>
      <left/>
      <right/>
      <top/>
      <bottom/>
      <diagonal/>
    </border>
    <border>
      <left style="thin">
        <color rgb="FFE7E6E6"/>
      </left>
      <right style="thin">
        <color rgb="FFE7E6E6"/>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E7E6E6"/>
      </left>
      <right style="thin">
        <color rgb="FFE7E6E6"/>
      </right>
      <top/>
      <bottom/>
      <diagonal/>
    </border>
    <border>
      <left/>
      <right style="thin">
        <color rgb="FF000000"/>
      </right>
      <top style="thin">
        <color rgb="FF000000"/>
      </top>
      <bottom style="thin">
        <color rgb="FF000000"/>
      </bottom>
      <diagonal/>
    </border>
    <border>
      <left style="thin">
        <color rgb="FFE7E6E6"/>
      </left>
      <right style="thin">
        <color rgb="FFE7E6E6"/>
      </right>
      <top/>
      <bottom/>
      <diagonal/>
    </border>
    <border>
      <left style="thin">
        <color rgb="FFE1E4E7"/>
      </left>
      <right style="thin">
        <color rgb="FFE1E4E7"/>
      </right>
      <top style="thin">
        <color rgb="FFEC595A"/>
      </top>
      <bottom style="thin">
        <color rgb="FFEC595A"/>
      </bottom>
      <diagonal/>
    </border>
    <border>
      <left style="thin">
        <color rgb="FFE1E4E7"/>
      </left>
      <right style="thin">
        <color rgb="FFE1E4E7"/>
      </right>
      <top style="thin">
        <color rgb="FFEC595A"/>
      </top>
      <bottom style="thin">
        <color rgb="FFEC595A"/>
      </bottom>
      <diagonal/>
    </border>
    <border>
      <left/>
      <right style="thin">
        <color rgb="FFE7E6E6"/>
      </right>
      <top style="thin">
        <color rgb="FFEC595A"/>
      </top>
      <bottom style="thin">
        <color rgb="FFEC595A"/>
      </bottom>
      <diagonal/>
    </border>
    <border>
      <left/>
      <right style="thin">
        <color rgb="FFE1E4E7"/>
      </right>
      <top style="thin">
        <color rgb="FFEC595A"/>
      </top>
      <bottom style="thin">
        <color rgb="FFEC595A"/>
      </bottom>
      <diagonal/>
    </border>
    <border>
      <left style="thin">
        <color rgb="FFE1E4E7"/>
      </left>
      <right style="thin">
        <color rgb="FFE1E4E7"/>
      </right>
      <top style="thin">
        <color rgb="FFEC595A"/>
      </top>
      <bottom style="thin">
        <color rgb="FFEC595A"/>
      </bottom>
      <diagonal/>
    </border>
    <border>
      <left/>
      <right/>
      <top style="thin">
        <color rgb="FFEC595A"/>
      </top>
      <bottom style="thin">
        <color rgb="FFEC595A"/>
      </bottom>
      <diagonal/>
    </border>
    <border>
      <left style="thin">
        <color rgb="FFE1E4E7"/>
      </left>
      <right style="thin">
        <color rgb="FFE1E4E7"/>
      </right>
      <top style="thin">
        <color rgb="FFEC595A"/>
      </top>
      <bottom style="thin">
        <color rgb="FFEC595A"/>
      </bottom>
      <diagonal/>
    </border>
    <border>
      <left style="thin">
        <color rgb="FFE1E4E7"/>
      </left>
      <right style="thin">
        <color rgb="FFE1E4E7"/>
      </right>
      <top style="thin">
        <color rgb="FFEC595A"/>
      </top>
      <bottom style="thin">
        <color rgb="FFEC595A"/>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33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false" applyProtection="false" borderId="2" fillId="0" fontId="2" numFmtId="0" xfId="0">
      <alignment horizontal="center" vertical="center"/>
    </xf>
    <xf applyAlignment="true" applyBorder="false" applyFill="false" applyFont="true" applyNumberFormat="false" applyProtection="false" borderId="3" fillId="0" fontId="3" numFmtId="0" xfId="0">
      <alignment vertical="bottom"/>
    </xf>
    <xf applyAlignment="true" applyBorder="false" applyFill="false" applyFont="true" applyNumberFormat="false" applyProtection="false" borderId="4" fillId="0" fontId="2" numFmtId="0" xfId="0">
      <alignment vertical="center"/>
    </xf>
    <xf applyAlignment="true" applyBorder="false" applyFill="false" applyFont="true" applyNumberFormat="false" applyProtection="false" borderId="5" fillId="0" fontId="2" numFmtId="0" xfId="0">
      <alignment vertical="center"/>
    </xf>
    <xf applyAlignment="true" applyBorder="false" applyFill="false" applyFont="true" applyNumberFormat="true" applyProtection="false" borderId="6" fillId="0" fontId="4" numFmtId="164" xfId="0">
      <alignment vertical="center"/>
    </xf>
    <xf applyAlignment="true" applyBorder="false" applyFill="true" applyFont="true" applyNumberFormat="false" applyProtection="false" borderId="7" fillId="2" fontId="2" numFmtId="0" xfId="0">
      <alignment vertical="center"/>
    </xf>
    <xf applyAlignment="true" applyBorder="false" applyFill="false" applyFont="true" applyNumberFormat="true" applyProtection="false" borderId="8" fillId="0" fontId="3" numFmtId="165" xfId="0">
      <alignment vertical="bottom"/>
    </xf>
    <xf applyAlignment="true" applyBorder="false" applyFill="false" applyFont="true" applyNumberFormat="true" applyProtection="false" borderId="9" fillId="0" fontId="3" numFmtId="166" xfId="0">
      <alignment vertical="bottom"/>
    </xf>
    <xf applyAlignment="true" applyBorder="false" applyFill="false" applyFont="true" applyNumberFormat="true" applyProtection="false" borderId="10" fillId="0" fontId="3" numFmtId="167" xfId="0">
      <alignment vertical="bottom"/>
    </xf>
    <xf applyAlignment="true" applyBorder="false" applyFill="false" applyFont="true" applyNumberFormat="true" applyProtection="false" borderId="11" fillId="0" fontId="4" numFmtId="168" xfId="0">
      <alignment vertical="center"/>
    </xf>
    <xf applyAlignment="true" applyBorder="false" applyFill="true" applyFont="true" applyNumberFormat="false" applyProtection="false" borderId="12" fillId="3" fontId="5" numFmtId="0" xfId="0">
      <alignment horizontal="center" vertical="center" wrapText="true"/>
    </xf>
    <xf applyAlignment="true" applyBorder="false" applyFill="false" applyFont="true" applyNumberFormat="true" applyProtection="false" borderId="13" fillId="0" fontId="2" numFmtId="169" xfId="0">
      <alignment vertical="center"/>
    </xf>
    <xf applyAlignment="true" applyBorder="false" applyFill="false" applyFont="true" applyNumberFormat="false" applyProtection="false" borderId="14" fillId="0" fontId="2" numFmtId="0" xfId="0">
      <alignment vertical="center"/>
    </xf>
    <xf applyAlignment="true" applyBorder="false" applyFill="false" applyFont="true" applyNumberFormat="true" applyProtection="false" borderId="15" fillId="0" fontId="2" numFmtId="170" xfId="0">
      <alignment vertical="center"/>
    </xf>
    <xf applyAlignment="true" applyBorder="false" applyFill="false" applyFont="true" applyNumberFormat="true" applyProtection="false" borderId="16" fillId="0" fontId="2" numFmtId="171" xfId="0">
      <alignment vertical="center"/>
    </xf>
    <xf applyAlignment="true" applyBorder="false" applyFill="false" applyFont="true" applyNumberFormat="false" applyProtection="false" borderId="17" fillId="0" fontId="4" numFmtId="0" xfId="0">
      <alignment vertical="center" wrapText="true"/>
    </xf>
    <xf applyAlignment="true" applyBorder="false" applyFill="false" applyFont="true" applyNumberFormat="false" applyProtection="false" borderId="18" fillId="0" fontId="4" numFmtId="0" xfId="0">
      <alignment vertical="bottom"/>
    </xf>
    <xf applyAlignment="true" applyBorder="false" applyFill="false" applyFont="true" applyNumberFormat="false" applyProtection="false" borderId="19" fillId="0" fontId="2" numFmtId="0" xfId="0">
      <alignment horizontal="center" vertical="center"/>
    </xf>
    <xf applyAlignment="true" applyBorder="false" applyFill="false" applyFont="true" applyNumberFormat="true" applyProtection="false" borderId="20" fillId="0" fontId="2" numFmtId="172" xfId="0">
      <alignment horizontal="center" vertical="center"/>
    </xf>
    <xf applyAlignment="true" applyBorder="false" applyFill="false" applyFont="true" applyNumberFormat="false" applyProtection="false" borderId="21" fillId="0" fontId="4" numFmtId="0" xfId="0">
      <alignment vertical="bottom"/>
    </xf>
    <xf applyAlignment="true" applyBorder="false" applyFill="false" applyFont="true" applyNumberFormat="false" applyProtection="false" borderId="22" fillId="0" fontId="4" numFmtId="0" xfId="0">
      <alignment vertical="bottom"/>
    </xf>
    <xf applyAlignment="true" applyBorder="false" applyFill="true" applyFont="true" applyNumberFormat="true" applyProtection="false" borderId="23" fillId="4" fontId="4" numFmtId="173" xfId="0">
      <alignment vertical="bottom"/>
    </xf>
    <xf applyAlignment="true" applyBorder="false" applyFill="false" applyFont="true" applyNumberFormat="false" applyProtection="false" borderId="24" fillId="0" fontId="6" numFmtId="0" xfId="0">
      <alignment horizontal="center" vertical="center" wrapText="true"/>
    </xf>
    <xf applyAlignment="true" applyBorder="false" applyFill="false" applyFont="true" applyNumberFormat="false" applyProtection="false" borderId="25" fillId="0" fontId="4" numFmtId="0" xfId="0">
      <alignment vertical="center"/>
    </xf>
    <xf applyAlignment="true" applyBorder="false" applyFill="false" applyFont="true" applyNumberFormat="true" applyProtection="false" borderId="26" fillId="0" fontId="4" numFmtId="174" xfId="0">
      <alignment vertical="bottom"/>
    </xf>
    <xf applyAlignment="true" applyBorder="false" applyFill="false" applyFont="true" applyNumberFormat="true" applyProtection="false" borderId="27" fillId="0" fontId="4" numFmtId="175" xfId="0">
      <alignment vertical="bottom"/>
    </xf>
    <xf applyAlignment="true" applyBorder="false" applyFill="false" applyFont="true" applyNumberFormat="true" applyProtection="false" borderId="28" fillId="0" fontId="4" numFmtId="176" xfId="0">
      <alignment vertical="bottom"/>
    </xf>
    <xf applyAlignment="true" applyBorder="false" applyFill="false" applyFont="true" applyNumberFormat="true" applyProtection="false" borderId="29" fillId="0" fontId="4" numFmtId="177" xfId="0">
      <alignment horizontal="right" vertical="center"/>
    </xf>
    <xf applyAlignment="true" applyBorder="false" applyFill="false" applyFont="true" applyNumberFormat="false" applyProtection="false" borderId="30" fillId="0" fontId="4" numFmtId="0" xfId="0">
      <alignment vertical="center"/>
    </xf>
    <xf applyAlignment="true" applyBorder="false" applyFill="true" applyFont="true" applyNumberFormat="false" applyProtection="false" borderId="31" fillId="5" fontId="4" numFmtId="0" xfId="0">
      <alignment vertical="center"/>
    </xf>
    <xf applyAlignment="true" applyBorder="false" applyFill="false" applyFont="true" applyNumberFormat="true" applyProtection="false" borderId="32" fillId="0" fontId="4" numFmtId="178" xfId="0">
      <alignment vertical="center"/>
    </xf>
    <xf applyAlignment="true" applyBorder="false" applyFill="true" applyFont="true" applyNumberFormat="true" applyProtection="false" borderId="33" fillId="6" fontId="7" numFmtId="179" xfId="0">
      <alignment horizontal="left" vertical="center" wrapText="true"/>
    </xf>
    <xf applyAlignment="true" applyBorder="false" applyFill="true" applyFont="true" applyNumberFormat="false" applyProtection="false" borderId="34" fillId="7" fontId="8" numFmtId="0" xfId="0">
      <alignment horizontal="center" vertical="center" wrapText="true"/>
    </xf>
    <xf applyAlignment="true" applyBorder="false" applyFill="true" applyFont="true" applyNumberFormat="true" applyProtection="false" borderId="35" fillId="8" fontId="4" numFmtId="180" xfId="0">
      <alignment horizontal="center" vertical="center"/>
    </xf>
    <xf applyAlignment="true" applyBorder="false" applyFill="false" applyFont="true" applyNumberFormat="true" applyProtection="false" borderId="36" fillId="0" fontId="4" numFmtId="181" xfId="0">
      <alignment vertical="center"/>
    </xf>
    <xf applyAlignment="true" applyBorder="false" applyFill="true" applyFont="true" applyNumberFormat="false" applyProtection="false" borderId="37" fillId="9" fontId="9" numFmtId="0" xfId="0">
      <alignment horizontal="center" vertical="center"/>
    </xf>
    <xf applyAlignment="true" applyBorder="false" applyFill="true" applyFont="true" applyNumberFormat="true" applyProtection="false" borderId="38" fillId="10" fontId="5" numFmtId="182" xfId="0">
      <alignment horizontal="center" vertical="center"/>
    </xf>
    <xf applyAlignment="true" applyBorder="false" applyFill="true" applyFont="true" applyNumberFormat="true" applyProtection="false" borderId="39" fillId="11" fontId="10" numFmtId="183" xfId="0">
      <alignment vertical="center"/>
    </xf>
    <xf applyAlignment="true" applyBorder="false" applyFill="false" applyFont="true" applyNumberFormat="true" applyProtection="false" borderId="40" fillId="0" fontId="10" numFmtId="184" xfId="0">
      <alignment vertical="center"/>
    </xf>
    <xf applyAlignment="true" applyBorder="false" applyFill="true" applyFont="true" applyNumberFormat="false" applyProtection="false" borderId="41" fillId="12" fontId="9" numFmtId="0" xfId="0">
      <alignment horizontal="center" vertical="center"/>
    </xf>
    <xf applyAlignment="true" applyBorder="false" applyFill="false" applyFont="true" applyNumberFormat="false" applyProtection="false" borderId="42" fillId="0" fontId="10" numFmtId="0" xfId="0">
      <alignment vertical="center"/>
    </xf>
    <xf applyAlignment="true" applyBorder="false" applyFill="true" applyFont="true" applyNumberFormat="false" applyProtection="false" borderId="43" fillId="13" fontId="9" numFmtId="0" xfId="0">
      <alignment horizontal="center" vertical="center"/>
    </xf>
    <xf applyAlignment="true" applyBorder="false" applyFill="true" applyFont="true" applyNumberFormat="false" applyProtection="false" borderId="44" fillId="14" fontId="11" numFmtId="0" xfId="0">
      <alignment vertical="center"/>
    </xf>
    <xf applyAlignment="true" applyBorder="false" applyFill="false" applyFont="true" applyNumberFormat="true" applyProtection="false" borderId="45" fillId="0" fontId="10" numFmtId="185" xfId="0">
      <alignment vertical="center"/>
    </xf>
    <xf applyAlignment="true" applyBorder="false" applyFill="true" applyFont="true" applyNumberFormat="false" applyProtection="false" borderId="46" fillId="15" fontId="5" numFmtId="0" xfId="0">
      <alignment horizontal="center" vertical="center"/>
    </xf>
    <xf applyAlignment="true" applyBorder="false" applyFill="true" applyFont="true" applyNumberFormat="false" applyProtection="false" borderId="47" fillId="16" fontId="11" numFmtId="0" xfId="0">
      <alignment vertical="center" wrapText="true"/>
    </xf>
    <xf applyAlignment="true" applyBorder="false" applyFill="true" applyFont="true" applyNumberFormat="true" applyProtection="false" borderId="48" fillId="17" fontId="5" numFmtId="186" xfId="0">
      <alignment horizontal="center" vertical="center"/>
    </xf>
    <xf applyAlignment="true" applyBorder="false" applyFill="true" applyFont="true" applyNumberFormat="false" applyProtection="false" borderId="49" fillId="18" fontId="12" numFmtId="0" xfId="0">
      <alignment horizontal="center" vertical="center"/>
    </xf>
    <xf applyAlignment="true" applyBorder="false" applyFill="true" applyFont="true" applyNumberFormat="false" applyProtection="false" borderId="50" fillId="19" fontId="13" numFmtId="0" xfId="0">
      <alignment horizontal="center" vertical="bottom" wrapText="true"/>
    </xf>
    <xf applyAlignment="true" applyBorder="false" applyFill="true" applyFont="true" applyNumberFormat="false" applyProtection="false" borderId="51" fillId="20" fontId="13" numFmtId="0" xfId="0">
      <alignment horizontal="center" vertical="bottom" wrapText="true"/>
    </xf>
    <xf applyAlignment="true" applyBorder="false" applyFill="true" applyFont="true" applyNumberFormat="false" applyProtection="false" borderId="52" fillId="21" fontId="14" numFmtId="0" xfId="0">
      <alignment horizontal="center" vertical="bottom" wrapText="true"/>
    </xf>
    <xf applyAlignment="true" applyBorder="false" applyFill="false" applyFont="true" applyNumberFormat="false" applyProtection="false" borderId="53" fillId="0" fontId="4" numFmtId="0" xfId="0">
      <alignment vertical="center"/>
    </xf>
    <xf applyAlignment="true" applyBorder="false" applyFill="false" applyFont="true" applyNumberFormat="true" applyProtection="false" borderId="54" fillId="0" fontId="2" numFmtId="187" xfId="0">
      <alignment horizontal="center" vertical="center"/>
    </xf>
    <xf applyAlignment="true" applyBorder="false" applyFill="true" applyFont="true" applyNumberFormat="false" applyProtection="false" borderId="55" fillId="22" fontId="7" numFmtId="0" xfId="0">
      <alignment horizontal="left" vertical="center" wrapText="true"/>
    </xf>
    <xf applyAlignment="true" applyBorder="false" applyFill="false" applyFont="true" applyNumberFormat="true" applyProtection="false" borderId="56" fillId="0" fontId="15" numFmtId="188" xfId="0">
      <alignment vertical="center"/>
    </xf>
    <xf applyAlignment="true" applyBorder="false" applyFill="false" applyFont="true" applyNumberFormat="false" applyProtection="false" borderId="57" fillId="0" fontId="16" numFmtId="0" xfId="0">
      <alignment horizontal="center" vertical="center" wrapText="true"/>
    </xf>
    <xf applyAlignment="true" applyBorder="false" applyFill="false" applyFont="true" applyNumberFormat="true" applyProtection="false" borderId="58" fillId="0" fontId="4" numFmtId="189" xfId="0">
      <alignment vertical="bottom"/>
    </xf>
    <xf applyAlignment="true" applyBorder="false" applyFill="false" applyFont="true" applyNumberFormat="false" applyProtection="false" borderId="59" fillId="0" fontId="16" numFmtId="0" xfId="0">
      <alignment horizontal="center" vertical="center"/>
    </xf>
    <xf applyAlignment="true" applyBorder="false" applyFill="false" applyFont="true" applyNumberFormat="false" applyProtection="false" borderId="60" fillId="0" fontId="17" numFmtId="0" xfId="0">
      <alignment vertical="center" wrapText="true"/>
    </xf>
    <xf applyAlignment="true" applyBorder="false" applyFill="false" applyFont="true" applyNumberFormat="false" applyProtection="false" borderId="61" fillId="0" fontId="18" numFmtId="0" xfId="0">
      <alignment vertical="center"/>
    </xf>
    <xf applyAlignment="true" applyBorder="false" applyFill="false" applyFont="true" applyNumberFormat="false" applyProtection="false" borderId="62" fillId="0" fontId="19" numFmtId="0" xfId="0">
      <alignment horizontal="center" vertical="center"/>
    </xf>
    <xf applyAlignment="true" applyBorder="false" applyFill="false" applyFont="true" applyNumberFormat="true" applyProtection="false" borderId="63" fillId="0" fontId="18" numFmtId="190" xfId="0">
      <alignment vertical="bottom"/>
    </xf>
    <xf applyAlignment="true" applyBorder="false" applyFill="false" applyFont="true" applyNumberFormat="false" applyProtection="false" borderId="64" fillId="0" fontId="2" numFmtId="0" xfId="0">
      <alignment horizontal="center" vertical="center"/>
    </xf>
    <xf applyAlignment="true" applyBorder="false" applyFill="false" applyFont="true" applyNumberFormat="false" applyProtection="false" borderId="65" fillId="0" fontId="6" numFmtId="0" xfId="0">
      <alignment horizontal="center" vertical="center"/>
    </xf>
    <xf applyAlignment="true" applyBorder="false" applyFill="true" applyFont="true" applyNumberFormat="true" applyProtection="false" borderId="66" fillId="23" fontId="4" numFmtId="191" xfId="0">
      <alignment vertical="bottom"/>
    </xf>
    <xf applyAlignment="true" applyBorder="false" applyFill="true" applyFont="true" applyNumberFormat="false" applyProtection="false" borderId="67" fillId="24" fontId="4" numFmtId="0" xfId="0">
      <alignment vertical="bottom"/>
    </xf>
    <xf applyAlignment="true" applyBorder="false" applyFill="true" applyFont="true" applyNumberFormat="true" applyProtection="false" borderId="68" fillId="25" fontId="4" numFmtId="192" xfId="0">
      <alignment vertical="bottom"/>
    </xf>
    <xf applyAlignment="true" applyBorder="false" applyFill="true" applyFont="true" applyNumberFormat="true" applyProtection="false" borderId="69" fillId="26" fontId="4" numFmtId="193" xfId="0">
      <alignment vertical="bottom"/>
    </xf>
    <xf applyAlignment="true" applyBorder="false" applyFill="true" applyFont="true" applyNumberFormat="true" applyProtection="false" borderId="70" fillId="27" fontId="4" numFmtId="194" xfId="0">
      <alignment vertical="center"/>
    </xf>
    <xf applyAlignment="true" applyBorder="false" applyFill="true" applyFont="true" applyNumberFormat="false" applyProtection="false" borderId="71" fillId="28" fontId="4" numFmtId="0" xfId="0">
      <alignment vertical="center" wrapText="true"/>
    </xf>
    <xf applyAlignment="true" applyBorder="false" applyFill="true" applyFont="true" applyNumberFormat="false" applyProtection="false" borderId="72" fillId="29" fontId="6" numFmtId="0" xfId="0">
      <alignment horizontal="center" vertical="center" wrapText="true"/>
    </xf>
    <xf applyAlignment="true" applyBorder="false" applyFill="true" applyFont="true" applyNumberFormat="true" applyProtection="false" borderId="73" fillId="30" fontId="4" numFmtId="195" xfId="0">
      <alignment vertical="center"/>
    </xf>
    <xf applyAlignment="true" applyBorder="false" applyFill="true" applyFont="true" applyNumberFormat="false" applyProtection="false" borderId="74" fillId="31" fontId="4" numFmtId="0" xfId="0">
      <alignment vertical="center" wrapText="true"/>
    </xf>
    <xf applyAlignment="true" applyBorder="false" applyFill="true" applyFont="true" applyNumberFormat="false" applyProtection="false" borderId="75" fillId="32" fontId="4" numFmtId="0" xfId="0">
      <alignment vertical="center"/>
    </xf>
    <xf applyAlignment="true" applyBorder="false" applyFill="false" applyFont="true" applyNumberFormat="false" applyProtection="false" borderId="76" fillId="0" fontId="20" numFmtId="0" xfId="0">
      <alignment vertical="center"/>
    </xf>
    <xf applyAlignment="true" applyBorder="false" applyFill="true" applyFont="true" applyNumberFormat="false" applyProtection="false" borderId="77" fillId="33" fontId="2" numFmtId="0" xfId="0">
      <alignment vertical="center" wrapText="true"/>
    </xf>
    <xf applyAlignment="true" applyBorder="false" applyFill="true" applyFont="true" applyNumberFormat="true" applyProtection="false" borderId="78" fillId="34" fontId="2" numFmtId="196" xfId="0">
      <alignment vertical="center"/>
    </xf>
    <xf applyAlignment="true" applyBorder="false" applyFill="false" applyFont="true" applyNumberFormat="false" applyProtection="false" borderId="79" fillId="0" fontId="19" numFmtId="0" xfId="0">
      <alignment horizontal="center" vertical="center"/>
    </xf>
    <xf applyAlignment="true" applyBorder="false" applyFill="false" applyFont="true" applyNumberFormat="true" applyProtection="false" borderId="80" fillId="0" fontId="20" numFmtId="197" xfId="0">
      <alignment horizontal="center" vertical="center"/>
    </xf>
    <xf applyAlignment="true" applyBorder="false" applyFill="true" applyFont="true" applyNumberFormat="true" applyProtection="false" borderId="81" fillId="35" fontId="21" numFmtId="198" xfId="0">
      <alignment vertical="center"/>
    </xf>
    <xf applyAlignment="true" applyBorder="false" applyFill="false" applyFont="true" applyNumberFormat="false" applyProtection="false" borderId="82" fillId="0" fontId="9" numFmtId="0" xfId="0">
      <alignment horizontal="center" vertical="center"/>
    </xf>
    <xf applyAlignment="false" applyBorder="false" applyFill="true" applyFont="false" applyNumberFormat="false" applyProtection="false" borderId="83" fillId="36" fontId="0" numFmtId="0" xfId="0">
      <alignment/>
    </xf>
    <xf applyAlignment="true" applyBorder="false" applyFill="false" applyFont="true" applyNumberFormat="false" applyProtection="false" borderId="84" fillId="0" fontId="22" numFmtId="0" xfId="0">
      <alignment vertical="bottom"/>
    </xf>
    <xf applyAlignment="true" applyBorder="false" applyFill="false" applyFont="true" applyNumberFormat="false" applyProtection="false" borderId="85" fillId="0" fontId="23" numFmtId="0" xfId="0">
      <alignment vertical="center"/>
    </xf>
    <xf applyAlignment="true" applyBorder="false" applyFill="true" applyFont="true" applyNumberFormat="true" applyProtection="false" borderId="86" fillId="37" fontId="19" numFmtId="199" xfId="0">
      <alignment horizontal="center" vertical="center"/>
    </xf>
    <xf applyAlignment="true" applyBorder="false" applyFill="false" applyFont="true" applyNumberFormat="false" applyProtection="false" borderId="87" fillId="0" fontId="24" numFmtId="0" xfId="0">
      <alignment horizontal="center" vertical="bottom" wrapText="true"/>
    </xf>
    <xf applyAlignment="true" applyBorder="false" applyFill="false" applyFont="true" applyNumberFormat="false" applyProtection="false" borderId="88" fillId="0" fontId="4" numFmtId="0" xfId="0">
      <alignment vertical="center"/>
    </xf>
    <xf applyAlignment="true" applyBorder="false" applyFill="true" applyFont="true" applyNumberFormat="true" applyProtection="false" borderId="89" fillId="38" fontId="23" numFmtId="200" xfId="0">
      <alignment horizontal="center" vertical="center"/>
    </xf>
    <xf applyAlignment="true" applyBorder="false" applyFill="false" applyFont="true" applyNumberFormat="false" applyProtection="false" borderId="90" fillId="0" fontId="4" numFmtId="0" xfId="0">
      <alignment vertical="bottom"/>
    </xf>
    <xf applyAlignment="true" applyBorder="false" applyFill="false" applyFont="true" applyNumberFormat="false" applyProtection="false" borderId="91" fillId="0" fontId="25" numFmtId="0" xfId="0">
      <alignment vertical="bottom"/>
    </xf>
    <xf applyAlignment="true" applyBorder="false" applyFill="false" applyFont="true" applyNumberFormat="false" applyProtection="false" borderId="92" fillId="0" fontId="4" numFmtId="0" xfId="0">
      <alignment vertical="center"/>
    </xf>
    <xf applyAlignment="true" applyBorder="false" applyFill="false" applyFont="true" applyNumberFormat="true" applyProtection="false" borderId="93" fillId="0" fontId="22" numFmtId="201" xfId="0">
      <alignment vertical="bottom"/>
    </xf>
    <xf applyAlignment="true" applyBorder="false" applyFill="false" applyFont="true" applyNumberFormat="false" applyProtection="false" borderId="94" fillId="0" fontId="4" numFmtId="0" xfId="0">
      <alignment vertical="center"/>
    </xf>
    <xf applyAlignment="true" applyBorder="false" applyFill="false" applyFont="true" applyNumberFormat="false" applyProtection="false" borderId="95" fillId="0" fontId="4" numFmtId="0" xfId="0">
      <alignment horizontal="left" vertical="center"/>
    </xf>
    <xf applyAlignment="true" applyBorder="false" applyFill="false" applyFont="true" applyNumberFormat="false" applyProtection="false" borderId="96" fillId="0" fontId="4" numFmtId="0" xfId="0">
      <alignment horizontal="center" vertical="center"/>
    </xf>
    <xf applyAlignment="true" applyBorder="false" applyFill="false" applyFont="true" applyNumberFormat="false" applyProtection="false" borderId="97" fillId="0" fontId="4" numFmtId="0" xfId="0">
      <alignment vertical="center"/>
    </xf>
    <xf applyAlignment="true" applyBorder="false" applyFill="false" applyFont="true" applyNumberFormat="true" applyProtection="false" borderId="98" fillId="0" fontId="3" numFmtId="202" xfId="0">
      <alignment vertical="bottom"/>
    </xf>
    <xf applyAlignment="true" applyBorder="false" applyFill="false" applyFont="true" applyNumberFormat="false" applyProtection="false" borderId="99" fillId="0" fontId="24" numFmtId="0" xfId="0">
      <alignment horizontal="center" vertical="bottom" wrapText="true"/>
    </xf>
    <xf applyAlignment="true" applyBorder="false" applyFill="false" applyFont="true" applyNumberFormat="false" applyProtection="false" borderId="100" fillId="0" fontId="24" numFmtId="0" xfId="0">
      <alignment horizontal="center" vertical="bottom" wrapText="true"/>
    </xf>
    <xf applyAlignment="true" applyBorder="false" applyFill="false" applyFont="true" applyNumberFormat="true" applyProtection="false" borderId="101" fillId="0" fontId="24" numFmtId="203" xfId="0">
      <alignment horizontal="center" vertical="bottom" wrapText="true"/>
    </xf>
    <xf applyAlignment="true" applyBorder="false" applyFill="false" applyFont="true" applyNumberFormat="false" applyProtection="false" borderId="102" fillId="0" fontId="24" numFmtId="0" xfId="0">
      <alignment horizontal="center" vertical="bottom" wrapText="true"/>
    </xf>
    <xf applyAlignment="true" applyBorder="false" applyFill="false" applyFont="true" applyNumberFormat="false" applyProtection="false" borderId="103" fillId="0" fontId="24" numFmtId="0" xfId="0">
      <alignment horizontal="center" vertical="bottom" wrapText="true"/>
    </xf>
    <xf applyAlignment="true" applyBorder="false" applyFill="false" applyFont="true" applyNumberFormat="false" applyProtection="false" borderId="104" fillId="0" fontId="24" numFmtId="0" xfId="0">
      <alignment horizontal="center" vertical="bottom"/>
    </xf>
    <xf applyAlignment="true" applyBorder="false" applyFill="false" applyFont="true" applyNumberFormat="false" applyProtection="false" borderId="105" fillId="0" fontId="26" numFmtId="0" xfId="0">
      <alignment horizontal="center" vertical="center"/>
    </xf>
    <xf applyAlignment="true" applyBorder="false" applyFill="true" applyFont="true" applyNumberFormat="false" applyProtection="false" borderId="106" fillId="39" fontId="4" numFmtId="0" xfId="0">
      <alignment vertical="center"/>
    </xf>
    <xf applyAlignment="true" applyBorder="false" applyFill="false" applyFont="true" applyNumberFormat="false" applyProtection="false" borderId="107" fillId="0" fontId="4" numFmtId="0" xfId="0">
      <alignment vertical="bottom"/>
    </xf>
    <xf applyAlignment="true" applyBorder="false" applyFill="false" applyFont="true" applyNumberFormat="false" applyProtection="false" borderId="108" fillId="0" fontId="4" numFmtId="0" xfId="0">
      <alignment horizontal="right" vertical="bottom"/>
    </xf>
    <xf applyAlignment="true" applyBorder="false" applyFill="true" applyFont="true" applyNumberFormat="true" applyProtection="false" borderId="109" fillId="40" fontId="19" numFmtId="204" xfId="0">
      <alignment horizontal="center" vertical="center"/>
    </xf>
    <xf applyAlignment="true" applyBorder="false" applyFill="true" applyFont="true" applyNumberFormat="true" applyProtection="false" borderId="110" fillId="41" fontId="23" numFmtId="205" xfId="0">
      <alignment horizontal="center" vertical="center"/>
    </xf>
    <xf applyAlignment="true" applyBorder="false" applyFill="true" applyFont="true" applyNumberFormat="false" applyProtection="false" borderId="111" fillId="42" fontId="4" numFmtId="0" xfId="0">
      <alignment vertical="center"/>
    </xf>
    <xf applyAlignment="true" applyBorder="false" applyFill="true" applyFont="true" applyNumberFormat="false" applyProtection="false" borderId="112" fillId="43" fontId="4" numFmtId="0" xfId="0">
      <alignment vertical="center" wrapText="true"/>
    </xf>
    <xf applyAlignment="true" applyBorder="false" applyFill="false" applyFont="true" applyNumberFormat="true" applyProtection="false" borderId="113" fillId="0" fontId="4" numFmtId="206" xfId="0">
      <alignment vertical="center"/>
    </xf>
    <xf applyAlignment="true" applyBorder="false" applyFill="false" applyFont="true" applyNumberFormat="false" applyProtection="false" borderId="114" fillId="0" fontId="2" numFmtId="0" xfId="0">
      <alignment vertical="center"/>
    </xf>
    <xf applyAlignment="true" applyBorder="false" applyFill="true" applyFont="true" applyNumberFormat="true" applyProtection="false" borderId="115" fillId="44" fontId="19" numFmtId="207" xfId="0">
      <alignment horizontal="center" vertical="center"/>
    </xf>
    <xf applyAlignment="true" applyBorder="false" applyFill="true" applyFont="true" applyNumberFormat="true" applyProtection="false" borderId="116" fillId="45" fontId="23" numFmtId="208" xfId="0">
      <alignment horizontal="center" vertical="center"/>
    </xf>
    <xf applyAlignment="true" applyBorder="false" applyFill="false" applyFont="true" applyNumberFormat="false" applyProtection="false" borderId="117" fillId="0" fontId="4" numFmtId="0" xfId="0">
      <alignment horizontal="right" vertical="bottom"/>
    </xf>
    <xf applyAlignment="true" applyBorder="false" applyFill="false" applyFont="true" applyNumberFormat="false" applyProtection="false" borderId="118" fillId="0" fontId="4" numFmtId="0" xfId="0">
      <alignment vertical="bottom"/>
    </xf>
    <xf applyAlignment="true" applyBorder="false" applyFill="true" applyFont="true" applyNumberFormat="false" applyProtection="false" borderId="119" fillId="46" fontId="22" numFmtId="0" xfId="0">
      <alignment vertical="bottom"/>
    </xf>
    <xf applyAlignment="true" applyBorder="false" applyFill="true" applyFont="true" applyNumberFormat="false" applyProtection="false" borderId="120" fillId="47" fontId="22" numFmtId="0" xfId="0">
      <alignment vertical="bottom"/>
    </xf>
    <xf applyAlignment="true" applyBorder="false" applyFill="false" applyFont="true" applyNumberFormat="false" applyProtection="false" borderId="121" fillId="0" fontId="4" numFmtId="0" xfId="0">
      <alignment vertical="center" wrapText="true"/>
    </xf>
    <xf applyAlignment="true" applyBorder="false" applyFill="false" applyFont="true" applyNumberFormat="false" applyProtection="false" borderId="122" fillId="0" fontId="4" numFmtId="0" xfId="0">
      <alignment horizontal="left" vertical="center"/>
    </xf>
    <xf applyAlignment="true" applyBorder="false" applyFill="false" applyFont="true" applyNumberFormat="false" applyProtection="false" borderId="123" fillId="0" fontId="4" numFmtId="0" xfId="0">
      <alignment vertical="center"/>
    </xf>
    <xf applyAlignment="true" applyBorder="false" applyFill="false" applyFont="true" applyNumberFormat="false" applyProtection="false" borderId="124" fillId="0" fontId="4" numFmtId="0" xfId="0">
      <alignment horizontal="right" vertical="bottom"/>
    </xf>
    <xf applyAlignment="true" applyBorder="false" applyFill="false" applyFont="true" applyNumberFormat="false" applyProtection="false" borderId="125" fillId="0" fontId="4" numFmtId="0" xfId="0">
      <alignment vertical="center"/>
    </xf>
    <xf applyAlignment="true" applyBorder="false" applyFill="false" applyFont="true" applyNumberFormat="false" applyProtection="false" borderId="126" fillId="0" fontId="4" numFmtId="0" xfId="0">
      <alignment vertical="bottom"/>
    </xf>
    <xf applyAlignment="true" applyBorder="false" applyFill="false" applyFont="true" applyNumberFormat="false" applyProtection="false" borderId="127" fillId="0" fontId="4" numFmtId="0" xfId="0">
      <alignment vertical="center"/>
    </xf>
    <xf applyAlignment="true" applyBorder="false" applyFill="false" applyFont="true" applyNumberFormat="false" applyProtection="false" borderId="128" fillId="0" fontId="3" numFmtId="0" xfId="0">
      <alignment vertical="center" wrapText="true"/>
    </xf>
    <xf applyAlignment="true" applyBorder="false" applyFill="true" applyFont="true" applyNumberFormat="false" applyProtection="false" borderId="129" fillId="48" fontId="4" numFmtId="0" xfId="0">
      <alignment vertical="bottom"/>
    </xf>
    <xf applyAlignment="true" applyBorder="false" applyFill="false" applyFont="true" applyNumberFormat="false" applyProtection="false" borderId="130" fillId="0" fontId="27" numFmtId="0" xfId="0">
      <alignment vertical="center"/>
    </xf>
    <xf applyAlignment="true" applyBorder="false" applyFill="true" applyFont="true" applyNumberFormat="false" applyProtection="false" borderId="131" fillId="49" fontId="22" numFmtId="0" xfId="0">
      <alignment vertical="bottom"/>
    </xf>
    <xf applyAlignment="true" applyBorder="false" applyFill="false" applyFont="true" applyNumberFormat="false" applyProtection="false" borderId="132" fillId="0" fontId="7" numFmtId="0" xfId="0">
      <alignment vertical="bottom" wrapText="true"/>
    </xf>
    <xf applyAlignment="true" applyBorder="false" applyFill="false" applyFont="true" applyNumberFormat="false" applyProtection="false" borderId="133" fillId="0" fontId="2" numFmtId="0" xfId="0">
      <alignment vertical="center"/>
    </xf>
    <xf applyAlignment="true" applyBorder="false" applyFill="false" applyFont="true" applyNumberFormat="false" applyProtection="false" borderId="134" fillId="0" fontId="7" numFmtId="0" xfId="0">
      <alignment vertical="bottom"/>
    </xf>
    <xf applyAlignment="true" applyBorder="false" applyFill="true" applyFont="true" applyNumberFormat="false" applyProtection="false" borderId="135" fillId="50" fontId="4" numFmtId="0" xfId="0">
      <alignment vertical="center"/>
    </xf>
    <xf applyAlignment="true" applyBorder="false" applyFill="true" applyFont="true" applyNumberFormat="false" applyProtection="false" borderId="136" fillId="51" fontId="10" numFmtId="0" xfId="0">
      <alignment horizontal="center" vertical="center"/>
    </xf>
    <xf applyAlignment="true" applyBorder="false" applyFill="true" applyFont="true" applyNumberFormat="false" applyProtection="false" borderId="137" fillId="52" fontId="28" numFmtId="0" xfId="0">
      <alignment horizontal="center" vertical="center"/>
    </xf>
    <xf applyAlignment="true" applyBorder="false" applyFill="true" applyFont="true" applyNumberFormat="false" applyProtection="false" borderId="138" fillId="53" fontId="6" numFmtId="0" xfId="0">
      <alignment horizontal="center" vertical="center"/>
    </xf>
    <xf applyAlignment="true" applyBorder="false" applyFill="true" applyFont="true" applyNumberFormat="false" applyProtection="false" borderId="139" fillId="54" fontId="9" numFmtId="0" xfId="0">
      <alignment horizontal="center" vertical="center"/>
    </xf>
    <xf applyAlignment="true" applyBorder="false" applyFill="true" applyFont="true" applyNumberFormat="false" applyProtection="false" borderId="140" fillId="55" fontId="29" numFmtId="0" xfId="0">
      <alignment horizontal="center" vertical="center"/>
    </xf>
    <xf applyAlignment="true" applyBorder="false" applyFill="true" applyFont="true" applyNumberFormat="false" applyProtection="false" borderId="141" fillId="56" fontId="6" numFmtId="0" xfId="0">
      <alignment horizontal="center" vertical="center"/>
    </xf>
    <xf applyAlignment="true" applyBorder="false" applyFill="true" applyFont="true" applyNumberFormat="false" applyProtection="false" borderId="142" fillId="57" fontId="30" numFmtId="0" xfId="0">
      <alignment horizontal="center" vertical="center"/>
    </xf>
    <xf applyAlignment="true" applyBorder="false" applyFill="true" applyFont="true" applyNumberFormat="false" applyProtection="false" borderId="143" fillId="58" fontId="29" numFmtId="0" xfId="0">
      <alignment horizontal="center" vertical="center"/>
    </xf>
    <xf applyAlignment="true" applyBorder="false" applyFill="true" applyFont="true" applyNumberFormat="true" applyProtection="false" borderId="144" fillId="59" fontId="6" numFmtId="209" xfId="0">
      <alignment horizontal="center" vertical="center"/>
    </xf>
    <xf applyAlignment="true" applyBorder="false" applyFill="true" applyFont="true" applyNumberFormat="false" applyProtection="false" borderId="145" fillId="60" fontId="10" numFmtId="0" xfId="0">
      <alignment horizontal="center" vertical="center"/>
    </xf>
    <xf applyAlignment="true" applyBorder="false" applyFill="true" applyFont="true" applyNumberFormat="false" applyProtection="false" borderId="146" fillId="61" fontId="28" numFmtId="0" xfId="0">
      <alignment horizontal="center" vertical="center"/>
    </xf>
    <xf applyAlignment="true" applyBorder="false" applyFill="true" applyFont="true" applyNumberFormat="false" applyProtection="false" borderId="147" fillId="62" fontId="6" numFmtId="0" xfId="0">
      <alignment horizontal="center" vertical="center"/>
    </xf>
    <xf applyAlignment="true" applyBorder="false" applyFill="true" applyFont="true" applyNumberFormat="false" applyProtection="false" borderId="148" fillId="63" fontId="28" numFmtId="0" xfId="0">
      <alignment vertical="bottom" wrapText="true"/>
    </xf>
    <xf applyAlignment="true" applyBorder="false" applyFill="true" applyFont="true" applyNumberFormat="false" applyProtection="false" borderId="149" fillId="64" fontId="10" numFmtId="0" xfId="0">
      <alignment horizontal="center" vertical="center"/>
    </xf>
    <xf applyAlignment="true" applyBorder="false" applyFill="true" applyFont="true" applyNumberFormat="false" applyProtection="false" borderId="150" fillId="65" fontId="10" numFmtId="0" xfId="0">
      <alignment vertical="bottom"/>
    </xf>
    <xf applyAlignment="true" applyBorder="false" applyFill="true" applyFont="true" applyNumberFormat="false" applyProtection="false" borderId="151" fillId="66" fontId="28" numFmtId="0" xfId="0">
      <alignment horizontal="center" vertical="bottom"/>
    </xf>
    <xf applyAlignment="true" applyBorder="false" applyFill="true" applyFont="true" applyNumberFormat="false" applyProtection="false" borderId="152" fillId="67" fontId="28" numFmtId="0" xfId="0">
      <alignment horizontal="center" vertical="center"/>
    </xf>
    <xf applyAlignment="true" applyBorder="false" applyFill="true" applyFont="true" applyNumberFormat="false" applyProtection="false" borderId="153" fillId="68" fontId="10" numFmtId="0" xfId="0">
      <alignment vertical="center"/>
    </xf>
    <xf applyAlignment="true" applyBorder="false" applyFill="true" applyFont="true" applyNumberFormat="false" applyProtection="false" borderId="154" fillId="69" fontId="28" numFmtId="0" xfId="0">
      <alignment vertical="center"/>
    </xf>
    <xf applyAlignment="true" applyBorder="false" applyFill="true" applyFont="true" applyNumberFormat="true" applyProtection="false" borderId="155" fillId="70" fontId="28" numFmtId="210" xfId="0">
      <alignment vertical="bottom"/>
    </xf>
    <xf applyAlignment="true" applyBorder="false" applyFill="true" applyFont="true" applyNumberFormat="false" applyProtection="false" borderId="156" fillId="71" fontId="28" numFmtId="0" xfId="0">
      <alignment vertical="bottom"/>
    </xf>
    <xf applyAlignment="true" applyBorder="false" applyFill="true" applyFont="true" applyNumberFormat="false" applyProtection="false" borderId="157" fillId="72" fontId="28" numFmtId="0" xfId="0">
      <alignment horizontal="center" vertical="center" wrapText="true"/>
    </xf>
    <xf applyAlignment="true" applyBorder="false" applyFill="true" applyFont="true" applyNumberFormat="false" applyProtection="false" borderId="158" fillId="73" fontId="10" numFmtId="0" xfId="0">
      <alignment horizontal="left" vertical="bottom"/>
    </xf>
    <xf applyAlignment="true" applyBorder="false" applyFill="true" applyFont="true" applyNumberFormat="false" applyProtection="false" borderId="159" fillId="74" fontId="28" numFmtId="0" xfId="0">
      <alignment horizontal="left" vertical="bottom"/>
    </xf>
    <xf applyAlignment="true" applyBorder="false" applyFill="true" applyFont="true" applyNumberFormat="false" applyProtection="false" borderId="160" fillId="75" fontId="10" numFmtId="0" xfId="0">
      <alignment vertical="bottom" wrapText="true"/>
    </xf>
    <xf applyAlignment="true" applyBorder="false" applyFill="false" applyFont="true" applyNumberFormat="true" applyProtection="false" borderId="161" fillId="0" fontId="31" numFmtId="211" xfId="0">
      <alignment horizontal="center" vertical="center"/>
    </xf>
    <xf applyAlignment="true" applyBorder="false" applyFill="false" applyFont="true" applyNumberFormat="true" applyProtection="false" borderId="162" fillId="0" fontId="32" numFmtId="212" xfId="0">
      <alignment horizontal="center" vertical="center"/>
    </xf>
    <xf applyAlignment="true" applyBorder="false" applyFill="false" applyFont="true" applyNumberFormat="true" applyProtection="false" borderId="163" fillId="0" fontId="31" numFmtId="213" xfId="0">
      <alignment horizontal="center" vertical="center"/>
    </xf>
    <xf applyAlignment="true" applyBorder="false" applyFill="false" applyFont="true" applyNumberFormat="false" applyProtection="false" borderId="164" fillId="0" fontId="33" numFmtId="0" xfId="0">
      <alignment horizontal="center" vertical="center"/>
    </xf>
    <xf applyAlignment="false" applyBorder="false" applyFill="true" applyFont="false" applyNumberFormat="false" applyProtection="false" borderId="165" fillId="76" fontId="0" numFmtId="0" xfId="0">
      <alignment/>
    </xf>
    <xf applyAlignment="true" applyBorder="false" applyFill="false" applyFont="true" applyNumberFormat="true" applyProtection="false" borderId="166" fillId="0" fontId="4" numFmtId="214" xfId="0">
      <alignment horizontal="center" vertical="bottom" wrapText="true"/>
    </xf>
    <xf applyAlignment="true" applyBorder="false" applyFill="false" applyFont="true" applyNumberFormat="false" applyProtection="false" borderId="167" fillId="0" fontId="4" numFmtId="0" xfId="0">
      <alignment horizontal="center" vertical="bottom" wrapText="true"/>
    </xf>
    <xf applyAlignment="true" applyBorder="false" applyFill="false" applyFont="true" applyNumberFormat="true" applyProtection="false" borderId="168" fillId="0" fontId="2" numFmtId="215" xfId="0">
      <alignment horizontal="center" vertical="center"/>
    </xf>
    <xf applyAlignment="true" applyBorder="false" applyFill="false" applyFont="true" applyNumberFormat="false" applyProtection="false" borderId="169" fillId="0" fontId="34" numFmtId="0" xfId="0">
      <alignment horizontal="center" vertical="top" wrapText="true"/>
    </xf>
    <xf applyAlignment="true" applyBorder="false" applyFill="false" applyFont="true" applyNumberFormat="false" applyProtection="false" borderId="170" fillId="0" fontId="10" numFmtId="0" xfId="0">
      <alignment vertical="bottom" wrapText="true"/>
    </xf>
    <xf applyAlignment="true" applyBorder="false" applyFill="false" applyFont="true" applyNumberFormat="true" applyProtection="false" borderId="171" fillId="0" fontId="34" numFmtId="216" xfId="0">
      <alignment horizontal="center" vertical="bottom" wrapText="true"/>
    </xf>
    <xf applyAlignment="true" applyBorder="false" applyFill="false" applyFont="true" applyNumberFormat="true" applyProtection="false" borderId="172" fillId="0" fontId="4" numFmtId="217" xfId="0">
      <alignment horizontal="center" vertical="bottom" wrapText="true"/>
    </xf>
    <xf applyAlignment="true" applyBorder="false" applyFill="false" applyFont="true" applyNumberFormat="false" applyProtection="false" borderId="173" fillId="0" fontId="2" numFmtId="0" xfId="0">
      <alignment horizontal="left" vertical="center"/>
    </xf>
    <xf applyAlignment="true" applyBorder="false" applyFill="false" applyFont="true" applyNumberFormat="false" applyProtection="false" borderId="174" fillId="0" fontId="18" numFmtId="0" xfId="0">
      <alignment vertical="center" wrapText="true"/>
    </xf>
    <xf applyAlignment="true" applyBorder="false" applyFill="false" applyFont="true" applyNumberFormat="true" applyProtection="false" borderId="175" fillId="0" fontId="2" numFmtId="218" xfId="0">
      <alignment horizontal="center" vertical="center"/>
    </xf>
    <xf applyAlignment="true" applyBorder="false" applyFill="true" applyFont="true" applyNumberFormat="false" applyProtection="false" borderId="176" fillId="77" fontId="12" numFmtId="0" xfId="0">
      <alignment horizontal="center" vertical="center"/>
    </xf>
    <xf applyAlignment="true" applyBorder="false" applyFill="true" applyFont="true" applyNumberFormat="false" applyProtection="false" borderId="177" fillId="78" fontId="12" numFmtId="0" xfId="0">
      <alignment horizontal="center" vertical="center" wrapText="true"/>
    </xf>
    <xf applyAlignment="true" applyBorder="false" applyFill="false" applyFont="true" applyNumberFormat="false" applyProtection="false" borderId="178" fillId="0" fontId="12" numFmtId="0" xfId="0">
      <alignment horizontal="center" vertical="center"/>
    </xf>
    <xf applyAlignment="true" applyBorder="false" applyFill="false" applyFont="true" applyNumberFormat="false" applyProtection="false" borderId="179" fillId="0" fontId="4" numFmtId="0" xfId="0">
      <alignment horizontal="center" vertical="center"/>
    </xf>
    <xf applyAlignment="true" applyBorder="false" applyFill="false" applyFont="true" applyNumberFormat="true" applyProtection="false" borderId="180" fillId="0" fontId="4" numFmtId="219" xfId="0">
      <alignment horizontal="center" vertical="center"/>
    </xf>
    <xf applyAlignment="true" applyBorder="false" applyFill="true" applyFont="true" applyNumberFormat="false" applyProtection="false" borderId="181" fillId="79" fontId="28" numFmtId="0" xfId="0">
      <alignment horizontal="center" vertical="center"/>
    </xf>
    <xf applyAlignment="true" applyBorder="false" applyFill="true" applyFont="true" applyNumberFormat="false" applyProtection="false" borderId="182" fillId="80" fontId="28" numFmtId="0" xfId="0">
      <alignment horizontal="center" vertical="center" wrapText="true"/>
    </xf>
    <xf applyAlignment="true" applyBorder="false" applyFill="false" applyFont="true" applyNumberFormat="false" applyProtection="false" borderId="183" fillId="0" fontId="3" numFmtId="0" xfId="0">
      <alignment horizontal="center" vertical="center" wrapText="true"/>
    </xf>
    <xf applyAlignment="true" applyBorder="false" applyFill="false" applyFont="true" applyNumberFormat="true" applyProtection="false" borderId="184" fillId="0" fontId="3" numFmtId="220" xfId="0">
      <alignment vertical="center"/>
    </xf>
    <xf applyAlignment="true" applyBorder="false" applyFill="false" applyFont="true" applyNumberFormat="true" applyProtection="false" borderId="185" fillId="0" fontId="2" numFmtId="221" xfId="0">
      <alignment vertical="center"/>
    </xf>
    <xf applyAlignment="true" applyBorder="false" applyFill="false" applyFont="true" applyNumberFormat="true" applyProtection="false" borderId="186" fillId="0" fontId="2" numFmtId="222" xfId="0">
      <alignment vertical="center"/>
    </xf>
    <xf applyAlignment="true" applyBorder="false" applyFill="false" applyFont="true" applyNumberFormat="true" applyProtection="false" borderId="187" fillId="0" fontId="2" numFmtId="223" xfId="0">
      <alignment vertical="center"/>
    </xf>
    <xf applyAlignment="true" applyBorder="false" applyFill="false" applyFont="true" applyNumberFormat="true" applyProtection="false" borderId="188" fillId="0" fontId="35" numFmtId="224" xfId="0">
      <alignment vertical="center"/>
    </xf>
    <xf applyAlignment="true" applyBorder="false" applyFill="false" applyFont="true" applyNumberFormat="true" applyProtection="false" borderId="189" fillId="0" fontId="4" numFmtId="225" xfId="0">
      <alignment horizontal="left" vertical="center"/>
    </xf>
    <xf applyAlignment="true" applyBorder="false" applyFill="false" applyFont="true" applyNumberFormat="true" applyProtection="false" borderId="190" fillId="0" fontId="4" numFmtId="226" xfId="0">
      <alignment horizontal="center" vertical="center" wrapText="true"/>
    </xf>
    <xf applyAlignment="true" applyBorder="false" applyFill="false" applyFont="true" applyNumberFormat="false" applyProtection="false" borderId="191" fillId="0" fontId="4" numFmtId="0" xfId="0">
      <alignment horizontal="center" vertical="center"/>
    </xf>
    <xf applyAlignment="true" applyBorder="false" applyFill="false" applyFont="true" applyNumberFormat="false" applyProtection="false" borderId="192" fillId="0" fontId="4" numFmtId="0" xfId="0">
      <alignment horizontal="center" vertical="center" wrapText="true"/>
    </xf>
    <xf applyAlignment="true" applyBorder="false" applyFill="false" applyFont="true" applyNumberFormat="true" applyProtection="false" borderId="193" fillId="0" fontId="4" numFmtId="227" xfId="0">
      <alignment horizontal="left" vertical="center" wrapText="true"/>
    </xf>
    <xf applyAlignment="true" applyBorder="false" applyFill="false" applyFont="true" applyNumberFormat="false" applyProtection="false" borderId="194" fillId="0" fontId="4" numFmtId="0" xfId="0">
      <alignment horizontal="center" vertical="center"/>
    </xf>
    <xf applyAlignment="true" applyBorder="false" applyFill="false" applyFont="true" applyNumberFormat="true" applyProtection="false" borderId="195" fillId="0" fontId="2" numFmtId="228" xfId="0">
      <alignment horizontal="left" vertical="center"/>
    </xf>
    <xf applyAlignment="true" applyBorder="false" applyFill="false" applyFont="true" applyNumberFormat="true" applyProtection="false" borderId="196" fillId="0" fontId="2" numFmtId="229" xfId="0">
      <alignment vertical="center"/>
    </xf>
    <xf applyAlignment="true" applyBorder="false" applyFill="false" applyFont="true" applyNumberFormat="false" applyProtection="false" borderId="197" fillId="0" fontId="4" numFmtId="0" xfId="0">
      <alignment horizontal="center" vertical="center"/>
    </xf>
    <xf applyAlignment="true" applyBorder="false" applyFill="false" applyFont="true" applyNumberFormat="false" applyProtection="false" borderId="198" fillId="0" fontId="4" numFmtId="0" xfId="0">
      <alignment horizontal="center" vertical="center"/>
    </xf>
    <xf applyAlignment="true" applyBorder="false" applyFill="false" applyFont="true" applyNumberFormat="true" applyProtection="false" borderId="199" fillId="0" fontId="4" numFmtId="230" xfId="0">
      <alignment horizontal="left" vertical="center"/>
    </xf>
    <xf applyAlignment="true" applyBorder="false" applyFill="false" applyFont="true" applyNumberFormat="false" applyProtection="false" borderId="200" fillId="0" fontId="4" numFmtId="0" xfId="0">
      <alignment horizontal="center" vertical="center" wrapText="true"/>
    </xf>
    <xf applyAlignment="true" applyBorder="false" applyFill="false" applyFont="true" applyNumberFormat="false" applyProtection="false" borderId="201" fillId="0" fontId="4" numFmtId="0" xfId="0">
      <alignment horizontal="center" vertical="center"/>
    </xf>
    <xf applyAlignment="true" applyBorder="false" applyFill="false" applyFont="true" applyNumberFormat="true" applyProtection="false" borderId="202" fillId="0" fontId="4" numFmtId="231" xfId="0">
      <alignment horizontal="left" vertical="center"/>
    </xf>
    <xf applyAlignment="true" applyBorder="false" applyFill="false" applyFont="true" applyNumberFormat="false" applyProtection="false" borderId="203" fillId="0" fontId="4" numFmtId="0" xfId="0">
      <alignment horizontal="center" vertical="center"/>
    </xf>
    <xf applyAlignment="true" applyBorder="false" applyFill="false" applyFont="true" applyNumberFormat="false" applyProtection="false" borderId="204" fillId="0" fontId="10" numFmtId="0" xfId="0">
      <alignment horizontal="center" vertical="center" wrapText="true"/>
    </xf>
    <xf applyAlignment="true" applyBorder="false" applyFill="false" applyFont="true" applyNumberFormat="true" applyProtection="false" borderId="205" fillId="0" fontId="4" numFmtId="232" xfId="0">
      <alignment horizontal="left" vertical="center" wrapText="true"/>
    </xf>
    <xf applyAlignment="true" applyBorder="false" applyFill="false" applyFont="true" applyNumberFormat="false" applyProtection="false" borderId="206" fillId="0" fontId="2" numFmtId="0" xfId="0">
      <alignment vertical="center"/>
    </xf>
    <xf applyAlignment="true" applyBorder="false" applyFill="false" applyFont="true" applyNumberFormat="false" applyProtection="false" borderId="207" fillId="0" fontId="4" numFmtId="0" xfId="0">
      <alignment horizontal="center" vertical="center" wrapText="true"/>
    </xf>
    <xf applyAlignment="true" applyBorder="false" applyFill="false" applyFont="true" applyNumberFormat="false" applyProtection="false" borderId="208" fillId="0" fontId="4" numFmtId="0" xfId="0">
      <alignment horizontal="center" vertical="center" wrapText="true"/>
    </xf>
    <xf applyAlignment="true" applyBorder="false" applyFill="false" applyFont="true" applyNumberFormat="false" applyProtection="false" borderId="209" fillId="0" fontId="4" numFmtId="0" xfId="0">
      <alignment horizontal="center" vertical="center"/>
    </xf>
    <xf applyAlignment="true" applyBorder="false" applyFill="false" applyFont="true" applyNumberFormat="false" applyProtection="false" borderId="210" fillId="0" fontId="4" numFmtId="0" xfId="0">
      <alignment horizontal="center" vertical="center" wrapText="true"/>
    </xf>
    <xf applyAlignment="true" applyBorder="false" applyFill="false" applyFont="true" applyNumberFormat="false" applyProtection="false" borderId="211" fillId="0" fontId="4" numFmtId="0" xfId="0">
      <alignment horizontal="center" vertical="center"/>
    </xf>
    <xf applyAlignment="true" applyBorder="false" applyFill="false" applyFont="true" applyNumberFormat="true" applyProtection="false" borderId="212" fillId="0" fontId="2" numFmtId="233" xfId="0">
      <alignment vertical="center"/>
    </xf>
    <xf applyAlignment="true" applyBorder="false" applyFill="false" applyFont="true" applyNumberFormat="false" applyProtection="false" borderId="213" fillId="0" fontId="2" numFmtId="0" xfId="0">
      <alignment vertical="center"/>
    </xf>
    <xf applyAlignment="true" applyBorder="false" applyFill="false" applyFont="true" applyNumberFormat="true" applyProtection="false" borderId="214" fillId="0" fontId="4" numFmtId="234" xfId="0">
      <alignment horizontal="left" vertical="center"/>
    </xf>
    <xf applyAlignment="true" applyBorder="false" applyFill="false" applyFont="true" applyNumberFormat="false" applyProtection="false" borderId="215" fillId="0" fontId="2" numFmtId="0" xfId="0">
      <alignment horizontal="center" vertical="center"/>
    </xf>
    <xf applyAlignment="true" applyBorder="false" applyFill="false" applyFont="true" applyNumberFormat="false" applyProtection="false" borderId="216" fillId="0" fontId="4" numFmtId="0" xfId="0">
      <alignment horizontal="left" vertical="center" wrapText="true"/>
    </xf>
    <xf applyAlignment="true" applyBorder="false" applyFill="false" applyFont="true" applyNumberFormat="true" applyProtection="false" borderId="217" fillId="0" fontId="2" numFmtId="235" xfId="0">
      <alignment horizontal="left" vertical="center"/>
    </xf>
    <xf applyAlignment="true" applyBorder="false" applyFill="false" applyFont="true" applyNumberFormat="false" applyProtection="false" borderId="218" fillId="0" fontId="4" numFmtId="0" xfId="0">
      <alignment horizontal="center" vertical="center" wrapText="true"/>
    </xf>
    <xf applyAlignment="true" applyBorder="false" applyFill="false" applyFont="true" applyNumberFormat="true" applyProtection="false" borderId="219" fillId="0" fontId="4" numFmtId="236" xfId="0">
      <alignment horizontal="left" vertical="center"/>
    </xf>
    <xf applyAlignment="true" applyBorder="false" applyFill="true" applyFont="true" applyNumberFormat="false" applyProtection="false" borderId="220" fillId="81" fontId="10" numFmtId="0" xfId="0">
      <alignment horizontal="center" vertical="center"/>
    </xf>
    <xf applyAlignment="true" applyBorder="false" applyFill="true" applyFont="true" applyNumberFormat="false" applyProtection="false" borderId="221" fillId="82" fontId="10" numFmtId="0" xfId="0">
      <alignment horizontal="center" vertical="center" wrapText="true"/>
    </xf>
    <xf applyAlignment="true" applyBorder="false" applyFill="true" applyFont="true" applyNumberFormat="false" applyProtection="false" borderId="222" fillId="83" fontId="10" numFmtId="0" xfId="0">
      <alignment horizontal="center" vertical="center"/>
    </xf>
    <xf applyAlignment="true" applyBorder="false" applyFill="true" applyFont="true" applyNumberFormat="true" applyProtection="false" borderId="223" fillId="84" fontId="10" numFmtId="237" xfId="0">
      <alignment horizontal="center" vertical="center" wrapText="true"/>
    </xf>
    <xf applyAlignment="true" applyBorder="false" applyFill="true" applyFont="true" applyNumberFormat="false" applyProtection="false" borderId="224" fillId="85" fontId="10" numFmtId="0" xfId="0">
      <alignment horizontal="center" vertical="center" wrapText="true"/>
    </xf>
    <xf applyAlignment="true" applyBorder="false" applyFill="false" applyFont="true" applyNumberFormat="false" applyProtection="false" borderId="225" fillId="0" fontId="2" numFmtId="0" xfId="0">
      <alignment horizontal="center" vertical="center" wrapText="true"/>
    </xf>
    <xf applyAlignment="true" applyBorder="false" applyFill="false" applyFont="true" applyNumberFormat="true" applyProtection="false" borderId="226" fillId="0" fontId="2" numFmtId="238" xfId="0">
      <alignment horizontal="left" vertical="center" wrapText="true"/>
    </xf>
    <xf applyAlignment="true" applyBorder="false" applyFill="false" applyFont="true" applyNumberFormat="false" applyProtection="false" borderId="227" fillId="0" fontId="2" numFmtId="0" xfId="0">
      <alignment vertical="center" wrapText="true"/>
    </xf>
    <xf applyAlignment="true" applyBorder="false" applyFill="false" applyFont="true" applyNumberFormat="false" applyProtection="false" borderId="228" fillId="0" fontId="2" numFmtId="0" xfId="0">
      <alignment vertical="center" wrapText="true"/>
    </xf>
    <xf applyAlignment="true" applyBorder="false" applyFill="false" applyFont="true" applyNumberFormat="true" applyProtection="false" borderId="229" fillId="0" fontId="2" numFmtId="239" xfId="0">
      <alignment horizontal="left" vertical="center" wrapText="true"/>
    </xf>
    <xf applyAlignment="true" applyBorder="false" applyFill="false" applyFont="true" applyNumberFormat="true" applyProtection="false" borderId="230" fillId="0" fontId="2" numFmtId="240" xfId="0">
      <alignment horizontal="left" vertical="center" wrapText="true"/>
    </xf>
    <xf applyAlignment="true" applyBorder="false" applyFill="false" applyFont="true" applyNumberFormat="false" applyProtection="false" borderId="231" fillId="0" fontId="2" numFmtId="0" xfId="0">
      <alignment horizontal="left" vertical="center" wrapText="true"/>
    </xf>
    <xf applyAlignment="true" applyBorder="false" applyFill="false" applyFont="true" applyNumberFormat="false" applyProtection="false" borderId="232" fillId="0" fontId="2" numFmtId="0" xfId="0">
      <alignment vertical="center" wrapText="true"/>
    </xf>
    <xf applyAlignment="true" applyBorder="false" applyFill="false" applyFont="true" applyNumberFormat="false" applyProtection="false" borderId="233" fillId="0" fontId="2" numFmtId="0" xfId="0">
      <alignment horizontal="center" vertical="center" wrapText="true"/>
    </xf>
    <xf applyAlignment="true" applyBorder="false" applyFill="false" applyFont="true" applyNumberFormat="true" applyProtection="false" borderId="234" fillId="0" fontId="2" numFmtId="241" xfId="0">
      <alignment horizontal="left" vertical="center" wrapText="true"/>
    </xf>
    <xf applyAlignment="true" applyBorder="false" applyFill="false" applyFont="true" applyNumberFormat="false" applyProtection="false" borderId="235" fillId="0" fontId="2" numFmtId="0" xfId="0">
      <alignment horizontal="left" vertical="center" wrapText="true"/>
    </xf>
    <xf applyAlignment="true" applyBorder="false" applyFill="false" applyFont="true" applyNumberFormat="false" applyProtection="false" borderId="236" fillId="0" fontId="2" numFmtId="0" xfId="0">
      <alignment horizontal="center" vertical="center" wrapText="true"/>
    </xf>
    <xf applyAlignment="true" applyBorder="false" applyFill="false" applyFont="true" applyNumberFormat="false" applyProtection="false" borderId="237" fillId="0" fontId="2" numFmtId="0" xfId="0">
      <alignment vertical="center" wrapText="true"/>
    </xf>
    <xf applyAlignment="true" applyBorder="false" applyFill="false" applyFont="true" applyNumberFormat="true" applyProtection="false" borderId="238" fillId="0" fontId="2" numFmtId="242" xfId="0">
      <alignment horizontal="left" vertical="center" wrapText="true"/>
    </xf>
    <xf applyAlignment="true" applyBorder="false" applyFill="false" applyFont="true" applyNumberFormat="false" applyProtection="false" borderId="239" fillId="0" fontId="2" numFmtId="0" xfId="0">
      <alignment vertical="center" wrapText="true"/>
    </xf>
    <xf applyAlignment="true" applyBorder="false" applyFill="false" applyFont="true" applyNumberFormat="true" applyProtection="false" borderId="240" fillId="0" fontId="2" numFmtId="243" xfId="0">
      <alignment horizontal="left" vertical="center" wrapText="true"/>
    </xf>
    <xf applyAlignment="true" applyBorder="false" applyFill="true" applyFont="true" applyNumberFormat="false" applyProtection="false" borderId="241" fillId="86" fontId="2" numFmtId="0" xfId="0">
      <alignment vertical="center"/>
    </xf>
    <xf applyAlignment="true" applyBorder="false" applyFill="true" applyFont="true" applyNumberFormat="false" applyProtection="false" borderId="242" fillId="87" fontId="2" numFmtId="0" xfId="0">
      <alignment vertical="center" wrapText="true"/>
    </xf>
    <xf applyAlignment="true" applyBorder="false" applyFill="true" applyFont="true" applyNumberFormat="false" applyProtection="false" borderId="243" fillId="88" fontId="2" numFmtId="0" xfId="0">
      <alignment vertical="center"/>
    </xf>
    <xf applyAlignment="true" applyBorder="false" applyFill="true" applyFont="true" applyNumberFormat="true" applyProtection="false" borderId="244" fillId="89" fontId="2" numFmtId="244" xfId="0">
      <alignment horizontal="left" vertical="center" wrapText="true"/>
    </xf>
    <xf applyAlignment="true" applyBorder="false" applyFill="true" applyFont="true" applyNumberFormat="true" applyProtection="false" borderId="245" fillId="90" fontId="2" numFmtId="245" xfId="0">
      <alignment horizontal="left" vertical="center" wrapText="true"/>
    </xf>
    <xf applyAlignment="true" applyBorder="false" applyFill="true" applyFont="true" applyNumberFormat="false" applyProtection="false" borderId="246" fillId="91" fontId="2" numFmtId="0" xfId="0">
      <alignment horizontal="center" vertical="center" wrapText="true"/>
    </xf>
    <xf applyAlignment="true" applyBorder="false" applyFill="true" applyFont="true" applyNumberFormat="false" applyProtection="false" borderId="247" fillId="92" fontId="2" numFmtId="0" xfId="0">
      <alignment vertical="center" wrapText="true"/>
    </xf>
    <xf applyAlignment="true" applyBorder="false" applyFill="false" applyFont="true" applyNumberFormat="false" applyProtection="false" borderId="248" fillId="0" fontId="2" numFmtId="0" xfId="0">
      <alignment horizontal="left" vertical="center" wrapText="true"/>
    </xf>
    <xf applyAlignment="true" applyBorder="false" applyFill="true" applyFont="true" applyNumberFormat="false" applyProtection="false" borderId="249" fillId="93" fontId="12" numFmtId="0" xfId="0">
      <alignment horizontal="center" vertical="center" wrapText="true"/>
    </xf>
    <xf applyAlignment="true" applyBorder="false" applyFill="true" applyFont="true" applyNumberFormat="false" applyProtection="false" borderId="250" fillId="94" fontId="12" numFmtId="0" xfId="0">
      <alignment horizontal="center" vertical="center" wrapText="true"/>
    </xf>
    <xf applyAlignment="true" applyBorder="false" applyFill="true" applyFont="true" applyNumberFormat="false" applyProtection="false" borderId="251" fillId="95" fontId="12" numFmtId="0" xfId="0">
      <alignment horizontal="center" vertical="center" wrapText="true"/>
    </xf>
    <xf applyAlignment="true" applyBorder="false" applyFill="true" applyFont="true" applyNumberFormat="true" applyProtection="false" borderId="252" fillId="96" fontId="12" numFmtId="246" xfId="0">
      <alignment horizontal="center" vertical="center" wrapText="true"/>
    </xf>
    <xf applyAlignment="true" applyBorder="false" applyFill="false" applyFont="true" applyNumberFormat="true" applyProtection="false" borderId="253" fillId="0" fontId="2" numFmtId="247" xfId="0">
      <alignment vertical="center"/>
    </xf>
    <xf applyAlignment="true" applyBorder="false" applyFill="true" applyFont="true" applyNumberFormat="false" applyProtection="false" borderId="254" fillId="97" fontId="16" numFmtId="0" xfId="0">
      <alignment vertical="center" wrapText="true"/>
    </xf>
    <xf applyAlignment="true" applyBorder="false" applyFill="true" applyFont="true" applyNumberFormat="false" applyProtection="false" borderId="255" fillId="98" fontId="16" numFmtId="0" xfId="0">
      <alignment vertical="center" wrapText="true"/>
    </xf>
    <xf applyAlignment="true" applyBorder="false" applyFill="true" applyFont="true" applyNumberFormat="false" applyProtection="false" borderId="256" fillId="99" fontId="18" numFmtId="0" xfId="0">
      <alignment vertical="center"/>
    </xf>
    <xf applyAlignment="true" applyBorder="false" applyFill="true" applyFont="true" applyNumberFormat="true" applyProtection="false" borderId="257" fillId="100" fontId="16" numFmtId="248" xfId="0">
      <alignment vertical="center" wrapText="true"/>
    </xf>
    <xf applyAlignment="true" applyBorder="false" applyFill="false" applyFont="true" applyNumberFormat="true" applyProtection="false" borderId="258" fillId="0" fontId="2" numFmtId="249" xfId="0">
      <alignment horizontal="left" vertical="center" wrapText="true"/>
    </xf>
    <xf applyAlignment="true" applyBorder="false" applyFill="false" applyFont="true" applyNumberFormat="false" applyProtection="false" borderId="259" fillId="0" fontId="2" numFmtId="0" xfId="0">
      <alignment vertical="center"/>
    </xf>
    <xf applyAlignment="true" applyBorder="false" applyFill="true" applyFont="true" applyNumberFormat="true" applyProtection="false" borderId="260" fillId="101" fontId="2" numFmtId="250" xfId="0">
      <alignment horizontal="left" vertical="center" wrapText="true"/>
    </xf>
    <xf applyAlignment="true" applyBorder="false" applyFill="false" applyFont="true" applyNumberFormat="true" applyProtection="false" borderId="261" fillId="0" fontId="2" numFmtId="251" xfId="0">
      <alignment horizontal="left" vertical="center" wrapText="true"/>
    </xf>
    <xf applyAlignment="true" applyBorder="false" applyFill="true" applyFont="true" applyNumberFormat="false" applyProtection="false" borderId="262" fillId="102" fontId="16" numFmtId="0" xfId="0">
      <alignment vertical="center"/>
    </xf>
    <xf applyAlignment="true" applyBorder="false" applyFill="false" applyFont="true" applyNumberFormat="false" applyProtection="false" borderId="263" fillId="0" fontId="2" numFmtId="0" xfId="0">
      <alignment vertical="center" wrapText="true"/>
    </xf>
    <xf applyAlignment="true" applyBorder="false" applyFill="false" applyFont="true" applyNumberFormat="false" applyProtection="false" borderId="264" fillId="0" fontId="2" numFmtId="0" xfId="0">
      <alignment horizontal="center" vertical="center" wrapText="true"/>
    </xf>
    <xf applyAlignment="true" applyBorder="false" applyFill="false" applyFont="true" applyNumberFormat="false" applyProtection="false" borderId="265" fillId="0" fontId="2" numFmtId="0" xfId="0">
      <alignment vertical="center" wrapText="true"/>
    </xf>
    <xf applyAlignment="true" applyBorder="false" applyFill="false" applyFont="true" applyNumberFormat="false" applyProtection="false" borderId="266" fillId="0" fontId="22" numFmtId="0" xfId="0">
      <alignment horizontal="left" vertical="center"/>
    </xf>
    <xf applyAlignment="true" applyBorder="false" applyFill="true" applyFont="true" applyNumberFormat="true" applyProtection="false" borderId="267" fillId="103" fontId="36" numFmtId="252" xfId="0">
      <alignment horizontal="left" vertical="center"/>
    </xf>
    <xf applyAlignment="true" applyBorder="false" applyFill="false" applyFont="true" applyNumberFormat="false" applyProtection="false" borderId="268" fillId="0" fontId="22" numFmtId="0" xfId="0">
      <alignment horizontal="right" vertical="center"/>
    </xf>
    <xf applyAlignment="true" applyBorder="false" applyFill="false" applyFont="true" applyNumberFormat="false" applyProtection="false" borderId="269" fillId="0" fontId="22" numFmtId="0" xfId="0">
      <alignment horizontal="left" vertical="center" wrapText="true"/>
    </xf>
    <xf applyAlignment="true" applyBorder="false" applyFill="false" applyFont="true" applyNumberFormat="true" applyProtection="false" borderId="270" fillId="0" fontId="22" numFmtId="253" xfId="0">
      <alignment horizontal="right" vertical="center"/>
    </xf>
    <xf applyAlignment="true" applyBorder="false" applyFill="false" applyFont="true" applyNumberFormat="false" applyProtection="false" borderId="271" fillId="0" fontId="22" numFmtId="0" xfId="0">
      <alignment vertical="bottom"/>
    </xf>
    <xf applyAlignment="true" applyBorder="false" applyFill="false" applyFont="true" applyNumberFormat="false" applyProtection="false" borderId="272" fillId="0" fontId="22" numFmtId="0" xfId="0">
      <alignment horizontal="center" vertical="center"/>
    </xf>
    <xf applyAlignment="true" applyBorder="false" applyFill="false" applyFont="true" applyNumberFormat="true" applyProtection="false" borderId="273" fillId="0" fontId="22" numFmtId="254" xfId="0">
      <alignment horizontal="left" vertical="center"/>
    </xf>
    <xf applyAlignment="true" applyBorder="false" applyFill="false" applyFont="true" applyNumberFormat="true" applyProtection="false" borderId="274" fillId="0" fontId="22" numFmtId="255" xfId="0">
      <alignment horizontal="left" vertical="center"/>
    </xf>
    <xf applyAlignment="true" applyBorder="false" applyFill="false" applyFont="true" applyNumberFormat="false" applyProtection="false" borderId="275" fillId="0" fontId="22" numFmtId="0" xfId="0">
      <alignment horizontal="left" vertical="bottom" wrapText="true"/>
    </xf>
    <xf applyAlignment="true" applyBorder="false" applyFill="false" applyFont="true" applyNumberFormat="false" applyProtection="false" borderId="276" fillId="0" fontId="22" numFmtId="0" xfId="0">
      <alignment horizontal="left" vertical="bottom"/>
    </xf>
    <xf applyAlignment="true" applyBorder="false" applyFill="false" applyFont="true" applyNumberFormat="false" applyProtection="false" borderId="277" fillId="0" fontId="22" numFmtId="0" xfId="0">
      <alignment horizontal="left" vertical="center"/>
    </xf>
    <xf applyAlignment="true" applyBorder="false" applyFill="false" applyFont="true" applyNumberFormat="false" applyProtection="false" borderId="278" fillId="0" fontId="22" numFmtId="0" xfId="0">
      <alignment horizontal="right" vertical="center"/>
    </xf>
    <xf applyAlignment="true" applyBorder="false" applyFill="true" applyFont="true" applyNumberFormat="false" applyProtection="false" borderId="279" fillId="104" fontId="22" numFmtId="0" xfId="0">
      <alignment horizontal="left" vertical="center"/>
    </xf>
    <xf applyAlignment="true" applyBorder="false" applyFill="true" applyFont="true" applyNumberFormat="true" applyProtection="false" borderId="280" fillId="105" fontId="22" numFmtId="256" xfId="0">
      <alignment horizontal="left" vertical="center"/>
    </xf>
    <xf applyAlignment="true" applyBorder="false" applyFill="true" applyFont="true" applyNumberFormat="false" applyProtection="false" borderId="281" fillId="106" fontId="22" numFmtId="0" xfId="0">
      <alignment horizontal="left" vertical="center" wrapText="true"/>
    </xf>
    <xf applyAlignment="true" applyBorder="false" applyFill="true" applyFont="true" applyNumberFormat="true" applyProtection="false" borderId="282" fillId="107" fontId="22" numFmtId="257" xfId="0">
      <alignment horizontal="right" vertical="center"/>
    </xf>
    <xf applyAlignment="true" applyBorder="false" applyFill="true" applyFont="true" applyNumberFormat="false" applyProtection="false" borderId="283" fillId="108" fontId="22" numFmtId="0" xfId="0">
      <alignment vertical="bottom"/>
    </xf>
    <xf applyAlignment="true" applyBorder="false" applyFill="true" applyFont="true" applyNumberFormat="false" applyProtection="false" borderId="284" fillId="109" fontId="22" numFmtId="0" xfId="0">
      <alignment horizontal="right" vertical="center"/>
    </xf>
    <xf applyAlignment="true" applyBorder="false" applyFill="true" applyFont="true" applyNumberFormat="false" applyProtection="false" borderId="285" fillId="110" fontId="22" numFmtId="0" xfId="0">
      <alignment horizontal="left" vertical="center"/>
    </xf>
    <xf applyAlignment="true" applyBorder="false" applyFill="true" applyFont="true" applyNumberFormat="false" applyProtection="false" borderId="286" fillId="111" fontId="37" numFmtId="0" xfId="0">
      <alignment horizontal="left" vertical="center"/>
    </xf>
    <xf applyAlignment="true" applyBorder="false" applyFill="false" applyFont="true" applyNumberFormat="true" applyProtection="false" borderId="287" fillId="0" fontId="22" numFmtId="258" xfId="0">
      <alignment horizontal="left" vertical="center"/>
    </xf>
    <xf applyAlignment="true" applyBorder="false" applyFill="true" applyFont="true" applyNumberFormat="true" applyProtection="false" borderId="288" fillId="112" fontId="22" numFmtId="259" xfId="0">
      <alignment horizontal="right" vertical="center"/>
    </xf>
    <xf applyAlignment="true" applyBorder="false" applyFill="true" applyFont="true" applyNumberFormat="false" applyProtection="false" borderId="289" fillId="113" fontId="38" numFmtId="0" xfId="0">
      <alignment horizontal="left" vertical="center" wrapText="true"/>
    </xf>
    <xf applyAlignment="true" applyBorder="false" applyFill="false" applyFont="true" applyNumberFormat="false" applyProtection="false" borderId="290" fillId="0" fontId="38" numFmtId="0" xfId="0">
      <alignment horizontal="left" vertical="center" wrapText="true"/>
    </xf>
    <xf applyAlignment="true" applyBorder="false" applyFill="true" applyFont="true" applyNumberFormat="true" applyProtection="false" borderId="291" fillId="114" fontId="22" numFmtId="260" xfId="0">
      <alignment horizontal="left" vertical="center"/>
    </xf>
    <xf applyAlignment="true" applyBorder="false" applyFill="true" applyFont="true" applyNumberFormat="false" applyProtection="false" borderId="292" fillId="115" fontId="38" numFmtId="0" xfId="0">
      <alignment vertical="bottom" wrapText="true"/>
    </xf>
    <xf applyAlignment="true" applyBorder="false" applyFill="true" applyFont="true" applyNumberFormat="true" applyProtection="false" borderId="293" fillId="116" fontId="22" numFmtId="261" xfId="0">
      <alignment horizontal="left" vertical="center"/>
    </xf>
    <xf applyAlignment="true" applyBorder="false" applyFill="true" applyFont="true" applyNumberFormat="false" applyProtection="false" borderId="294" fillId="117" fontId="36" numFmtId="0" xfId="0">
      <alignment horizontal="left" vertical="center"/>
    </xf>
    <xf applyAlignment="true" applyBorder="false" applyFill="false" applyFont="true" applyNumberFormat="false" applyProtection="false" borderId="295" fillId="0" fontId="38" numFmtId="0" xfId="0">
      <alignment vertical="bottom"/>
    </xf>
    <xf applyAlignment="true" applyBorder="false" applyFill="true" applyFont="true" applyNumberFormat="false" applyProtection="false" borderId="296" fillId="118" fontId="38" numFmtId="0" xfId="0">
      <alignment vertical="bottom"/>
    </xf>
    <xf applyAlignment="true" applyBorder="false" applyFill="false" applyFont="true" applyNumberFormat="true" applyProtection="false" borderId="297" fillId="0" fontId="22" numFmtId="262" xfId="0">
      <alignment horizontal="right" vertical="center"/>
    </xf>
    <xf applyAlignment="true" applyBorder="false" applyFill="true" applyFont="true" applyNumberFormat="false" applyProtection="false" borderId="298" fillId="119" fontId="22" numFmtId="0" xfId="0">
      <alignment horizontal="left" vertical="center"/>
    </xf>
    <xf applyAlignment="true" applyBorder="false" applyFill="true" applyFont="true" applyNumberFormat="true" applyProtection="false" borderId="299" fillId="120" fontId="22" numFmtId="263" xfId="0">
      <alignment horizontal="left" vertical="center"/>
    </xf>
    <xf applyAlignment="true" applyBorder="false" applyFill="false" applyFont="true" applyNumberFormat="true" applyProtection="false" borderId="300" fillId="0" fontId="22" numFmtId="264" xfId="0">
      <alignment horizontal="left" vertical="center"/>
    </xf>
    <xf applyAlignment="true" applyBorder="false" applyFill="true" applyFont="true" applyNumberFormat="false" applyProtection="false" borderId="301" fillId="121" fontId="39" numFmtId="0" xfId="0">
      <alignment horizontal="left" vertical="center"/>
    </xf>
    <xf applyAlignment="true" applyBorder="false" applyFill="false" applyFont="true" applyNumberFormat="false" applyProtection="false" borderId="302" fillId="0" fontId="38" numFmtId="0" xfId="0">
      <alignment horizontal="center" vertical="center" wrapText="true"/>
    </xf>
    <xf applyAlignment="true" applyBorder="false" applyFill="false" applyFont="true" applyNumberFormat="false" applyProtection="false" borderId="303" fillId="0" fontId="40" numFmtId="0" xfId="0">
      <alignment horizontal="left" vertical="center"/>
    </xf>
    <xf applyAlignment="true" applyBorder="false" applyFill="false" applyFont="true" applyNumberFormat="false" applyProtection="false" borderId="304" fillId="0" fontId="40" numFmtId="0" xfId="0">
      <alignment horizontal="right" vertical="center"/>
    </xf>
    <xf applyAlignment="true" applyBorder="false" applyFill="false" applyFont="true" applyNumberFormat="false" applyProtection="false" borderId="305" fillId="0" fontId="40" numFmtId="0" xfId="0">
      <alignment horizontal="left" vertical="center"/>
    </xf>
    <xf applyAlignment="true" applyBorder="false" applyFill="false" applyFont="true" applyNumberFormat="false" applyProtection="false" borderId="306" fillId="0" fontId="40" numFmtId="0" xfId="0">
      <alignment horizontal="left" vertical="center"/>
    </xf>
    <xf applyAlignment="true" applyBorder="false" applyFill="false" applyFont="true" applyNumberFormat="false" applyProtection="false" borderId="307" fillId="0" fontId="40" numFmtId="0" xfId="0">
      <alignment horizontal="left" vertical="center" wrapText="true"/>
    </xf>
    <xf applyAlignment="true" applyBorder="false" applyFill="false" applyFont="true" applyNumberFormat="false" applyProtection="false" borderId="308" fillId="0" fontId="40" numFmtId="0" xfId="0">
      <alignment horizontal="center" vertical="center" wrapText="true"/>
    </xf>
    <xf applyAlignment="true" applyBorder="false" applyFill="false" applyFont="true" applyNumberFormat="false" applyProtection="false" borderId="309" fillId="0" fontId="40" numFmtId="0" xfId="0">
      <alignment horizontal="center" vertical="center"/>
    </xf>
    <xf applyAlignment="true" applyBorder="false" applyFill="false" applyFont="true" applyNumberFormat="false" applyProtection="false" borderId="310" fillId="0" fontId="22" numFmtId="0" xfId="0">
      <alignment horizontal="left" vertical="center" wrapText="true"/>
    </xf>
    <xf applyAlignment="true" applyBorder="false" applyFill="false" applyFont="true" applyNumberFormat="false" applyProtection="false" borderId="311" fillId="0" fontId="22" numFmtId="0" xfId="0">
      <alignment horizontal="left" vertical="center"/>
    </xf>
    <xf applyAlignment="true" applyBorder="false" applyFill="true" applyFont="true" applyNumberFormat="false" applyProtection="false" borderId="312" fillId="122" fontId="41" numFmtId="0" xfId="0">
      <alignment horizontal="left" vertical="center"/>
    </xf>
    <xf applyAlignment="true" applyBorder="false" applyFill="false" applyFont="true" applyNumberFormat="false" applyProtection="false" borderId="313" fillId="0" fontId="22" numFmtId="0" xfId="0">
      <alignment vertical="center"/>
    </xf>
    <xf applyAlignment="true" applyBorder="false" applyFill="false" applyFont="true" applyNumberFormat="false" applyProtection="false" borderId="314" fillId="0" fontId="42" numFmtId="0" xfId="0">
      <alignment horizontal="left" vertical="center"/>
    </xf>
    <xf applyAlignment="true" applyBorder="false" applyFill="false" applyFont="true" applyNumberFormat="false" applyProtection="false" borderId="315" fillId="0" fontId="42" numFmtId="0" xfId="0">
      <alignment horizontal="right" vertical="center"/>
    </xf>
    <xf applyAlignment="true" applyBorder="false" applyFill="false" applyFont="true" applyNumberFormat="false" applyProtection="false" borderId="316" fillId="0" fontId="38" numFmtId="0" xfId="0">
      <alignment vertical="bottom"/>
    </xf>
    <xf applyAlignment="true" applyBorder="false" applyFill="true" applyFont="true" applyNumberFormat="false" applyProtection="false" borderId="317" fillId="123" fontId="22" numFmtId="0" xfId="0">
      <alignment horizontal="center" vertical="center"/>
    </xf>
    <xf applyAlignment="true" applyBorder="false" applyFill="false" applyFont="true" applyNumberFormat="false" applyProtection="false" borderId="318" fillId="0" fontId="38" numFmtId="0" xfId="0">
      <alignment vertical="bottom" wrapText="true"/>
    </xf>
    <xf applyAlignment="true" applyBorder="false" applyFill="false" applyFont="true" applyNumberFormat="false" applyProtection="false" borderId="319" fillId="0" fontId="43" numFmtId="0" xfId="0">
      <alignment vertical="bottom"/>
    </xf>
    <xf applyAlignment="true" applyBorder="false" applyFill="false" applyFont="true" applyNumberFormat="false" applyProtection="false" borderId="320" fillId="0" fontId="44" numFmtId="0" xfId="0">
      <alignment vertical="bottom"/>
    </xf>
    <xf applyAlignment="true" applyBorder="false" applyFill="false" applyFont="true" applyNumberFormat="false" applyProtection="false" borderId="321" fillId="0" fontId="15" numFmtId="0" xfId="0">
      <alignment vertical="center" wrapText="true"/>
    </xf>
    <xf applyAlignment="true" applyBorder="false" applyFill="true" applyFont="true" applyNumberFormat="false" applyProtection="false" borderId="322" fillId="124" fontId="45" numFmtId="0" xfId="0">
      <alignment horizontal="center" vertical="center" wrapText="true"/>
    </xf>
    <xf applyAlignment="true" applyBorder="false" applyFill="true" applyFont="true" applyNumberFormat="false" applyProtection="false" borderId="323" fillId="125" fontId="22" numFmtId="0" xfId="0">
      <alignment vertical="bottom" wrapText="true"/>
    </xf>
    <xf applyAlignment="true" applyBorder="false" applyFill="false" applyFont="true" applyNumberFormat="false" applyProtection="false" borderId="324" fillId="0" fontId="40" numFmtId="0" xfId="0">
      <alignment horizontal="left" vertical="center" wrapText="true"/>
    </xf>
    <xf applyAlignment="true" applyBorder="false" applyFill="false" applyFont="true" applyNumberFormat="false" applyProtection="false" borderId="325" fillId="0" fontId="22" numFmtId="0" xfId="0">
      <alignment vertical="bottom" wrapText="true"/>
    </xf>
    <xf applyAlignment="true" applyBorder="false" applyFill="true" applyFont="true" applyNumberFormat="false" applyProtection="false" borderId="326" fillId="126" fontId="46" numFmtId="0" xfId="0">
      <alignment horizontal="center" vertical="center"/>
    </xf>
    <xf applyAlignment="true" applyBorder="false" applyFill="true" applyFont="true" applyNumberFormat="true" applyProtection="false" borderId="327" fillId="127" fontId="40" numFmtId="265" xfId="0">
      <alignment horizontal="right" vertical="center"/>
    </xf>
    <xf applyAlignment="true" applyBorder="false" applyFill="true" applyFont="true" applyNumberFormat="false" applyProtection="false" borderId="328" fillId="128" fontId="46" numFmtId="0" xfId="0">
      <alignment horizontal="center" vertical="center"/>
    </xf>
    <xf applyAlignment="true" applyBorder="false" applyFill="true" applyFont="true" applyNumberFormat="false" applyProtection="false" borderId="329" fillId="129" fontId="29" numFmtId="0" xfId="0">
      <alignment horizontal="left" vertical="center"/>
    </xf>
    <xf applyAlignment="true" applyBorder="false" applyFill="true" applyFont="true" applyNumberFormat="false" applyProtection="false" borderId="330" fillId="130" fontId="40" numFmtId="0" xfId="0">
      <alignment horizontal="left" vertical="center"/>
    </xf>
    <xf applyAlignment="true" applyBorder="false" applyFill="true" applyFont="true" applyNumberFormat="false" applyProtection="false" borderId="331" fillId="131" fontId="46" numFmtId="0" xfId="0">
      <alignment horizontal="center" vertical="center"/>
    </xf>
    <xf applyAlignment="true" applyBorder="false" applyFill="true" applyFont="true" applyNumberFormat="false" applyProtection="false" borderId="332" fillId="132" fontId="40" numFmtId="0" xfId="0">
      <alignment horizontal="center" vertical="center"/>
    </xf>
    <xf applyAlignment="true" applyBorder="false" applyFill="true" applyFont="true" applyNumberFormat="false" applyProtection="false" borderId="333" fillId="133" fontId="46" numFmtId="0" xfId="0">
      <alignment horizontal="center" vertical="center" wrapText="true"/>
    </xf>
    <xf applyAlignment="true" applyBorder="false" applyFill="false" applyFont="true" applyNumberFormat="false" applyProtection="false" borderId="334" fillId="0" fontId="22" numFmtId="0" xfId="0">
      <alignment vertical="center" wrapText="true"/>
    </xf>
    <xf applyAlignment="true" applyBorder="false" applyFill="false" applyFont="true" applyNumberFormat="false" applyProtection="false" borderId="335" fillId="0" fontId="22" numFmtId="0" xfId="0">
      <alignment vertical="bottom" wrapText="true"/>
    </xf>
  </cellXfs>
  <cellStyles count="1">
    <cellStyle builtinId="0" name="Normal" xfId="0"/>
  </cellStyles>
  <dxfs count="10">
    <dxf>
      <fill>
        <patternFill patternType="solid">
          <fgColor/>
          <bgColor rgb="FFD9F5D6"/>
        </patternFill>
      </fill>
    </dxf>
    <dxf>
      <fill>
        <patternFill patternType="solid">
          <fgColor/>
          <bgColor rgb="FFF54A45"/>
        </patternFill>
      </fill>
    </dxf>
    <dxf>
      <fill>
        <patternFill patternType="solid">
          <fgColor/>
          <bgColor rgb="FFD9F5D6"/>
        </patternFill>
      </fill>
    </dxf>
    <dxf>
      <fill>
        <patternFill patternType="solid">
          <fgColor/>
          <bgColor rgb="FFD9F5D6"/>
        </patternFill>
      </fill>
    </dxf>
    <dxf>
      <fill>
        <patternFill patternType="solid">
          <fgColor/>
          <bgColor rgb="FFF54A45"/>
        </patternFill>
      </fill>
    </dxf>
    <dxf>
      <fill>
        <patternFill patternType="solid">
          <fgColor/>
          <bgColor rgb="FFD9F5D6"/>
        </patternFill>
      </fill>
    </dxf>
    <dxf>
      <fill>
        <patternFill patternType="solid">
          <fgColor/>
          <bgColor rgb="FFD9F5D6"/>
        </patternFill>
      </fill>
    </dxf>
    <dxf>
      <fill>
        <patternFill patternType="solid">
          <fgColor/>
          <bgColor rgb="FFD9F5D6"/>
        </patternFill>
      </fill>
    </dxf>
    <dxf>
      <fill>
        <patternFill patternType="solid">
          <fgColor/>
          <bgColor rgb="FFD9F5D6"/>
        </patternFill>
      </fill>
    </dxf>
    <dxf>
      <fill>
        <patternFill patternType="solid">
          <fgColor/>
          <bgColor rgb="FFD9F5D6"/>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persons/person.xml" Type="http://schemas.microsoft.com/office/2017/10/relationships/person"></Relationship><Relationship Id="rId6" Target="worksheets/sheet2.xml" Type="http://schemas.openxmlformats.org/officeDocument/2006/relationships/worksheet"></Relationship><Relationship Id="rId7" Target="worksheets/sheet3.xml" Type="http://schemas.openxmlformats.org/officeDocument/2006/relationships/worksheet"></Relationship><Relationship Id="rId8" Target="worksheets/sheet4.xml" Type="http://schemas.openxmlformats.org/officeDocument/2006/relationships/worksheet"></Relationship><Relationship Id="rId9" Target="worksheets/sheet5.xml" Type="http://schemas.openxmlformats.org/officeDocument/2006/relationships/worksheet"></Relationship><Relationship Id="rId10" Target="worksheets/sheet6.xml" Type="http://schemas.openxmlformats.org/officeDocument/2006/relationships/worksheet"></Relationship><Relationship Id="rId11" Target="worksheets/sheet7.xml" Type="http://schemas.openxmlformats.org/officeDocument/2006/relationships/worksheet"></Relationship><Relationship Id="rId12" Target="worksheets/sheet8.xml" Type="http://schemas.openxmlformats.org/officeDocument/2006/relationships/worksheet"></Relationship><Relationship Id="rId13" Target="worksheets/sheet9.xml" Type="http://schemas.openxmlformats.org/officeDocument/2006/relationships/worksheet"></Relationship><Relationship Id="rId14" Target="worksheets/sheet10.xml" Type="http://schemas.openxmlformats.org/officeDocument/2006/relationships/worksheet"></Relationship><Relationship Id="rId15" Target="worksheets/sheet11.xml" Type="http://schemas.openxmlformats.org/officeDocument/2006/relationships/worksheet"></Relationship><Relationship Id="rId16" Target="worksheets/sheet12.xml" Type="http://schemas.openxmlformats.org/officeDocument/2006/relationships/worksheet"></Relationship><Relationship Id="rId17" Target="worksheets/sheet13.xml" Type="http://schemas.openxmlformats.org/officeDocument/2006/relationships/worksheet"></Relationship><Relationship Id="rId18" Target="worksheets/sheet14.xml" Type="http://schemas.openxmlformats.org/officeDocument/2006/relationships/worksheet"></Relationship><Relationship Id="rId19" Target="worksheets/sheet15.xml" Type="http://schemas.openxmlformats.org/officeDocument/2006/relationships/worksheet"></Relationship><Relationship Id="rId20" Target="worksheets/sheet16.xml" Type="http://schemas.openxmlformats.org/officeDocument/2006/relationships/worksheet"></Relationship><Relationship Id="rId21" Target="worksheets/sheet17.xml" Type="http://schemas.openxmlformats.org/officeDocument/2006/relationships/worksheet"></Relationship><Relationship Id="rId22" Target="calcChain.xml" Type="http://schemas.openxmlformats.org/officeDocument/2006/relationships/calcChain"></Relationship><Relationship Id="rId23" Target="metadata.xml" Type="http://schemas.openxmlformats.org/officeDocument/2006/relationships/sheetMetadata"></Relationship></Relationships>
</file>

<file path=xl/charts/chart1.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plotArea>
      <pieChart>
        <varyColors val="true"/>
        <firstSliceAng val="0"/>
      </pieChart>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2.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plotArea>
      <pieChart>
        <varyColors val="true"/>
        <firstSliceAng val="0"/>
      </pieChart>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charts/chart3.xml><?xml version="1.0" encoding="utf-8"?>
<chartSpace xmlns="http://schemas.openxmlformats.org/drawingml/2006/chart" xmlns:c="http://schemas.openxmlformats.org/drawingml/2006/chart" xmlns:a="http://schemas.openxmlformats.org/drawingml/2006/main" xmlns:r="http://schemas.openxmlformats.org/officeDocument/2006/relationships" xmlns:c16r2="http://schemas.microsoft.com/office/drawing/2015/06/chart">
  <date1904 val="false"/>
  <lang val="en-US"/>
  <roundedCorners val="true"/>
  <chart>
    <title>
      <tx>
        <rich>
          <a:bodyPr anchorCtr="false" rot="0" spcFirstLastPara="false"/>
          <a:p>
            <a:pPr>
              <a:defRPr b="true" baseline="0" i="false" kern="1200" spc="0" strike="noStrike" sz="1400" u="none">
                <a:solidFill>
                  <a:schemeClr val="tx1">
                    <a:lumMod val="65000"/>
                    <a:lumOff val="35000"/>
                  </a:schemeClr>
                </a:solidFill>
                <a:latin typeface="+mn-lt"/>
                <a:ea typeface="+mn-ea"/>
                <a:cs typeface="+mn-cs"/>
              </a:defRPr>
            </a:pPr>
            <a:r>
              <a:rPr altLang="en-US" b="true" baseline="0" i="false" kern="0" lang="en-US" spc="0"/>
              <a:t>Untitled chart</a:t>
            </a:r>
          </a:p>
        </rich>
      </tx>
      <layout>
        <manualLayout>
          <xMode val="edge"/>
          <yMode val="edge"/>
          <x val="0"/>
          <y val="0"/>
        </manualLayout>
      </layout>
      <overlay val="false"/>
      <spPr/>
      <txPr>
        <a:bodyPr anchorCtr="false" rot="0" spcFirstLastPara="false"/>
        <a:p>
          <a:pPr>
            <a:defRPr b="true" baseline="0" i="false" kern="1200" spc="0" strike="noStrike" sz="14000" u="none"/>
          </a:pPr>
          <a:endParaRPr lang="en-US"/>
        </a:p>
      </txPr>
    </title>
    <plotArea>
      <pieChart>
        <varyColors val="true"/>
        <firstSliceAng val="0"/>
      </pieChart>
      <spPr>
        <a:noFill> </a:noFill>
        <a:ln>
          <a:noFill> </a:noFill>
        </a:ln>
      </spPr>
    </plotArea>
    <legend>
      <legendPos val="b"/>
      <overlay val="false"/>
    </legend>
    <plotVisOnly val="true"/>
    <dispBlanksAs val="gap"/>
    <showDLblsOverMax val="false"/>
  </chart>
  <spPr>
    <a:solidFill>
      <a:schemeClr val="bg1"/>
    </a:solidFill>
    <a:ln algn="ctr" cap="flat" cmpd="sng" w="9525">
      <a:solidFill>
        <a:schemeClr val="tx1">
          <a:lumMod val="15000"/>
          <a:lumOff val="85000"/>
        </a:schemeClr>
      </a:solidFill>
    </a:ln>
  </spPr>
  <printSettings>
    <pageMargins b="0.75" footer="0.3" header="0.3" l="0.7" r="0.7" t="0.7"/>
  </printSettings>
</chartSpace>
</file>

<file path=xl/drawings/_rels/drawing1.xml.rels><?xml version="1.0" encoding="UTF-8" standalone="yes"?>
<Relationships xmlns="http://schemas.openxmlformats.org/package/2006/relationships"><Relationship Id="rId1" Target="../charts/chart1.xml" Type="http://schemas.openxmlformats.org/officeDocument/2006/relationships/chart"></Relationship><Relationship Id="rId2" Target="../charts/chart2.xml" Type="http://schemas.openxmlformats.org/officeDocument/2006/relationships/chart"></Relationship></Relationships>
</file>

<file path=xl/drawings/_rels/drawing2.xml.rels><?xml version="1.0" encoding="UTF-8" standalone="yes"?>
<Relationships xmlns="http://schemas.openxmlformats.org/package/2006/relationships"><Relationship Id="rId1" Target="../charts/chart3.xml" Type="http://schemas.openxmlformats.org/officeDocument/2006/relationships/chart"></Relationship></Relationships>
</file>

<file path=xl/drawings/drawing1.xml><?xml version="1.0" encoding="utf-8"?>
<xdr:wsDr xmlns:a="http://schemas.openxmlformats.org/drawingml/2006/main" xmlns:xdr="http://schemas.openxmlformats.org/drawingml/2006/spreadsheetDrawing">
  <xdr:twoCellAnchor>
    <xdr:from>
      <xdr:col>6</xdr:col>
      <xdr:colOff>285750</xdr:colOff>
      <xdr:row>2</xdr:row>
      <xdr:rowOff>142875</xdr:rowOff>
    </xdr:from>
    <xdr:to>
      <xdr:col>10</xdr:col>
      <xdr:colOff>161925</xdr:colOff>
      <xdr:row>8</xdr:row>
      <xdr:rowOff>142875</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twoCellAnchor>
    <xdr:from>
      <xdr:col>0</xdr:col>
      <xdr:colOff>171450</xdr:colOff>
      <xdr:row>2</xdr:row>
      <xdr:rowOff>95250</xdr:rowOff>
    </xdr:from>
    <xdr:to>
      <xdr:col>4</xdr:col>
      <xdr:colOff>95250</xdr:colOff>
      <xdr:row>8</xdr:row>
      <xdr:rowOff>180975</xdr:rowOff>
    </xdr:to>
    <xdr:graphicFrame macro="">
      <xdr:nvGraphicFramePr>
        <xdr:cNvPr id="3" name="Chart 3"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19</xdr:col>
      <xdr:colOff>19050</xdr:colOff>
      <xdr:row>9</xdr:row>
      <xdr:rowOff>190500</xdr:rowOff>
    </xdr:from>
    <xdr:to>
      <xdr:col>24</xdr:col>
      <xdr:colOff>733425</xdr:colOff>
      <xdr:row>27</xdr:row>
      <xdr:rowOff>19050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false" fPrintsWithSheet="true"/>
  </xdr:twoCellAnchor>
</xdr:wsDr>
</file>

<file path=xl/persons/person.xml><?xml version="1.0" encoding="utf-8"?>
<personList xmlns="http://schemas.microsoft.com/office/spreadsheetml/2018/threadedcomments" xmlns:x="http://schemas.openxmlformats.org/spreadsheetml/2006/main">
  <person displayName="Hadi" id="{3F515609-4814-4E8E-92A6-C339EEA3A5F1}" userId="S::muhammadalhadiansyahsantoso@gmail.com::a6d0c511-a089-4b56-9e13-ed29ae352e16" providerId="AD"/>
  <person displayName="Dwi" id="{6CE68095-4964-418C-9CF8-63B6D1C826A9}" userId="S::dwi.mapid@gmail.com::edd04cd9-36be-419a-8e75-f973914bbdfc" providerId="AD"/>
  <person displayName="Muhammad Zhafran" id="{C64D504E-5533-4F9D-B69A-C46C1F737AF3}" userId="S::muhammad.zhafran@mapid.co.id::a85e446a-3322-4274-8d03-67f83191953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2.xml><?xml version="1.0" encoding="utf-8"?>
<ThreadedComments xmlns="http://schemas.microsoft.com/office/spreadsheetml/2018/threadedcomments" xmlns:x="http://schemas.openxmlformats.org/spreadsheetml/2006/main">
  <threadedComment id="{F507F972-3CA6-4DD4-9C63-755A3DDA7A57}" ref="B560" dT="2026-01-27T02:10:48" personId="{3F515609-4814-4E8E-92A6-C339EEA3A5F1}" parentId="{}">
    <text>@Muhammad Zhafran ini untuk monitoring tasknya ya fran, boleh diisi kira2 apa yang mau dilakukan di hari ini</text>
  </threadedComment>
  <threadedComment id="{dc3223fb-a682-40fd-8c84-62e5da1a8ccb}" ref="B560" dT="2026-01-27T02:12:10" personId="{C64D504E-5533-4F9D-B69A-C46C1F737AF3}" parentId="{F507F972-3CA6-4DD4-9C63-755A3DDA7A57}">
    <text>Copy Kak</text>
  </threadedComment>
</ThreadedComments>
</file>

<file path=xl/threadedComments/threadedComment3.xml><?xml version="1.0" encoding="utf-8"?>
<ThreadedComments xmlns="http://schemas.microsoft.com/office/spreadsheetml/2018/threadedcomments" xmlns:x="http://schemas.openxmlformats.org/spreadsheetml/2006/main">
  <threadedComment id="{8042A443-A0B4-42D4-BDB6-BF24CA70E995}" ref="A13" dT="2026-03-13T09:10:58" personId="{3F515609-4814-4E8E-92A6-C339EEA3A5F1}" parentId="{}">
    <text>Klien2 makanan yg udah subs</text>
  </threadedComment>
  <threadedComment id="{0f6d9f35-c99a-4e10-9f33-c03697e7beca}" ref="A13" dT="2026-03-13T09:11:53" personId="{3F515609-4814-4E8E-92A6-C339EEA3A5F1}" parentId="{8042A443-A0B4-42D4-BDB6-BF24CA70E995}">
    <text>Di block 71 bandung atau yg lainnya</text>
  </threadedComment>
  <threadedComment id="{b3dc7b79-f5d5-4f9f-bc13-90de34b90f7e}" ref="A13" dT="2026-03-13T09:13:11" personId="{3F515609-4814-4E8E-92A6-C339EEA3A5F1}" parentId="{8042A443-A0B4-42D4-BDB6-BF24CA70E995}">
    <text>Food bazaar + umkm + talkshow</text>
  </threadedComment>
</ThreadedComments>
</file>

<file path=xl/threadedComments/threadedComment4.xml><?xml version="1.0" encoding="utf-8"?>
<ThreadedComments xmlns="http://schemas.microsoft.com/office/spreadsheetml/2018/threadedcomments" xmlns:x="http://schemas.openxmlformats.org/spreadsheetml/2006/main">
  <threadedComment id="{FF4B5336-26C3-4F7B-AC50-307CB6E40A6D}" ref="A1" dT="2026-02-16T03:49:27" personId="{3F515609-4814-4E8E-92A6-C339EEA3A5F1}" parentId="{}">
    <text>@Dwi ini data dari admin yg wait purchase dan yg user baru ya</text>
  </threadedComment>
  <threadedComment id="{0bc09394-e536-43fc-9bb1-0af92e71c960}" ref="A1" dT="2026-02-16T03:49:35" personId="{3F515609-4814-4E8E-92A6-C339EEA3A5F1}" parentId="{FF4B5336-26C3-4F7B-AC50-307CB6E40A6D}">
    <text>Periode januari - februari</text>
  </threadedComment>
  <threadedComment id="{538a89ad-b187-47e3-a2b1-cade253e78c6}" ref="A1" dT="2026-02-16T03:58:18" personId="{6CE68095-4964-418C-9CF8-63B6D1C826A9}" parentId="{FF4B5336-26C3-4F7B-AC50-307CB6E40A6D}">
    <text>Okee thankyou</text>
  </threadedComment>
  <threadedComment id="{E208AD80-7AB9-4BBF-BD50-53F7DB865AD7}" ref="A2" dT="2026-03-09T03:04:30" personId="{3F515609-4814-4E8E-92A6-C339EEA3A5F1}" parentId="{}">
    <text>@Dwi ini update terbaru user yg register di geo tapi belum beli ya</text>
  </threadedComment>
  <threadedComment id="{04377e50-5359-4152-b97b-db74c480340d}" ref="A2" dT="2026-03-09T03:05:09" personId="{6CE68095-4964-418C-9CF8-63B6D1C826A9}" parentId="{E208AD80-7AB9-4BBF-BD50-53F7DB865AD7}">
    <text>Okee pak</text>
  </threadedComment>
</ThreadedComments>
</file>

<file path=xl/worksheets/_rels/sheet2.xml.rels><?xml version="1.0" encoding="UTF-8" standalone="yes"?>
<Relationships xmlns="http://schemas.openxmlformats.org/package/2006/relationships"><Relationship Id="rId1" Target="mailto:contact@mapid.co.id" Type="http://schemas.openxmlformats.org/officeDocument/2006/relationships/hyperlink" TargetMode="External"></Relationship><Relationship Id="rId2" Target="mailto:contact@mapid.co.id" Type="http://schemas.openxmlformats.org/officeDocument/2006/relationships/hyperlink" TargetMode="External"></Relationship><Relationship Id="rId3" Target="mailto:contact@mapid.co.id" Type="http://schemas.openxmlformats.org/officeDocument/2006/relationships/hyperlink" TargetMode="External"></Relationship><Relationship Id="rId4" Target="mailto:contact@mapid.co.id" Type="http://schemas.openxmlformats.org/officeDocument/2006/relationships/hyperlink" TargetMode="External"></Relationship><Relationship Id="rId5" Target="mailto:contact@mapid.co.id" Type="http://schemas.openxmlformats.org/officeDocument/2006/relationships/hyperlink" TargetMode="External"></Relationship><Relationship Id="rId6" Target="mailto:fhiqhia@gmail.com" Type="http://schemas.openxmlformats.org/officeDocument/2006/relationships/hyperlink" TargetMode="External"></Relationship><Relationship Id="rId7" Target="mailto:contact@mapid.co.id" Type="http://schemas.openxmlformats.org/officeDocument/2006/relationships/hyperlink" TargetMode="External"></Relationship><Relationship Id="rId8" Target="mailto:nikmasupermap@gmail.com" Type="http://schemas.openxmlformats.org/officeDocument/2006/relationships/hyperlink" TargetMode="External"></Relationship><Relationship Id="rId9" Target="mailto:contact@mapid.co.id" Type="http://schemas.openxmlformats.org/officeDocument/2006/relationships/hyperlink" TargetMode="External"></Relationship><Relationship Id="rId10" Target="mailto:contact@mapid.co.id" Type="http://schemas.openxmlformats.org/officeDocument/2006/relationships/hyperlink" TargetMode="External"></Relationship><Relationship Id="rId11" Target="mailto:contact@mapid.co.id" Type="http://schemas.openxmlformats.org/officeDocument/2006/relationships/hyperlink" TargetMode="External"></Relationship><Relationship Id="rId12" Target="mailto:contact@mapid.co.id" Type="http://schemas.openxmlformats.org/officeDocument/2006/relationships/hyperlink" TargetMode="External"></Relationship><Relationship Id="rId13" Target="mailto:contact@mapid.co.id" Type="http://schemas.openxmlformats.org/officeDocument/2006/relationships/hyperlink" TargetMode="External"></Relationship><Relationship Id="rId14" Target="mailto:contact@mapid.co.id" Type="http://schemas.openxmlformats.org/officeDocument/2006/relationships/hyperlink" TargetMode="External"></Relationship><Relationship Id="rId15" Target="mailto:contact@mapid.co.id" Type="http://schemas.openxmlformats.org/officeDocument/2006/relationships/hyperlink" TargetMode="External"></Relationship><Relationship Id="rId16" Target="mailto:contact@mapid.co.id" Type="http://schemas.openxmlformats.org/officeDocument/2006/relationships/hyperlink" TargetMode="External"></Relationship><Relationship Id="rId17" Target="mailto:contact@mapid.co.id" Type="http://schemas.openxmlformats.org/officeDocument/2006/relationships/hyperlink" TargetMode="External"></Relationship><Relationship Id="rId18" Target="mailto:contact@mapid.co.id" Type="http://schemas.openxmlformats.org/officeDocument/2006/relationships/hyperlink" TargetMode="External"></Relationship><Relationship Id="rId19" Target="mailto:contact@mapid.co.id" Type="http://schemas.openxmlformats.org/officeDocument/2006/relationships/hyperlink" TargetMode="External"></Relationship><Relationship Id="rId20" Target="mailto:contact@mapid.co.id" Type="http://schemas.openxmlformats.org/officeDocument/2006/relationships/hyperlink" TargetMode="External"></Relationship><Relationship Id="rId21" Target="mailto:fhiqhia@gmail.com" Type="http://schemas.openxmlformats.org/officeDocument/2006/relationships/hyperlink" TargetMode="External"></Relationship><Relationship Id="rId22" Target="mailto:contact@mapid.co.id" Type="http://schemas.openxmlformats.org/officeDocument/2006/relationships/hyperlink" TargetMode="External"></Relationship><Relationship Id="rId23" Target="mailto:contact@mapid.co.id" Type="http://schemas.openxmlformats.org/officeDocument/2006/relationships/hyperlink" TargetMode="External"></Relationship><Relationship Id="rId24" Target="mailto:contact@mapid.co.id" Type="http://schemas.openxmlformats.org/officeDocument/2006/relationships/hyperlink" TargetMode="External"></Relationship><Relationship Id="rId25" Target="mailto:contact@mapid.co.id" Type="http://schemas.openxmlformats.org/officeDocument/2006/relationships/hyperlink" TargetMode="External"></Relationship><Relationship Id="rId26" Target="mailto:contact@mapid.co.id" Type="http://schemas.openxmlformats.org/officeDocument/2006/relationships/hyperlink" TargetMode="External"></Relationship><Relationship Id="rId27" Target="mailto:contact@mapid.co.id" Type="http://schemas.openxmlformats.org/officeDocument/2006/relationships/hyperlink" TargetMode="External"></Relationship><Relationship Id="rId28" Target="mailto:contact@mapid.co.id" Type="http://schemas.openxmlformats.org/officeDocument/2006/relationships/hyperlink" TargetMode="External"></Relationship><Relationship Id="rId29" Target="mailto:contact@mapid.co.id" Type="http://schemas.openxmlformats.org/officeDocument/2006/relationships/hyperlink" TargetMode="External"></Relationship><Relationship Id="rId30" Target="mailto:gptinaja@gmail.com" Type="http://schemas.openxmlformats.org/officeDocument/2006/relationships/hyperlink" TargetMode="External"></Relationship><Relationship Id="rId31" Target="mailto:contact@mapid.co.id" Type="http://schemas.openxmlformats.org/officeDocument/2006/relationships/hyperlink" TargetMode="External"></Relationship><Relationship Id="rId32" Target="mailto:contact@mapid.co.id" Type="http://schemas.openxmlformats.org/officeDocument/2006/relationships/hyperlink" TargetMode="External"></Relationship><Relationship Id="rId33" Target="mailto:contact@mapid.co.id" Type="http://schemas.openxmlformats.org/officeDocument/2006/relationships/hyperlink" TargetMode="External"></Relationship><Relationship Id="rId34" Target="mailto:contact@mapid.co.id" Type="http://schemas.openxmlformats.org/officeDocument/2006/relationships/hyperlink" TargetMode="External"></Relationship><Relationship Id="rId35" Target="mailto:contact@mapid.co.id" Type="http://schemas.openxmlformats.org/officeDocument/2006/relationships/hyperlink" TargetMode="External"></Relationship><Relationship Id="rId36" Target="mailto:contact@mapid.co.id" Type="http://schemas.openxmlformats.org/officeDocument/2006/relationships/hyperlink" TargetMode="External"></Relationship><Relationship Id="rId37" Target="mailto:rea.qinthara@stickearn.com" Type="http://schemas.openxmlformats.org/officeDocument/2006/relationships/hyperlink" TargetMode="External"></Relationship><Relationship Id="rId38" Target="mailto:contact@mapid.co.id" Type="http://schemas.openxmlformats.org/officeDocument/2006/relationships/hyperlink" TargetMode="External"></Relationship><Relationship Id="rId39" Target="mailto:contact@mapid.co.id" Type="http://schemas.openxmlformats.org/officeDocument/2006/relationships/hyperlink" TargetMode="External"></Relationship><Relationship Id="rId40" Target="mailto:contact@mapid.co.id" Type="http://schemas.openxmlformats.org/officeDocument/2006/relationships/hyperlink" TargetMode="External"></Relationship><Relationship Id="rId41" Target="mailto:contact@mapid.co.id" Type="http://schemas.openxmlformats.org/officeDocument/2006/relationships/hyperlink" TargetMode="External"></Relationship><Relationship Id="rId42" Target="mailto:contact@mapid.co.id" Type="http://schemas.openxmlformats.org/officeDocument/2006/relationships/hyperlink" TargetMode="External"></Relationship><Relationship Id="rId43" Target="mailto:contact@mapid.co.id" Type="http://schemas.openxmlformats.org/officeDocument/2006/relationships/hyperlink" TargetMode="External"></Relationship><Relationship Id="rId44" Target="mailto:contact@mapid.co.id" Type="http://schemas.openxmlformats.org/officeDocument/2006/relationships/hyperlink" TargetMode="External"></Relationship><Relationship Id="rId45" Target="mailto:contact@mapid.co.id" Type="http://schemas.openxmlformats.org/officeDocument/2006/relationships/hyperlink" TargetMode="External"></Relationship><Relationship Id="rId46" Target="mailto:ghinaa24putri@gmail.com" Type="http://schemas.openxmlformats.org/officeDocument/2006/relationships/hyperlink" TargetMode="External"></Relationship><Relationship Id="rId47" Target="mailto:contact@mapid.co.id" Type="http://schemas.openxmlformats.org/officeDocument/2006/relationships/hyperlink" TargetMode="External"></Relationship><Relationship Id="rId48" Target="mailto:contact@mapid.co.id" Type="http://schemas.openxmlformats.org/officeDocument/2006/relationships/hyperlink" TargetMode="External"></Relationship><Relationship Id="rId49" Target="mailto:contact@mapid.co.id" Type="http://schemas.openxmlformats.org/officeDocument/2006/relationships/hyperlink" TargetMode="External"></Relationship></Relationships>
</file>

<file path=xl/worksheets/_rels/sheet3.xml.rels><?xml version="1.0" encoding="UTF-8" standalone="yes"?>
<Relationships xmlns="http://schemas.openxmlformats.org/package/2006/relationships"><Relationship Id="rId1" Target="mailto:mardjanomaika@gmail.com" Type="http://schemas.openxmlformats.org/officeDocument/2006/relationships/hyperlink" TargetMode="External"></Relationship><Relationship Id="rId2" Target="mailto:teguh.budmn@gmail.com" Type="http://schemas.openxmlformats.org/officeDocument/2006/relationships/hyperlink" TargetMode="External"></Relationship><Relationship Id="rId3" Target="mailto:semerualghazaliyusup@mail.ugm.ac.id" Type="http://schemas.openxmlformats.org/officeDocument/2006/relationships/hyperlink" TargetMode="External"></Relationship><Relationship Id="rId4" Target="mailto:hakiimalan@gmail.com" Type="http://schemas.openxmlformats.org/officeDocument/2006/relationships/hyperlink" TargetMode="External"></Relationship><Relationship Id="rId5" Target="mailto:annisaputris001@gmail.com" Type="http://schemas.openxmlformats.org/officeDocument/2006/relationships/hyperlink" TargetMode="External"></Relationship><Relationship Id="rId6" Target="mailto:rizalnazari11@gmail.com" Type="http://schemas.openxmlformats.org/officeDocument/2006/relationships/hyperlink" TargetMode="External"></Relationship><Relationship Id="rId7" Target="mailto:bimantarafaqih@gmail.com" Type="http://schemas.openxmlformats.org/officeDocument/2006/relationships/hyperlink" TargetMode="External"></Relationship><Relationship Id="rId8" Target="mailto:brandonlsantosa@gmail.com" Type="http://schemas.openxmlformats.org/officeDocument/2006/relationships/hyperlink" TargetMode="External"></Relationship><Relationship Id="rId9" Target="mailto:harnisyahaziz2301@gmail.com" Type="http://schemas.openxmlformats.org/officeDocument/2006/relationships/hyperlink" TargetMode="External"></Relationship><Relationship Id="rId10" Target="mailto:tiarma.pane@gmail.com" Type="http://schemas.openxmlformats.org/officeDocument/2006/relationships/hyperlink" TargetMode="External"></Relationship><Relationship Id="rId11" Target="mailto:aldamutiara1122@gmail.com" Type="http://schemas.openxmlformats.org/officeDocument/2006/relationships/hyperlink" TargetMode="External"></Relationship><Relationship Id="rId12" Target="mailto:sofyan.saugani@gmail.com" Type="http://schemas.openxmlformats.org/officeDocument/2006/relationships/hyperlink" TargetMode="External"></Relationship><Relationship Id="rId13" Target="mailto:fabyyudha21@gmail.com" Type="http://schemas.openxmlformats.org/officeDocument/2006/relationships/hyperlink" TargetMode="External"></Relationship><Relationship Id="rId14" Target="mailto:natankristian2005@gmail.com" Type="http://schemas.openxmlformats.org/officeDocument/2006/relationships/hyperlink" TargetMode="External"></Relationship><Relationship Id="rId15" Target="mailto:arsyadika25@gmail.com" Type="http://schemas.openxmlformats.org/officeDocument/2006/relationships/hyperlink" TargetMode="External"></Relationship><Relationship Id="rId16" Target="mailto:Selamathariyadi42@gmail.com" Type="http://schemas.openxmlformats.org/officeDocument/2006/relationships/hyperlink" TargetMode="External"></Relationship><Relationship Id="rId17" Target="mailto:salinadhiya@gmail.com" Type="http://schemas.openxmlformats.org/officeDocument/2006/relationships/hyperlink" TargetMode="External"></Relationship><Relationship Id="rId18" Target="mailto:akmalfauzan306@gmail.com" Type="http://schemas.openxmlformats.org/officeDocument/2006/relationships/hyperlink" TargetMode="External"></Relationship><Relationship Id="rId19" Target="mailto:rahmaliasafitri06@gmail.com" Type="http://schemas.openxmlformats.org/officeDocument/2006/relationships/hyperlink" TargetMode="External"></Relationship><Relationship Id="rId20" Target="mailto:syadzahusnun@gmail.com" Type="http://schemas.openxmlformats.org/officeDocument/2006/relationships/hyperlink" TargetMode="External"></Relationship><Relationship Id="rId21" Target="mailto:adnanasyam10@gmail.com" Type="http://schemas.openxmlformats.org/officeDocument/2006/relationships/hyperlink" TargetMode="External"></Relationship><Relationship Id="rId22" Target="mailto:ghinaa24putri@gmail.com" Type="http://schemas.openxmlformats.org/officeDocument/2006/relationships/hyperlink" TargetMode="External"></Relationship><Relationship Id="rId23" Target="mailto:Lutfifirdaus4@gmail.com" Type="http://schemas.openxmlformats.org/officeDocument/2006/relationships/hyperlink" TargetMode="External"></Relationship><Relationship Id="rId24" Target="mailto:nadhiaferra2405@gmail.com" Type="http://schemas.openxmlformats.org/officeDocument/2006/relationships/hyperlink" TargetMode="External"></Relationship><Relationship Id="rId25" Target="mailto:septianjackrianto@gmail.com" Type="http://schemas.openxmlformats.org/officeDocument/2006/relationships/hyperlink" TargetMode="External"></Relationship><Relationship Id="rId26" Target="mailto:anwardeedat17@gmail.com" Type="http://schemas.openxmlformats.org/officeDocument/2006/relationships/hyperlink" TargetMode="External"></Relationship><Relationship Id="rId27" Target="mailto:maritsakamilah@gmail.com" Type="http://schemas.openxmlformats.org/officeDocument/2006/relationships/hyperlink" TargetMode="External"></Relationship><Relationship Id="rId28" Target="mailto:angelinakirana10@gmail.com" Type="http://schemas.openxmlformats.org/officeDocument/2006/relationships/hyperlink" TargetMode="External"></Relationship><Relationship Id="rId29" Target="mailto:raytamboenan@gmail.com" Type="http://schemas.openxmlformats.org/officeDocument/2006/relationships/hyperlink" TargetMode="External"></Relationship><Relationship Id="rId30" Target="mailto:rizalardiaffandi@gmail.com" Type="http://schemas.openxmlformats.org/officeDocument/2006/relationships/hyperlink" TargetMode="External"></Relationship><Relationship Id="rId31" Target="mailto:cysitompul@gmail.com" Type="http://schemas.openxmlformats.org/officeDocument/2006/relationships/hyperlink" TargetMode="External"></Relationship><Relationship Id="rId32" Target="mailto:zahran.sofyanfalahudin95@gmail.com" Type="http://schemas.openxmlformats.org/officeDocument/2006/relationships/hyperlink" TargetMode="External"></Relationship><Relationship Id="rId33" Target="mailto:ziadbwdn@gmail.com" Type="http://schemas.openxmlformats.org/officeDocument/2006/relationships/hyperlink" TargetMode="External"></Relationship><Relationship Id="rId34" Target="mailto:upikmaulvi2002@gmail.com" Type="http://schemas.openxmlformats.org/officeDocument/2006/relationships/hyperlink" TargetMode="External"></Relationship><Relationship Id="rId35" Target="mailto:justinchristian352@gmail.com" Type="http://schemas.openxmlformats.org/officeDocument/2006/relationships/hyperlink" TargetMode="External"></Relationship><Relationship Id="rId36" Target="mailto:alifahhanif123@gmail.com" Type="http://schemas.openxmlformats.org/officeDocument/2006/relationships/hyperlink" TargetMode="External"></Relationship><Relationship Id="rId37" Target="mailto:mutiara.saragi2006@gmail.com" Type="http://schemas.openxmlformats.org/officeDocument/2006/relationships/hyperlink" TargetMode="External"></Relationship><Relationship Id="rId38" Target="mailto:fauziahshali01@gmail.com" Type="http://schemas.openxmlformats.org/officeDocument/2006/relationships/hyperlink" TargetMode="External"></Relationship><Relationship Id="rId39" Target="mailto:haurazkaa@gmail.com" Type="http://schemas.openxmlformats.org/officeDocument/2006/relationships/hyperlink" TargetMode="External"></Relationship><Relationship Id="rId40" Target="mailto:triyadijasmine3@gmail.com" Type="http://schemas.openxmlformats.org/officeDocument/2006/relationships/hyperlink" TargetMode="External"></Relationship><Relationship Id="rId41" Target="mailto:zahirahmad0905@gmail.com" Type="http://schemas.openxmlformats.org/officeDocument/2006/relationships/hyperlink" TargetMode="External"></Relationship><Relationship Id="rId42" Target="mailto:driveresy@gmail.com" Type="http://schemas.openxmlformats.org/officeDocument/2006/relationships/hyperlink" TargetMode="External"></Relationship><Relationship Id="rId43" Target="mailto:aliiyadanishh@gmail.com" Type="http://schemas.openxmlformats.org/officeDocument/2006/relationships/hyperlink" TargetMode="External"></Relationship><Relationship Id="rId44" Target="mailto:aryadipayana@gmail.com" Type="http://schemas.openxmlformats.org/officeDocument/2006/relationships/hyperlink" TargetMode="External"></Relationship><Relationship Id="rId45" Target="mailto:Alfin.dnash71@gmail.com" Type="http://schemas.openxmlformats.org/officeDocument/2006/relationships/hyperlink" TargetMode="External"></Relationship><Relationship Id="rId46" Target="mailto:tiaraalda14@gmail.com" Type="http://schemas.openxmlformats.org/officeDocument/2006/relationships/hyperlink" TargetMode="External"></Relationship><Relationship Id="rId47" Target="mailto:yohanesgerardushagazai@gmail.com" Type="http://schemas.openxmlformats.org/officeDocument/2006/relationships/hyperlink" TargetMode="External"></Relationship><Relationship Id="rId48" Target="mailto:hiqmalalkhadafi@apps.ipb.ac.id" Type="http://schemas.openxmlformats.org/officeDocument/2006/relationships/hyperlink" TargetMode="External"></Relationship><Relationship Id="rId49" Target="mailto:titoadityaurama@gmail.com" Type="http://schemas.openxmlformats.org/officeDocument/2006/relationships/hyperlink" TargetMode="External"></Relationship><Relationship Id="rId50" Target="mailto:abidin214n@gmail.com" Type="http://schemas.openxmlformats.org/officeDocument/2006/relationships/hyperlink" TargetMode="External"></Relationship><Relationship Id="rId51" Target="mailto:aryaaryaweda19@gmail.com" Type="http://schemas.openxmlformats.org/officeDocument/2006/relationships/hyperlink" TargetMode="External"></Relationship><Relationship Id="rId52" Target="mailto:andrianmaulanami@gmail.com" Type="http://schemas.openxmlformats.org/officeDocument/2006/relationships/hyperlink" TargetMode="External"></Relationship><Relationship Id="rId53" Target="mailto:agungadea@gmail.com" Type="http://schemas.openxmlformats.org/officeDocument/2006/relationships/hyperlink" TargetMode="External"></Relationship><Relationship Id="rId54" Target="mailto:aji.widyantoro.bimo@gmail.com" Type="http://schemas.openxmlformats.org/officeDocument/2006/relationships/hyperlink" TargetMode="External"></Relationship><Relationship Id="rId55" Target="mailto:yunitaenzelinasilaban@gmail.com" Type="http://schemas.openxmlformats.org/officeDocument/2006/relationships/hyperlink" TargetMode="External"></Relationship><Relationship Id="rId56" Target="mailto:fauzan1812@gmail.com" Type="http://schemas.openxmlformats.org/officeDocument/2006/relationships/hyperlink" TargetMode="External"></Relationship><Relationship Id="rId57" Target="mailto:amiliarizki101@gmail.com" Type="http://schemas.openxmlformats.org/officeDocument/2006/relationships/hyperlink" TargetMode="External"></Relationship><Relationship Id="rId58" Target="mailto:ciprianopereira36@gmail.com" Type="http://schemas.openxmlformats.org/officeDocument/2006/relationships/hyperlink" TargetMode="External"></Relationship><Relationship Id="rId59" Target="mailto:revalia142@gmail.com" Type="http://schemas.openxmlformats.org/officeDocument/2006/relationships/hyperlink" TargetMode="External"></Relationship><Relationship Id="rId60" Target="mailto:adindaadella1011@gmail.com" Type="http://schemas.openxmlformats.org/officeDocument/2006/relationships/hyperlink" TargetMode="External"></Relationship><Relationship Id="rId61" Target="mailto:zhillanqisa.zhln@gmail.com" Type="http://schemas.openxmlformats.org/officeDocument/2006/relationships/hyperlink" TargetMode="External"></Relationship><Relationship Id="rId62" Target="mailto:ahmadfauzi.habibi@gmail.com" Type="http://schemas.openxmlformats.org/officeDocument/2006/relationships/hyperlink" TargetMode="External"></Relationship><Relationship Id="rId63" Target="mailto:farouqmatondang@gmail.com" Type="http://schemas.openxmlformats.org/officeDocument/2006/relationships/hyperlink" TargetMode="External"></Relationship><Relationship Id="rId64" Target="mailto:shabrinadivania124@gmail.com" Type="http://schemas.openxmlformats.org/officeDocument/2006/relationships/hyperlink" TargetMode="External"></Relationship><Relationship Id="rId65" Target="mailto:shafamuthia.3019@gmail.com" Type="http://schemas.openxmlformats.org/officeDocument/2006/relationships/hyperlink" TargetMode="External"></Relationship><Relationship Id="rId66" Target="mailto:hanifibfaj94@gmail.com" Type="http://schemas.openxmlformats.org/officeDocument/2006/relationships/hyperlink" TargetMode="External"></Relationship><Relationship Id="rId67" Target="mailto:Mfahrimfs96@gmail.com" Type="http://schemas.openxmlformats.org/officeDocument/2006/relationships/hyperlink" TargetMode="External"></Relationship><Relationship Id="rId68" Target="mailto:danangajionoe@gmail.com" Type="http://schemas.openxmlformats.org/officeDocument/2006/relationships/hyperlink" TargetMode="External"></Relationship><Relationship Id="rId69" Target="mailto:akbaraksigemilang@gmail.com" Type="http://schemas.openxmlformats.org/officeDocument/2006/relationships/hyperlink" TargetMode="External"></Relationship><Relationship Id="rId70" Target="mailto:salmamuvidayanti@gmail.com" Type="http://schemas.openxmlformats.org/officeDocument/2006/relationships/hyperlink" TargetMode="External"></Relationship><Relationship Id="rId71" Target="mailto:rondonuwukayla@gmail.com" Type="http://schemas.openxmlformats.org/officeDocument/2006/relationships/hyperlink" TargetMode="External"></Relationship><Relationship Id="rId72" Target="mailto:jvnerlando@gmail.com" Type="http://schemas.openxmlformats.org/officeDocument/2006/relationships/hyperlink" TargetMode="External"></Relationship><Relationship Id="rId73" Target="mailto:noviandry.hamzah@gmail.com" Type="http://schemas.openxmlformats.org/officeDocument/2006/relationships/hyperlink" TargetMode="External"></Relationship><Relationship Id="rId74" Target="mailto:indaharumch@gmail.com" Type="http://schemas.openxmlformats.org/officeDocument/2006/relationships/hyperlink" TargetMode="External"></Relationship><Relationship Id="rId75" Target="mailto:tasyava7@gmail.com" Type="http://schemas.openxmlformats.org/officeDocument/2006/relationships/hyperlink" TargetMode="External"></Relationship><Relationship Id="rId76" Target="mailto:pendrimikola9@gmail.com" Type="http://schemas.openxmlformats.org/officeDocument/2006/relationships/hyperlink" TargetMode="External"></Relationship><Relationship Id="rId77" Target="mailto:mfahrezi218@gmail.com" Type="http://schemas.openxmlformats.org/officeDocument/2006/relationships/hyperlink" TargetMode="External"></Relationship><Relationship Id="rId78" Target="mailto:krissimbolon28@gmail.com" Type="http://schemas.openxmlformats.org/officeDocument/2006/relationships/hyperlink" TargetMode="External"></Relationship><Relationship Id="rId79" Target="mailto:andrianmaulanami@gmail.com" Type="http://schemas.openxmlformats.org/officeDocument/2006/relationships/hyperlink" TargetMode="External"></Relationship><Relationship Id="rId80" Target="mailto:palugate2@gmail.com" Type="http://schemas.openxmlformats.org/officeDocument/2006/relationships/hyperlink" TargetMode="External"></Relationship><Relationship Id="rId81" Target="mailto:annisanabilahghaidaazzahra@gmail.com" Type="http://schemas.openxmlformats.org/officeDocument/2006/relationships/hyperlink" TargetMode="External"></Relationship><Relationship Id="rId82" Target="mailto:bawamade0119@gmail.com" Type="http://schemas.openxmlformats.org/officeDocument/2006/relationships/hyperlink" TargetMode="External"></Relationship><Relationship Id="rId83" Target="mailto:salsa.atalieani02@gmail.com" Type="http://schemas.openxmlformats.org/officeDocument/2006/relationships/hyperlink" TargetMode="External"></Relationship><Relationship Id="rId84" Target="mailto:radiwanh@gmail.com" Type="http://schemas.openxmlformats.org/officeDocument/2006/relationships/hyperlink" TargetMode="External"></Relationship><Relationship Id="rId85" Target="mailto:Rosye.uq@gmail.com" Type="http://schemas.openxmlformats.org/officeDocument/2006/relationships/hyperlink" TargetMode="External"></Relationship><Relationship Id="rId86" Target="mailto:atkrhna@gmail.com" Type="http://schemas.openxmlformats.org/officeDocument/2006/relationships/hyperlink" TargetMode="External"></Relationship><Relationship Id="rId87" Target="mailto:fnugraha588@gmail.com" Type="http://schemas.openxmlformats.org/officeDocument/2006/relationships/hyperlink" TargetMode="External"></Relationship><Relationship Id="rId88" Target="mailto:danyyramadhann@gmail.com" Type="http://schemas.openxmlformats.org/officeDocument/2006/relationships/hyperlink" TargetMode="External"></Relationship><Relationship Id="rId89" Target="mailto:anggie.bahrend12@gmail.com" Type="http://schemas.openxmlformats.org/officeDocument/2006/relationships/hyperlink" TargetMode="External"></Relationship><Relationship Id="rId90" Target="mailto:Nawalsyafiq31@gmail.com" Type="http://schemas.openxmlformats.org/officeDocument/2006/relationships/hyperlink" TargetMode="External"></Relationship><Relationship Id="rId91" Target="mailto:dillah.fn@gmail.com" Type="http://schemas.openxmlformats.org/officeDocument/2006/relationships/hyperlink" TargetMode="External"></Relationship><Relationship Id="rId92" Target="mailto:januaril760@gmail.com" Type="http://schemas.openxmlformats.org/officeDocument/2006/relationships/hyperlink" TargetMode="External"></Relationship><Relationship Id="rId93" Target="mailto:jasmine.khrn@gmail.com" Type="http://schemas.openxmlformats.org/officeDocument/2006/relationships/hyperlink" TargetMode="External"></Relationship><Relationship Id="rId94" Target="mailto:Wijdanharli@gmail.com" Type="http://schemas.openxmlformats.org/officeDocument/2006/relationships/hyperlink" TargetMode="External"></Relationship><Relationship Id="rId95" Target="mailto:syadzahusnun@gmail.com" Type="http://schemas.openxmlformats.org/officeDocument/2006/relationships/hyperlink" TargetMode="External"></Relationship><Relationship Id="rId96" Target="mailto:hanifabiyyu2705@gmail.com" Type="http://schemas.openxmlformats.org/officeDocument/2006/relationships/hyperlink" TargetMode="External"></Relationship><Relationship Id="rId97" Target="mailto:fidyampdrg@gmail.com" Type="http://schemas.openxmlformats.org/officeDocument/2006/relationships/hyperlink" TargetMode="External"></Relationship><Relationship Id="rId98" Target="mailto:jvnerlando@gmail.com" Type="http://schemas.openxmlformats.org/officeDocument/2006/relationships/hyperlink" TargetMode="External"></Relationship><Relationship Id="rId99" Target="mailto:alfahutan15@gmail.com" Type="http://schemas.openxmlformats.org/officeDocument/2006/relationships/hyperlink" TargetMode="External"></Relationship><Relationship Id="rId100" Target="mailto:diannugraheni03@gmail.com" Type="http://schemas.openxmlformats.org/officeDocument/2006/relationships/hyperlink" TargetMode="External"></Relationship><Relationship Id="rId101" Target="mailto:Athaisyah@yahoo.com" Type="http://schemas.openxmlformats.org/officeDocument/2006/relationships/hyperlink" TargetMode="External"></Relationship><Relationship Id="rId102" Target="mailto:mddchh617@gmail.com" Type="http://schemas.openxmlformats.org/officeDocument/2006/relationships/hyperlink" TargetMode="External"></Relationship><Relationship Id="rId103" Target="mailto:alfandysb2000@gmail.com" Type="http://schemas.openxmlformats.org/officeDocument/2006/relationships/hyperlink" TargetMode="External"></Relationship><Relationship Id="rId104" Target="mailto:riskaayu434@gmail.com" Type="http://schemas.openxmlformats.org/officeDocument/2006/relationships/hyperlink" TargetMode="External"></Relationship><Relationship Id="rId105" Target="mailto:salmanwilmart29@gmail.com" Type="http://schemas.openxmlformats.org/officeDocument/2006/relationships/hyperlink" TargetMode="External"></Relationship><Relationship Id="rId106" Target="mailto:rayhanalirachman@gmail.com" Type="http://schemas.openxmlformats.org/officeDocument/2006/relationships/hyperlink" TargetMode="External"></Relationship><Relationship Id="rId107" Target="mailto:arielpirie11@gmail.com" Type="http://schemas.openxmlformats.org/officeDocument/2006/relationships/hyperlink" TargetMode="External"></Relationship><Relationship Id="rId108" Target="mailto:rahmatulmaulana28112004@gmail.com" Type="http://schemas.openxmlformats.org/officeDocument/2006/relationships/hyperlink" TargetMode="External"></Relationship><Relationship Id="rId109" Target="mailto:abidin214n@gmail.com" Type="http://schemas.openxmlformats.org/officeDocument/2006/relationships/hyperlink" TargetMode="External"></Relationship><Relationship Id="rId110" Target="mailto:anggie.bahrend12@gmail.com" Type="http://schemas.openxmlformats.org/officeDocument/2006/relationships/hyperlink" TargetMode="External"></Relationship><Relationship Id="rId111" Target="mailto:mohradyt.fahrasya@gmail.com" Type="http://schemas.openxmlformats.org/officeDocument/2006/relationships/hyperlink" TargetMode="External"></Relationship><Relationship Id="rId112" Target="mailto:yasser.taufiq@gmail.com" Type="http://schemas.openxmlformats.org/officeDocument/2006/relationships/hyperlink" TargetMode="External"></Relationship><Relationship Id="rId113" Target="mailto:gsaud111@gmail.com" Type="http://schemas.openxmlformats.org/officeDocument/2006/relationships/hyperlink" TargetMode="External"></Relationship><Relationship Id="rId114" Target="mailto:fputerisantosa@gmail.com" Type="http://schemas.openxmlformats.org/officeDocument/2006/relationships/hyperlink" TargetMode="External"></Relationship><Relationship Id="rId115" Target="mailto:hafshahbeta0107@gmail.com" Type="http://schemas.openxmlformats.org/officeDocument/2006/relationships/hyperlink" TargetMode="External"></Relationship><Relationship Id="rId116" Target="mailto:andrianmaulanami@gmail.com" Type="http://schemas.openxmlformats.org/officeDocument/2006/relationships/hyperlink" TargetMode="External"></Relationship><Relationship Id="rId117" Target="mailto:zulnyberliana@gmail.com" Type="http://schemas.openxmlformats.org/officeDocument/2006/relationships/hyperlink" TargetMode="External"></Relationship><Relationship Id="rId118" Target="mailto:musfatimah2021@gmail.com" Type="http://schemas.openxmlformats.org/officeDocument/2006/relationships/hyperlink" TargetMode="External"></Relationship><Relationship Id="rId119" Target="mailto:rmrisyad@gmail.com" Type="http://schemas.openxmlformats.org/officeDocument/2006/relationships/hyperlink" TargetMode="External"></Relationship><Relationship Id="rId120" Target="mailto:mardjanomaika@gmail.com" Type="http://schemas.openxmlformats.org/officeDocument/2006/relationships/hyperlink" TargetMode="External"></Relationship><Relationship Id="rId121" Target="mailto:harianto.ikel13@gmail.com" Type="http://schemas.openxmlformats.org/officeDocument/2006/relationships/hyperlink" TargetMode="External"></Relationship><Relationship Id="rId122" Target="mailto:faiznursyhrial@gmail.com" Type="http://schemas.openxmlformats.org/officeDocument/2006/relationships/hyperlink" TargetMode="External"></Relationship><Relationship Id="rId123" Target="mailto:devidamayanti488@gmail.com" Type="http://schemas.openxmlformats.org/officeDocument/2006/relationships/hyperlink" TargetMode="External"></Relationship><Relationship Id="rId124" Target="mailto:sathifaa25@gmail.com" Type="http://schemas.openxmlformats.org/officeDocument/2006/relationships/hyperlink" TargetMode="External"></Relationship><Relationship Id="rId125" Target="mailto:awisnuf@gmail.com" Type="http://schemas.openxmlformats.org/officeDocument/2006/relationships/hyperlink" TargetMode="External"></Relationship><Relationship Id="rId126" Target="mailto:fauziahshali01@gmail.com" Type="http://schemas.openxmlformats.org/officeDocument/2006/relationships/hyperlink" TargetMode="External"></Relationship><Relationship Id="rId127" Target="mailto:azmansihab@gmail.com" Type="http://schemas.openxmlformats.org/officeDocument/2006/relationships/hyperlink" TargetMode="External"></Relationship><Relationship Id="rId128" Target="mailto:azizahnasywa27@gmail.com" Type="http://schemas.openxmlformats.org/officeDocument/2006/relationships/hyperlink" TargetMode="External"></Relationship><Relationship Id="rId129" Target="mailto:katanesia17@gmail.com" Type="http://schemas.openxmlformats.org/officeDocument/2006/relationships/hyperlink" TargetMode="External"></Relationship><Relationship Id="rId130" Target="mailto:tiaraalda14@gmail.com" Type="http://schemas.openxmlformats.org/officeDocument/2006/relationships/hyperlink" TargetMode="External"></Relationship><Relationship Id="rId131" Target="mailto:rivanajiwds@gmail.com" Type="http://schemas.openxmlformats.org/officeDocument/2006/relationships/hyperlink" TargetMode="External"></Relationship><Relationship Id="rId132" Target="mailto:gregorius.budi@gmail.com" Type="http://schemas.openxmlformats.org/officeDocument/2006/relationships/hyperlink" TargetMode="External"></Relationship><Relationship Id="rId133" Target="mailto:irfanfirdaus990@gmail.com" Type="http://schemas.openxmlformats.org/officeDocument/2006/relationships/hyperlink" TargetMode="External"></Relationship><Relationship Id="rId134" Target="mailto:hanbelajarsipil@gmail.com" Type="http://schemas.openxmlformats.org/officeDocument/2006/relationships/hyperlink" TargetMode="External"></Relationship><Relationship Id="rId135" Target="mailto:walibatara9@gmail.com" Type="http://schemas.openxmlformats.org/officeDocument/2006/relationships/hyperlink" TargetMode="External"></Relationship><Relationship Id="rId136" Target="mailto:nukiadit@gmail.com" Type="http://schemas.openxmlformats.org/officeDocument/2006/relationships/hyperlink" TargetMode="External"></Relationship><Relationship Id="rId137" Target="mailto:aulianaufaln@gmail.com" Type="http://schemas.openxmlformats.org/officeDocument/2006/relationships/hyperlink" TargetMode="External"></Relationship><Relationship Id="rId138" Target="mailto:radityaariyanto28@gmail.com" Type="http://schemas.openxmlformats.org/officeDocument/2006/relationships/hyperlink" TargetMode="External"></Relationship><Relationship Id="rId139" Target="mailto:aditamanurrahman525@gmail.com" Type="http://schemas.openxmlformats.org/officeDocument/2006/relationships/hyperlink" TargetMode="External"></Relationship><Relationship Id="rId140" Target="mailto:akbaraksigemilang@gmail.com" Type="http://schemas.openxmlformats.org/officeDocument/2006/relationships/hyperlink" TargetMode="External"></Relationship><Relationship Id="rId141" Target="mailto:paret.sanjaka@gmail.com" Type="http://schemas.openxmlformats.org/officeDocument/2006/relationships/hyperlink" TargetMode="External"></Relationship><Relationship Id="rId142" Target="mailto:farhan.muhammad2095@gmail.com" Type="http://schemas.openxmlformats.org/officeDocument/2006/relationships/hyperlink" TargetMode="External"></Relationship><Relationship Id="rId143" Target="mailto:tasyava7@gmail.com" Type="http://schemas.openxmlformats.org/officeDocument/2006/relationships/hyperlink" TargetMode="External"></Relationship><Relationship Id="rId144" Target="mailto:raniadaniswara87@gmail.com" Type="http://schemas.openxmlformats.org/officeDocument/2006/relationships/hyperlink" TargetMode="External"></Relationship><Relationship Id="rId145" Target="mailto:priyankaasmiran@gmail.com" Type="http://schemas.openxmlformats.org/officeDocument/2006/relationships/hyperlink" TargetMode="External"></Relationship><Relationship Id="rId146" Target="mailto:romannafriskapricilia@gmail.com" Type="http://schemas.openxmlformats.org/officeDocument/2006/relationships/hyperlink" TargetMode="External"></Relationship><Relationship Id="rId147" Target="mailto:ferryrussel1002@gmail.com" Type="http://schemas.openxmlformats.org/officeDocument/2006/relationships/hyperlink" TargetMode="External"></Relationship><Relationship Id="rId148" Target="mailto:muhammadakmaltiantsauban@mail.ugm.ac.id" Type="http://schemas.openxmlformats.org/officeDocument/2006/relationships/hyperlink" TargetMode="External"></Relationship><Relationship Id="rId149" Target="mailto:novaldoramzis@gmail.com" Type="http://schemas.openxmlformats.org/officeDocument/2006/relationships/hyperlink" TargetMode="External"></Relationship><Relationship Id="rId150" Target="mailto:arieffauzy99@gmail.com" Type="http://schemas.openxmlformats.org/officeDocument/2006/relationships/hyperlink" TargetMode="External"></Relationship><Relationship Id="rId151" Target="mailto:syaifuddin.nursyams54@gmail.com" Type="http://schemas.openxmlformats.org/officeDocument/2006/relationships/hyperlink" TargetMode="External"></Relationship><Relationship Id="rId152" Target="mailto:franswaas249@gmail.com" Type="http://schemas.openxmlformats.org/officeDocument/2006/relationships/hyperlink" TargetMode="External"></Relationship><Relationship Id="rId153" Target="mailto:raihanherdiansyah09@gmail.com" Type="http://schemas.openxmlformats.org/officeDocument/2006/relationships/hyperlink" TargetMode="External"></Relationship><Relationship Id="rId154" Target="mailto:azerpd91@gmail.com" Type="http://schemas.openxmlformats.org/officeDocument/2006/relationships/hyperlink" TargetMode="External"></Relationship><Relationship Id="rId155" Target="mailto:muhammadarwanggai@gmail.com" Type="http://schemas.openxmlformats.org/officeDocument/2006/relationships/hyperlink" TargetMode="External"></Relationship><Relationship Id="rId156" Target="mailto:agustinusdani86@gmail.com" Type="http://schemas.openxmlformats.org/officeDocument/2006/relationships/hyperlink" TargetMode="External"></Relationship><Relationship Id="rId157" Target="mailto:suryapranataamiconi@gmail.com" Type="http://schemas.openxmlformats.org/officeDocument/2006/relationships/hyperlink" TargetMode="External"></Relationship><Relationship Id="rId158" Target="mailto:muhammadabdularoffi2123@gmail.com" Type="http://schemas.openxmlformats.org/officeDocument/2006/relationships/hyperlink" TargetMode="External"></Relationship><Relationship Id="rId159" Target="mailto:haurazkaa@gmail.com" Type="http://schemas.openxmlformats.org/officeDocument/2006/relationships/hyperlink" TargetMode="External"></Relationship><Relationship Id="rId160" Target="mailto:radityaariyanto28@gmail.com" Type="http://schemas.openxmlformats.org/officeDocument/2006/relationships/hyperlink" TargetMode="External"></Relationship><Relationship Id="rId161" Target="mailto:irfanfirdaus990@gmail.com" Type="http://schemas.openxmlformats.org/officeDocument/2006/relationships/hyperlink" TargetMode="External"></Relationship><Relationship Id="rId162" Target="mailto:adaniebrilliant@gmail.com" Type="http://schemas.openxmlformats.org/officeDocument/2006/relationships/hyperlink" TargetMode="External"></Relationship><Relationship Id="rId163" Target="mailto:afrizalalan002@gmail.com" Type="http://schemas.openxmlformats.org/officeDocument/2006/relationships/hyperlink" TargetMode="External"></Relationship><Relationship Id="rId164" Target="mailto:rizalardiaffandi@gmail.com" Type="http://schemas.openxmlformats.org/officeDocument/2006/relationships/hyperlink" TargetMode="External"></Relationship><Relationship Id="rId165" Target="mailto:salmamuvidayanti@gmail.com" Type="http://schemas.openxmlformats.org/officeDocument/2006/relationships/hyperlink" TargetMode="External"></Relationship><Relationship Id="rId166" Target="mailto:mdandijuandi47@gmail.com" Type="http://schemas.openxmlformats.org/officeDocument/2006/relationships/hyperlink" TargetMode="External"></Relationship><Relationship Id="rId167" Target="mailto:rmrisyad@gmail.com" Type="http://schemas.openxmlformats.org/officeDocument/2006/relationships/hyperlink" TargetMode="External"></Relationship><Relationship Id="rId168" Target="mailto:mandaamr05@gmail.com" Type="http://schemas.openxmlformats.org/officeDocument/2006/relationships/hyperlink" TargetMode="External"></Relationship><Relationship Id="rId169" Target="mailto:naomiangelia@gmail.com" Type="http://schemas.openxmlformats.org/officeDocument/2006/relationships/hyperlink" TargetMode="External"></Relationship><Relationship Id="rId170" Target="mailto:tiarma.pane@gmail.com" Type="http://schemas.openxmlformats.org/officeDocument/2006/relationships/hyperlink" TargetMode="External"></Relationship><Relationship Id="rId171" Target="mailto:Aqillafitdhea00@gmail.com" Type="http://schemas.openxmlformats.org/officeDocument/2006/relationships/hyperlink" TargetMode="External"></Relationship><Relationship Id="rId172" Target="mailto:arieffauzy99@gmail.com" Type="http://schemas.openxmlformats.org/officeDocument/2006/relationships/hyperlink" TargetMode="External"></Relationship><Relationship Id="rId173" Target="mailto:krissimbolon28@gmail.com" Type="http://schemas.openxmlformats.org/officeDocument/2006/relationships/hyperlink" TargetMode="External"></Relationship><Relationship Id="rId174" Target="mailto:aditaarifin40@gmail.com" Type="http://schemas.openxmlformats.org/officeDocument/2006/relationships/hyperlink" TargetMode="External"></Relationship><Relationship Id="rId175" Target="mailto:raihanherdiansyah09@gmail.com" Type="http://schemas.openxmlformats.org/officeDocument/2006/relationships/hyperlink" TargetMode="External"></Relationship><Relationship Id="rId176" Target="mailto:rafiteguh6@gmail.com" Type="http://schemas.openxmlformats.org/officeDocument/2006/relationships/hyperlink" TargetMode="External"></Relationship><Relationship Id="rId177" Target="mailto:kasyaamuthiaa@gmail.com" Type="http://schemas.openxmlformats.org/officeDocument/2006/relationships/hyperlink" TargetMode="External"></Relationship><Relationship Id="rId178" Target="mailto:farouqmatondang@gmail.com" Type="http://schemas.openxmlformats.org/officeDocument/2006/relationships/hyperlink" TargetMode="External"></Relationship><Relationship Id="rId179" Target="mailto:karir.hafidh@gmail.com" Type="http://schemas.openxmlformats.org/officeDocument/2006/relationships/hyperlink" TargetMode="External"></Relationship><Relationship Id="rId180" Target="mailto:arafatrahmanafat19@gmail.com" Type="http://schemas.openxmlformats.org/officeDocument/2006/relationships/hyperlink" TargetMode="External"></Relationship><Relationship Id="rId181" Target="mailto:mhmdfiqhh@gmail.com" Type="http://schemas.openxmlformats.org/officeDocument/2006/relationships/hyperlink" TargetMode="External"></Relationship><Relationship Id="rId182" Target="mailto:Aqillafitdhea00@gmail.com" Type="http://schemas.openxmlformats.org/officeDocument/2006/relationships/hyperlink" TargetMode="External"></Relationship><Relationship Id="rId183" Target="mailto:naomiangelia@gmail.com" Type="http://schemas.openxmlformats.org/officeDocument/2006/relationships/hyperlink" TargetMode="External"></Relationship><Relationship Id="rId184" Target="mailto:ediwahyudi301@gmail.com" Type="http://schemas.openxmlformats.org/officeDocument/2006/relationships/hyperlink" TargetMode="External"></Relationship><Relationship Id="rId185" Target="mailto:adindaadella1011@gmail.com" Type="http://schemas.openxmlformats.org/officeDocument/2006/relationships/hyperlink" TargetMode="External"></Relationship><Relationship Id="rId186" Target="mailto:nadhiaferra2405@gmail.com" Type="http://schemas.openxmlformats.org/officeDocument/2006/relationships/hyperlink" TargetMode="External"></Relationship><Relationship Id="rId187" Target="mailto:saniafajrinditya@gmail.com" Type="http://schemas.openxmlformats.org/officeDocument/2006/relationships/hyperlink" TargetMode="External"></Relationship><Relationship Id="rId188" Target="mailto:ranggaadinugraha26jan@gmail.com" Type="http://schemas.openxmlformats.org/officeDocument/2006/relationships/hyperlink" TargetMode="External"></Relationship><Relationship Id="rId189" Target="mailto:salsa.atalieani02@gmail.com" Type="http://schemas.openxmlformats.org/officeDocument/2006/relationships/hyperlink" TargetMode="External"></Relationship><Relationship Id="rId190" Target="mailto:isnainineni15@gmail.com" Type="http://schemas.openxmlformats.org/officeDocument/2006/relationships/hyperlink" TargetMode="External"></Relationship><Relationship Id="rId191" Target="mailto:paret.sanjaka@gmail.com" Type="http://schemas.openxmlformats.org/officeDocument/2006/relationships/hyperlink" TargetMode="External"></Relationship><Relationship Id="rId192" Target="mailto:adaniebrilliant@gmail.com" Type="http://schemas.openxmlformats.org/officeDocument/2006/relationships/hyperlink" TargetMode="External"></Relationship><Relationship Id="rId193" Target="mailto:dion.wedha@gmail.com" Type="http://schemas.openxmlformats.org/officeDocument/2006/relationships/hyperlink" TargetMode="External"></Relationship><Relationship Id="rId194" Target="mailto:anwardeedat17@gmail.com" Type="http://schemas.openxmlformats.org/officeDocument/2006/relationships/hyperlink" TargetMode="External"></Relationship><Relationship Id="rId195" Target="mailto:mams15011990@gmail.com" Type="http://schemas.openxmlformats.org/officeDocument/2006/relationships/hyperlink" TargetMode="External"></Relationship><Relationship Id="rId196" Target="mailto:karizmafahlevy@yahoo.com" Type="http://schemas.openxmlformats.org/officeDocument/2006/relationships/hyperlink" TargetMode="External"></Relationship><Relationship Id="rId197" Target="mailto:Winarti0612@gmail.com" Type="http://schemas.openxmlformats.org/officeDocument/2006/relationships/hyperlink" TargetMode="External"></Relationship><Relationship Id="rId198" Target="mailto:sergioguntur18@gmail.com" Type="http://schemas.openxmlformats.org/officeDocument/2006/relationships/hyperlink" TargetMode="External"></Relationship><Relationship Id="rId199" Target="mailto:zulnyberliana@gmail.com" Type="http://schemas.openxmlformats.org/officeDocument/2006/relationships/hyperlink" TargetMode="External"></Relationship><Relationship Id="rId200" Target="mailto:andra.rasel@gmail.com" Type="http://schemas.openxmlformats.org/officeDocument/2006/relationships/hyperlink" TargetMode="External"></Relationship><Relationship Id="rId201" Target="mailto:sanjung.develop@gmail.com" Type="http://schemas.openxmlformats.org/officeDocument/2006/relationships/hyperlink" TargetMode="External"></Relationship><Relationship Id="rId202" Target="mailto:aryaaryaweda19@gmail.com" Type="http://schemas.openxmlformats.org/officeDocument/2006/relationships/hyperlink" TargetMode="External"></Relationship><Relationship Id="rId203" Target="mailto:anisnabilatun03@gmail.com" Type="http://schemas.openxmlformats.org/officeDocument/2006/relationships/hyperlink" TargetMode="External"></Relationship><Relationship Id="rId204" Target="mailto:vsmkesanji997@gmail.com" Type="http://schemas.openxmlformats.org/officeDocument/2006/relationships/hyperlink" TargetMode="External"></Relationship><Relationship Id="rId205" Target="mailto:fathauli@gmail.com" Type="http://schemas.openxmlformats.org/officeDocument/2006/relationships/hyperlink" TargetMode="External"></Relationship><Relationship Id="rId206" Target="mailto:farid.lecture154@gmail.com" Type="http://schemas.openxmlformats.org/officeDocument/2006/relationships/hyperlink" TargetMode="External"></Relationship><Relationship Id="rId207" Target="mailto:choirunnisanur2001@gmail.com" Type="http://schemas.openxmlformats.org/officeDocument/2006/relationships/hyperlink" TargetMode="External"></Relationship><Relationship Id="rId208" Target="mailto:harisscott630@gmail.com" Type="http://schemas.openxmlformats.org/officeDocument/2006/relationships/hyperlink" TargetMode="External"></Relationship><Relationship Id="rId209" Target="mailto:fputerisantosa@gmail.com" Type="http://schemas.openxmlformats.org/officeDocument/2006/relationships/hyperlink" TargetMode="External"></Relationship><Relationship Id="rId210" Target="mailto:choirunnisanur2001@gmail.com" Type="http://schemas.openxmlformats.org/officeDocument/2006/relationships/hyperlink" TargetMode="External"></Relationship><Relationship Id="rId211" Target="mailto:ziadbwdn@gmail.com" Type="http://schemas.openxmlformats.org/officeDocument/2006/relationships/hyperlink" TargetMode="External"></Relationship><Relationship Id="rId212" Target="mailto:muhammadarwanggai@gmail.com" Type="http://schemas.openxmlformats.org/officeDocument/2006/relationships/hyperlink" TargetMode="External"></Relationship><Relationship Id="rId213" Target="mailto:nursyifaf0408@gmail.com" Type="http://schemas.openxmlformats.org/officeDocument/2006/relationships/hyperlink" TargetMode="External"></Relationship><Relationship Id="rId214" Target="mailto:agungwiibowo09@gmail.com" Type="http://schemas.openxmlformats.org/officeDocument/2006/relationships/hyperlink" TargetMode="External"></Relationship><Relationship Id="rId215" Target="mailto:dagaadza8@gmail.com" Type="http://schemas.openxmlformats.org/officeDocument/2006/relationships/hyperlink" TargetMode="External"></Relationship><Relationship Id="rId216" Target="mailto:khrisnadharma10@gmail.com" Type="http://schemas.openxmlformats.org/officeDocument/2006/relationships/hyperlink" TargetMode="External"></Relationship><Relationship Id="rId217" Target="mailto:bawamade0119@gmail.com" Type="http://schemas.openxmlformats.org/officeDocument/2006/relationships/hyperlink" TargetMode="External"></Relationship><Relationship Id="rId218" Target="mailto:farhan.muhammad2095@gmail.com" Type="http://schemas.openxmlformats.org/officeDocument/2006/relationships/hyperlink" TargetMode="External"></Relationship><Relationship Id="rId219" Target="mailto:ivanapurbaningtyass@gmail.com" Type="http://schemas.openxmlformats.org/officeDocument/2006/relationships/hyperlink" TargetMode="External"></Relationship><Relationship Id="rId220" Target="mailto:salinadhiya@gmail.com" Type="http://schemas.openxmlformats.org/officeDocument/2006/relationships/hyperlink" TargetMode="External"></Relationship><Relationship Id="rId221" Target="mailto:ameliaherawati082@gmail.com" Type="http://schemas.openxmlformats.org/officeDocument/2006/relationships/hyperlink" TargetMode="External"></Relationship><Relationship Id="rId222" Target="mailto:zilzilfauzil@gmail.com" Type="http://schemas.openxmlformats.org/officeDocument/2006/relationships/hyperlink" TargetMode="External"></Relationship><Relationship Id="rId223" Target="mailto:mappingriko@gmail.com" Type="http://schemas.openxmlformats.org/officeDocument/2006/relationships/hyperlink" TargetMode="External"></Relationship><Relationship Id="rId224" Target="mailto:gsaud111@gmail.com" Type="http://schemas.openxmlformats.org/officeDocument/2006/relationships/hyperlink" TargetMode="External"></Relationship><Relationship Id="rId225" Target="mailto:ferryrussel1002@gmail.com" Type="http://schemas.openxmlformats.org/officeDocument/2006/relationships/hyperlink" TargetMode="External"></Relationship><Relationship Id="rId226" Target="mailto:jihanizzaba@gmail.com" Type="http://schemas.openxmlformats.org/officeDocument/2006/relationships/hyperlink" TargetMode="External"></Relationship><Relationship Id="rId227" Target="mailto:rondonuwukayla@gmail.com" Type="http://schemas.openxmlformats.org/officeDocument/2006/relationships/hyperlink" TargetMode="External"></Relationship><Relationship Id="rId228" Target="mailto:Bambang@yahoo.com" Type="http://schemas.openxmlformats.org/officeDocument/2006/relationships/hyperlink" TargetMode="External"></Relationship><Relationship Id="rId229" Target="mailto:ekamr16@gmail.com" Type="http://schemas.openxmlformats.org/officeDocument/2006/relationships/hyperlink" TargetMode="External"></Relationship><Relationship Id="rId230" Target="mailto:semeru.aga@gmail.com" Type="http://schemas.openxmlformats.org/officeDocument/2006/relationships/hyperlink" TargetMode="External"></Relationship><Relationship Id="rId231" Target="mailto:fatayatasya19@gmail.com" Type="http://schemas.openxmlformats.org/officeDocument/2006/relationships/hyperlink" TargetMode="External"></Relationship><Relationship Id="rId232" Target="mailto:ekarisita1425@gmail.com" Type="http://schemas.openxmlformats.org/officeDocument/2006/relationships/hyperlink" TargetMode="External"></Relationship><Relationship Id="rId233" Target="mailto:fazamfaris@gmail.com" Type="http://schemas.openxmlformats.org/officeDocument/2006/relationships/hyperlink" TargetMode="External"></Relationship><Relationship Id="rId234" Target="mailto:Wenniamelia32@gmail.com" Type="http://schemas.openxmlformats.org/officeDocument/2006/relationships/hyperlink" TargetMode="External"></Relationship><Relationship Id="rId235" Target="mailto:dediraihan5@gmail.com" Type="http://schemas.openxmlformats.org/officeDocument/2006/relationships/hyperlink" TargetMode="External"></Relationship><Relationship Id="rId236" Target="mailto:Fahmiau17@gmail.com" Type="http://schemas.openxmlformats.org/officeDocument/2006/relationships/hyperlink" TargetMode="External"></Relationship><Relationship Id="rId237" Target="mailto:arafatrahmanafat19@gmail.com" Type="http://schemas.openxmlformats.org/officeDocument/2006/relationships/hyperlink" TargetMode="External"></Relationship><Relationship Id="rId238" Target="mailto:yahdinanst@gmail.com" Type="http://schemas.openxmlformats.org/officeDocument/2006/relationships/hyperlink" TargetMode="External"></Relationship><Relationship Id="rId239" Target="mailto:radjaadzka18@gmail.com" Type="http://schemas.openxmlformats.org/officeDocument/2006/relationships/hyperlink" TargetMode="External"></Relationship><Relationship Id="rId240" Target="mailto:benedictusokapr@gmail.com" Type="http://schemas.openxmlformats.org/officeDocument/2006/relationships/hyperlink" TargetMode="External"></Relationship><Relationship Id="rId241" Target="mailto:jasmine.khrn@gmail.com" Type="http://schemas.openxmlformats.org/officeDocument/2006/relationships/hyperlink" TargetMode="External"></Relationship><Relationship Id="rId242" Target="mailto:lukysutansyah02@gmail.com" Type="http://schemas.openxmlformats.org/officeDocument/2006/relationships/hyperlink" TargetMode="External"></Relationship><Relationship Id="rId243" Target="mailto:mutiara.saragi2006@gmail.com" Type="http://schemas.openxmlformats.org/officeDocument/2006/relationships/hyperlink" TargetMode="External"></Relationship><Relationship Id="rId244" Target="mailto:rakhmatsenoaji@gmail.com" Type="http://schemas.openxmlformats.org/officeDocument/2006/relationships/hyperlink" TargetMode="External"></Relationship><Relationship Id="rId245" Target="mailto:anisnabilatun03@gmail.com" Type="http://schemas.openxmlformats.org/officeDocument/2006/relationships/hyperlink" TargetMode="External"></Relationship><Relationship Id="rId246" Target="mailto:dillah.fn@gmail.com" Type="http://schemas.openxmlformats.org/officeDocument/2006/relationships/hyperlink" TargetMode="External"></Relationship><Relationship Id="rId247" Target="mailto:ranastasya90@gmail.com" Type="http://schemas.openxmlformats.org/officeDocument/2006/relationships/hyperlink" TargetMode="External"></Relationship><Relationship Id="rId248" Target="mailto:Dagaadza8@gmail.com" Type="http://schemas.openxmlformats.org/officeDocument/2006/relationships/hyperlink" TargetMode="External"></Relationship><Relationship Id="rId249" Target="mailto:sherlinda296@gmail.com" Type="http://schemas.openxmlformats.org/officeDocument/2006/relationships/hyperlink" TargetMode="External"></Relationship><Relationship Id="rId250" Target="mailto:agustinusdani86@gmail.com" Type="http://schemas.openxmlformats.org/officeDocument/2006/relationships/hyperlink" TargetMode="External"></Relationship><Relationship Id="rId251" Target="mailto:upikmaulvi2002@gmail.com" Type="http://schemas.openxmlformats.org/officeDocument/2006/relationships/hyperlink" TargetMode="External"></Relationship><Relationship Id="rId252" Target="mailto:muzakia.azzahra@gmail.com" Type="http://schemas.openxmlformats.org/officeDocument/2006/relationships/hyperlink" TargetMode="External"></Relationship><Relationship Id="rId253" Target="mailto:msnramadhoni@gmail.com" Type="http://schemas.openxmlformats.org/officeDocument/2006/relationships/hyperlink" TargetMode="External"></Relationship><Relationship Id="rId254" Target="mailto:nabilanahdatul@gmail.com" Type="http://schemas.openxmlformats.org/officeDocument/2006/relationships/hyperlink" TargetMode="External"></Relationship><Relationship Id="rId255" Target="mailto:akbarramanda99@gmail.com" Type="http://schemas.openxmlformats.org/officeDocument/2006/relationships/hyperlink" TargetMode="External"></Relationship><Relationship Id="rId256" Target="mailto:azmansihab@gmail.com" Type="http://schemas.openxmlformats.org/officeDocument/2006/relationships/hyperlink" TargetMode="External"></Relationship><Relationship Id="rId257" Target="mailto:mams15011990@gmail.com" Type="http://schemas.openxmlformats.org/officeDocument/2006/relationships/hyperlink" TargetMode="External"></Relationship><Relationship Id="rId258" Target="mailto:Nh27723@gmail.com" Type="http://schemas.openxmlformats.org/officeDocument/2006/relationships/hyperlink" TargetMode="External"></Relationship><Relationship Id="rId259" Target="mailto:nadhia.ferlia2403@mail.ugm.ac.id" Type="http://schemas.openxmlformats.org/officeDocument/2006/relationships/hyperlink" TargetMode="External"></Relationship><Relationship Id="rId260" Target="mailto:mahendrayusuf1999@gmail.com" Type="http://schemas.openxmlformats.org/officeDocument/2006/relationships/hyperlink" TargetMode="External"></Relationship><Relationship Id="rId261" Target="mailto:ameliawenni3@gmail.com" Type="http://schemas.openxmlformats.org/officeDocument/2006/relationships/hyperlink" TargetMode="External"></Relationship><Relationship Id="rId262" Target="mailto:fitriulvianti@gmail.com" Type="http://schemas.openxmlformats.org/officeDocument/2006/relationships/hyperlink" TargetMode="External"></Relationship><Relationship Id="rId263" Target="mailto:nathanaelboyke11@gmail.com" Type="http://schemas.openxmlformats.org/officeDocument/2006/relationships/hyperlink" TargetMode="External"></Relationship><Relationship Id="rId264" Target="mailto:alfandysb2000@gmail.com" Type="http://schemas.openxmlformats.org/officeDocument/2006/relationships/hyperlink" TargetMode="External"></Relationship><Relationship Id="rId265" Target="mailto:ichfanmaulana7@gmail.com" Type="http://schemas.openxmlformats.org/officeDocument/2006/relationships/hyperlink" TargetMode="External"></Relationship><Relationship Id="rId266" Target="mailto:rafiteguh6@gmail.com" Type="http://schemas.openxmlformats.org/officeDocument/2006/relationships/hyperlink" TargetMode="External"></Relationship><Relationship Id="rId267" Target="mailto:rifatrahadiansyah24@gmail.com" Type="http://schemas.openxmlformats.org/officeDocument/2006/relationships/hyperlink" TargetMode="External"></Relationship><Relationship Id="rId268" Target="mailto:musfatimah2021@gmail.com" Type="http://schemas.openxmlformats.org/officeDocument/2006/relationships/hyperlink" TargetMode="External"></Relationship><Relationship Id="rId269" Target="mailto:Hasriatic@gmail.com" Type="http://schemas.openxmlformats.org/officeDocument/2006/relationships/hyperlink" TargetMode="External"></Relationship><Relationship Id="rId270" Target="mailto:rivanajiwds@gmail.com" Type="http://schemas.openxmlformats.org/officeDocument/2006/relationships/hyperlink" TargetMode="External"></Relationship><Relationship Id="rId271" Target="mailto:fauzan1812@gmail.com" Type="http://schemas.openxmlformats.org/officeDocument/2006/relationships/hyperlink" TargetMode="External"></Relationship><Relationship Id="rId272" Target="mailto:khameliabelvazaria189@gmail.com" Type="http://schemas.openxmlformats.org/officeDocument/2006/relationships/hyperlink" TargetMode="External"></Relationship><Relationship Id="rId273" Target="mailto:alifahhanif123@gmail.com" Type="http://schemas.openxmlformats.org/officeDocument/2006/relationships/hyperlink" TargetMode="External"></Relationship><Relationship Id="rId274" Target="mailto:abafajar2@gmail.com" Type="http://schemas.openxmlformats.org/officeDocument/2006/relationships/hyperlink" TargetMode="External"></Relationship><Relationship Id="rId275" Target="mailto:nadhia.ferlia2403@mail.ugm.ac.id" Type="http://schemas.openxmlformats.org/officeDocument/2006/relationships/hyperlink" TargetMode="External"></Relationship><Relationship Id="rId276" Target="mailto:delabintang23yahoo@gmail.com" Type="http://schemas.openxmlformats.org/officeDocument/2006/relationships/hyperlink" TargetMode="External"></Relationship><Relationship Id="rId277" Target="mailto:dediraihan5@gmail.com" Type="http://schemas.openxmlformats.org/officeDocument/2006/relationships/hyperlink" TargetMode="External"></Relationship><Relationship Id="rId278" Target="mailto:januardi127@gmail.com" Type="http://schemas.openxmlformats.org/officeDocument/2006/relationships/hyperlink" TargetMode="External"></Relationship><Relationship Id="rId279" Target="mailto:khrisnadharma10@gmail.com" Type="http://schemas.openxmlformats.org/officeDocument/2006/relationships/hyperlink" TargetMode="External"></Relationship><Relationship Id="rId280" Target="mailto:sofyan.saugani@gmail.com" Type="http://schemas.openxmlformats.org/officeDocument/2006/relationships/hyperlink" TargetMode="External"></Relationship><Relationship Id="rId281" Target="mailto:dimsprstyo@gmail.com" Type="http://schemas.openxmlformats.org/officeDocument/2006/relationships/hyperlink" TargetMode="External"></Relationship><Relationship Id="rId282" Target="mailto:yosiandhika@gmail.com" Type="http://schemas.openxmlformats.org/officeDocument/2006/relationships/hyperlink" TargetMode="External"></Relationship><Relationship Id="rId283" Target="mailto:nengahsuwirya6@gmail.com" Type="http://schemas.openxmlformats.org/officeDocument/2006/relationships/hyperlink" TargetMode="External"></Relationship><Relationship Id="rId284" Target="mailto:nabilanahdatul@gmail.com" Type="http://schemas.openxmlformats.org/officeDocument/2006/relationships/hyperlink" TargetMode="External"></Relationship><Relationship Id="rId285" Target="mailto:radjaadzka18@gmail.com" Type="http://schemas.openxmlformats.org/officeDocument/2006/relationships/hyperlink" TargetMode="External"></Relationship><Relationship Id="rId286" Target="mailto:kasyaamuthiaa@gmail.com" Type="http://schemas.openxmlformats.org/officeDocument/2006/relationships/hyperlink" TargetMode="External"></Relationship><Relationship Id="rId287" Target="mailto:antonimadyasiahaan@gmail.com" Type="http://schemas.openxmlformats.org/officeDocument/2006/relationships/hyperlink" TargetMode="External"></Relationship><Relationship Id="rId288" Target="mailto:rajwabalqisecha@gmail.com" Type="http://schemas.openxmlformats.org/officeDocument/2006/relationships/hyperlink" TargetMode="External"></Relationship><Relationship Id="rId289" Target="mailto:arnabila76@gmail.com" Type="http://schemas.openxmlformats.org/officeDocument/2006/relationships/hyperlink" TargetMode="External"></Relationship><Relationship Id="rId290" Target="mailto:harisscott630@gmail.com" Type="http://schemas.openxmlformats.org/officeDocument/2006/relationships/hyperlink" TargetMode="External"></Relationship><Relationship Id="rId291" Target="mailto:Athaisyah@yahoo.com" Type="http://schemas.openxmlformats.org/officeDocument/2006/relationships/hyperlink" TargetMode="External"></Relationship><Relationship Id="rId292" Target="mailto:karizmafahlevy@yahoo.com" Type="http://schemas.openxmlformats.org/officeDocument/2006/relationships/hyperlink" TargetMode="External"></Relationship><Relationship Id="rId293" Target="mailto:nathanaelboyke11@gmail.com" Type="http://schemas.openxmlformats.org/officeDocument/2006/relationships/hyperlink" TargetMode="External"></Relationship><Relationship Id="rId294" Target="mailto:maritsakamilah@gmail.com" Type="http://schemas.openxmlformats.org/officeDocument/2006/relationships/hyperlink" TargetMode="External"></Relationship><Relationship Id="rId295" Target="mailto:muhilhamfah99@gmail.com" Type="http://schemas.openxmlformats.org/officeDocument/2006/relationships/hyperlink" TargetMode="External"></Relationship><Relationship Id="rId296" Target="mailto:mddchh617@gmail.com" Type="http://schemas.openxmlformats.org/officeDocument/2006/relationships/hyperlink" TargetMode="External"></Relationship><Relationship Id="rId297" Target="mailto:azimaidzni@gmail.com" Type="http://schemas.openxmlformats.org/officeDocument/2006/relationships/hyperlink" TargetMode="External"></Relationship><Relationship Id="rId298" Target="mailto:tadiustekwan02@gmail.com" Type="http://schemas.openxmlformats.org/officeDocument/2006/relationships/hyperlink" TargetMode="External"></Relationship><Relationship Id="rId299" Target="mailto:roadcarer7@gmail.com" Type="http://schemas.openxmlformats.org/officeDocument/2006/relationships/hyperlink" TargetMode="External"></Relationship><Relationship Id="rId300" Target="mailto:iibadurahman13@gmail.com" Type="http://schemas.openxmlformats.org/officeDocument/2006/relationships/hyperlink" TargetMode="External"></Relationship><Relationship Id="rId301" Target="mailto:muhammadariefpurnomo@gmail.com" Type="http://schemas.openxmlformats.org/officeDocument/2006/relationships/hyperlink" TargetMode="External"></Relationship><Relationship Id="rId302" Target="mailto:anggie.bahrend12@gmail.com" Type="http://schemas.openxmlformats.org/officeDocument/2006/relationships/hyperlink" TargetMode="External"></Relationship><Relationship Id="rId303" Target="mailto:ninditaeka@gmail.com" Type="http://schemas.openxmlformats.org/officeDocument/2006/relationships/hyperlink" TargetMode="External"></Relationship><Relationship Id="rId304" Target="mailto:dwisusanto.susanto@gmail.com" Type="http://schemas.openxmlformats.org/officeDocument/2006/relationships/hyperlink" TargetMode="External"></Relationship><Relationship Id="rId305" Target="mailto:yoaldede@gmail.com" Type="http://schemas.openxmlformats.org/officeDocument/2006/relationships/hyperlink" TargetMode="External"></Relationship><Relationship Id="rId306" Target="mailto:hanifibfaj94@gmail.com" Type="http://schemas.openxmlformats.org/officeDocument/2006/relationships/hyperlink" TargetMode="External"></Relationship><Relationship Id="rId307" Target="mailto:gaditia744@gmail.com" Type="http://schemas.openxmlformats.org/officeDocument/2006/relationships/hyperlink" TargetMode="External"></Relationship><Relationship Id="rId308" Target="mailto:sathifaa25@gmail.com" Type="http://schemas.openxmlformats.org/officeDocument/2006/relationships/hyperlink" TargetMode="External"></Relationship><Relationship Id="rId309" Target="mailto:mhmdfiqhh@gmail.com" Type="http://schemas.openxmlformats.org/officeDocument/2006/relationships/hyperlink" TargetMode="External"></Relationship><Relationship Id="rId310" Target="mailto:mustagimahsiti@gmail.com" Type="http://schemas.openxmlformats.org/officeDocument/2006/relationships/hyperlink" TargetMode="External"></Relationship><Relationship Id="rId311" Target="mailto:agungwiibowo09@gmail.com" Type="http://schemas.openxmlformats.org/officeDocument/2006/relationships/hyperlink" TargetMode="External"></Relationship><Relationship Id="rId312" Target="mailto:jksabdana@gmail.com" Type="http://schemas.openxmlformats.org/officeDocument/2006/relationships/hyperlink" TargetMode="External"></Relationship><Relationship Id="rId313" Target="mailto:dhiagram.kusuma@gmail.com" Type="http://schemas.openxmlformats.org/officeDocument/2006/relationships/hyperlink" TargetMode="External"></Relationship><Relationship Id="rId314" Target="mailto:tiarajulia9@gmail.com" Type="http://schemas.openxmlformats.org/officeDocument/2006/relationships/hyperlink" TargetMode="External"></Relationship><Relationship Id="rId315" Target="mailto:muhammadramadana@yahoo.com" Type="http://schemas.openxmlformats.org/officeDocument/2006/relationships/hyperlink" TargetMode="External"></Relationship><Relationship Id="rId316" Target="mailto:samirafebrita3@gmail.com" Type="http://schemas.openxmlformats.org/officeDocument/2006/relationships/hyperlink" TargetMode="External"></Relationship><Relationship Id="rId317" Target="mailto:bastensitinjak9@gmail.com" Type="http://schemas.openxmlformats.org/officeDocument/2006/relationships/hyperlink" TargetMode="External"></Relationship><Relationship Id="rId318" Target="mailto:yosiandhika@gmail.com" Type="http://schemas.openxmlformats.org/officeDocument/2006/relationships/hyperlink" TargetMode="External"></Relationship><Relationship Id="rId319" Target="mailto:hakiimalan@gmail.com" Type="http://schemas.openxmlformats.org/officeDocument/2006/relationships/hyperlink" TargetMode="External"></Relationship><Relationship Id="rId320" Target="mailto:khoirulrizki79@gmail.com" Type="http://schemas.openxmlformats.org/officeDocument/2006/relationships/hyperlink" TargetMode="External"></Relationship><Relationship Id="rId321" Target="mailto:annisaamandaputri2004@gmail.com" Type="http://schemas.openxmlformats.org/officeDocument/2006/relationships/hyperlink" TargetMode="External"></Relationship><Relationship Id="rId322" Target="mailto:ameliaherawati082@gmail.com" Type="http://schemas.openxmlformats.org/officeDocument/2006/relationships/hyperlink" TargetMode="External"></Relationship><Relationship Id="rId323" Target="mailto:Harisadhi8@gmail.com" Type="http://schemas.openxmlformats.org/officeDocument/2006/relationships/hyperlink" TargetMode="External"></Relationship><Relationship Id="rId324" Target="mailto:angelinakirana10@gmail.com" Type="http://schemas.openxmlformats.org/officeDocument/2006/relationships/hyperlink" TargetMode="External"></Relationship><Relationship Id="rId325" Target="mailto:nurlina@live.com" Type="http://schemas.openxmlformats.org/officeDocument/2006/relationships/hyperlink" TargetMode="External"></Relationship><Relationship Id="rId326" Target="mailto:faizal.career1@gmail.com" Type="http://schemas.openxmlformats.org/officeDocument/2006/relationships/hyperlink" TargetMode="External"></Relationship><Relationship Id="rId327" Target="mailto:bimantarafaqih@gmail.com" Type="http://schemas.openxmlformats.org/officeDocument/2006/relationships/hyperlink" TargetMode="External"></Relationship><Relationship Id="rId328" Target="mailto:aditaarifin40@gmail.com" Type="http://schemas.openxmlformats.org/officeDocument/2006/relationships/hyperlink" TargetMode="External"></Relationship><Relationship Id="rId329" Target="mailto:ramadhinan9@gmail.com" Type="http://schemas.openxmlformats.org/officeDocument/2006/relationships/hyperlink" TargetMode="External"></Relationship><Relationship Id="rId330" Target="mailto:tiaraalda14@gmail.com" Type="http://schemas.openxmlformats.org/officeDocument/2006/relationships/hyperlink" TargetMode="External"></Relationship><Relationship Id="rId331" Target="mailto:budiandresy@gmail.com" Type="http://schemas.openxmlformats.org/officeDocument/2006/relationships/hyperlink" TargetMode="External"></Relationship><Relationship Id="rId332" Target="mailto:yasminmhaliza24@gmail.com" Type="http://schemas.openxmlformats.org/officeDocument/2006/relationships/hyperlink" TargetMode="External"></Relationship><Relationship Id="rId333" Target="mailto:ahmzulfadli@gmail.com" Type="http://schemas.openxmlformats.org/officeDocument/2006/relationships/hyperlink" TargetMode="External"></Relationship><Relationship Id="rId334" Target="mailto:rizalnazari11@gmail.com" Type="http://schemas.openxmlformats.org/officeDocument/2006/relationships/hyperlink" TargetMode="External"></Relationship><Relationship Id="rId335" Target="mailto:muammar.khadafhi2@gmail.com" Type="http://schemas.openxmlformats.org/officeDocument/2006/relationships/hyperlink" TargetMode="External"></Relationship><Relationship Id="rId336" Target="mailto:annisaputris001@gmail.com" Type="http://schemas.openxmlformats.org/officeDocument/2006/relationships/hyperlink" TargetMode="External"></Relationship><Relationship Id="rId337" Target="mailto:Spodesede14@gmail.com" Type="http://schemas.openxmlformats.org/officeDocument/2006/relationships/hyperlink" TargetMode="External"></Relationship><Relationship Id="rId338" Target="mailto:hafshahbeta0107@gmail.com" Type="http://schemas.openxmlformats.org/officeDocument/2006/relationships/hyperlink" TargetMode="External"></Relationship><Relationship Id="rId339" Target="mailto:abafajar2@gmail.com" Type="http://schemas.openxmlformats.org/officeDocument/2006/relationships/hyperlink" TargetMode="External"></Relationship><Relationship Id="rId340" Target="mailto:muhammaddivaiosaputra@gmail.com" Type="http://schemas.openxmlformats.org/officeDocument/2006/relationships/hyperlink" TargetMode="External"></Relationship><Relationship Id="rId341" Target="mailto:jpchristofel02@gmail.com" Type="http://schemas.openxmlformats.org/officeDocument/2006/relationships/hyperlink" TargetMode="External"></Relationship><Relationship Id="rId342" Target="mailto:jochiephu23@gmail.com" Type="http://schemas.openxmlformats.org/officeDocument/2006/relationships/hyperlink" TargetMode="External"></Relationship><Relationship Id="rId343" Target="mailto:plzbli5@gmail.com" Type="http://schemas.openxmlformats.org/officeDocument/2006/relationships/hyperlink" TargetMode="External"></Relationship><Relationship Id="rId344" Target="mailto:fatayatasya19@gmail.com" Type="http://schemas.openxmlformats.org/officeDocument/2006/relationships/hyperlink" TargetMode="External"></Relationship><Relationship Id="rId345" Target="mailto:abdulmujiib02@gmail.com" Type="http://schemas.openxmlformats.org/officeDocument/2006/relationships/hyperlink" TargetMode="External"></Relationship><Relationship Id="rId346" Target="mailto:nugrohoadi26@gmail.com" Type="http://schemas.openxmlformats.org/officeDocument/2006/relationships/hyperlink" TargetMode="External"></Relationship><Relationship Id="rId347" Target="mailto:delabintang23yahoo@gmail.com" Type="http://schemas.openxmlformats.org/officeDocument/2006/relationships/hyperlink" TargetMode="External"></Relationship><Relationship Id="rId348" Target="mailto:yohanesgerardushagazai@gmail.com" Type="http://schemas.openxmlformats.org/officeDocument/2006/relationships/hyperlink" TargetMode="External"></Relationship><Relationship Id="rId349" Target="mailto:hasanachmad571@gmail.com" Type="http://schemas.openxmlformats.org/officeDocument/2006/relationships/hyperlink" TargetMode="External"></Relationship><Relationship Id="rId350" Target="mailto:awisnuf@gmail.com" Type="http://schemas.openxmlformats.org/officeDocument/2006/relationships/hyperlink" TargetMode="External"></Relationship><Relationship Id="rId351" Target="mailto:dimasriyanhidayat01@gmail.com" Type="http://schemas.openxmlformats.org/officeDocument/2006/relationships/hyperlink" TargetMode="External"></Relationship><Relationship Id="rId352" Target="mailto:Alfianrizkyr@gmail.com" Type="http://schemas.openxmlformats.org/officeDocument/2006/relationships/hyperlink" TargetMode="External"></Relationship><Relationship Id="rId353" Target="mailto:rayhanalirachman@gmail.com" Type="http://schemas.openxmlformats.org/officeDocument/2006/relationships/hyperlink" TargetMode="External"></Relationship><Relationship Id="rId354" Target="mailto:ahmzulfadli@gmail.com" Type="http://schemas.openxmlformats.org/officeDocument/2006/relationships/hyperlink" TargetMode="External"></Relationship><Relationship Id="rId355" Target="mailto:fazamfaris@gmail.com" Type="http://schemas.openxmlformats.org/officeDocument/2006/relationships/hyperlink" TargetMode="External"></Relationship><Relationship Id="rId356" Target="mailto:semeru.aga@gmail.com" Type="http://schemas.openxmlformats.org/officeDocument/2006/relationships/hyperlink" TargetMode="External"></Relationship><Relationship Id="rId357" Target="mailto:rafliando@gmail.com" Type="http://schemas.openxmlformats.org/officeDocument/2006/relationships/hyperlink" TargetMode="External"></Relationship><Relationship Id="rId358" Target="mailto:fidyampdrg@gmail.com" Type="http://schemas.openxmlformats.org/officeDocument/2006/relationships/hyperlink" TargetMode="External"></Relationship><Relationship Id="rId359" Target="mailto:isnainineni15@gmail.com" Type="http://schemas.openxmlformats.org/officeDocument/2006/relationships/hyperlink" TargetMode="External"></Relationship><Relationship Id="rId360" Target="mailto:Fahmiau17@gmail.com" Type="http://schemas.openxmlformats.org/officeDocument/2006/relationships/hyperlink" TargetMode="External"></Relationship><Relationship Id="rId361" Target="mailto:ekamr16@gmail.com" Type="http://schemas.openxmlformats.org/officeDocument/2006/relationships/hyperlink" TargetMode="External"></Relationship><Relationship Id="rId362" Target="mailto:ghinaa24putri@gmail.com" Type="http://schemas.openxmlformats.org/officeDocument/2006/relationships/hyperlink" TargetMode="External"></Relationship><Relationship Id="rId363" Target="mailto:salmanwilmart29@gmail.com" Type="http://schemas.openxmlformats.org/officeDocument/2006/relationships/hyperlink" TargetMode="External"></Relationship><Relationship Id="rId364" Target="mailto:Spodesede14@gmail.com" Type="http://schemas.openxmlformats.org/officeDocument/2006/relationships/hyperlink" TargetMode="External"></Relationship><Relationship Id="rId365" Target="mailto:asuszfngold34@gmail.com" Type="http://schemas.openxmlformats.org/officeDocument/2006/relationships/hyperlink" TargetMode="External"></Relationship><Relationship Id="rId366" Target="mailto:sekencois44@gmail.com" Type="http://schemas.openxmlformats.org/officeDocument/2006/relationships/hyperlink" TargetMode="External"></Relationship><Relationship Id="rId367" Target="mailto:prantionofernando@gmail.com" Type="http://schemas.openxmlformats.org/officeDocument/2006/relationships/hyperlink" TargetMode="External"></Relationship><Relationship Id="rId368" Target="mailto:justinchristian352@gmail.com" Type="http://schemas.openxmlformats.org/officeDocument/2006/relationships/hyperlink" TargetMode="External"></Relationship><Relationship Id="rId369" Target="mailto:fathurali942@gmail.com" Type="http://schemas.openxmlformats.org/officeDocument/2006/relationships/hyperlink" TargetMode="External"></Relationship><Relationship Id="rId370" Target="mailto:syeihaangelina@gmail.com" Type="http://schemas.openxmlformats.org/officeDocument/2006/relationships/hyperlink" TargetMode="External"></Relationship><Relationship Id="rId371" Target="mailto:jochiephu23@gmail.com" Type="http://schemas.openxmlformats.org/officeDocument/2006/relationships/hyperlink" TargetMode="External"></Relationship><Relationship Id="rId372" Target="mailto:mandaamr05@gmail.com" Type="http://schemas.openxmlformats.org/officeDocument/2006/relationships/hyperlink" TargetMode="External"></Relationship><Relationship Id="rId373" Target="mailto:karir.hafidh@gmail.com" Type="http://schemas.openxmlformats.org/officeDocument/2006/relationships/hyperlink" TargetMode="External"></Relationship><Relationship Id="rId374" Target="../drawings/drawing1.xml" Type="http://schemas.openxmlformats.org/officeDocument/2006/relationships/drawing"></Relationship><Relationship Id="rId375" Target="../drawings/vmlDrawing1.vml" Type="http://schemas.openxmlformats.org/officeDocument/2006/relationships/vmlDrawing"></Relationship><Relationship Id="rId376" Target="../comments1.xml" Type="http://schemas.openxmlformats.org/officeDocument/2006/relationships/comments"></Relationship></Relationships>
</file>

<file path=xl/worksheets/_rels/sheet5.xml.rels><?xml version="1.0" encoding="UTF-8" standalone="yes"?>
<Relationships xmlns="http://schemas.openxmlformats.org/package/2006/relationships"><Relationship Id="rId1" Target="https://www.instagram.com/p/DSwRhxhkTGm/" Type="http://schemas.openxmlformats.org/officeDocument/2006/relationships/hyperlink" TargetMode="External"></Relationship><Relationship Id="rId2" Target="https://www.instagram.com/p/DTIKFCGj_2X/?utm_source=ig_web_copy_link&amp;igsh=NTc4MTIwNjQ2YQ==" Type="http://schemas.openxmlformats.org/officeDocument/2006/relationships/hyperlink" TargetMode="External"></Relationship><Relationship Id="rId3" Target="https://www.instagram.com/p/DTIKFCGj_2X/?utm_source=ig_web_copy_link&amp;igsh=NTc4MTIwNjQ2YQ==" Type="http://schemas.openxmlformats.org/officeDocument/2006/relationships/hyperlink" TargetMode="External"></Relationship><Relationship Id="rId4" Target="https://www.instagram.com/p/DTIKFCGj_2X/?utm_source=ig_web_copy_link&amp;igsh=NTc4MTIwNjQ2YQ==" Type="http://schemas.openxmlformats.org/officeDocument/2006/relationships/hyperlink" TargetMode="External"></Relationship><Relationship Id="rId5" Target="https://www.instagram.com/p/DTIKFCGj_2X/?utm_source=ig_web_copy_link&amp;igsh=NTc4MTIwNjQ2YQ==" Type="http://schemas.openxmlformats.org/officeDocument/2006/relationships/hyperlink" TargetMode="External"></Relationship><Relationship Id="rId6" Target="https://www.linkedin.com/pulse/running-heal-mental-wellness-spatial-business-opportunities-xizvc/" Type="http://schemas.openxmlformats.org/officeDocument/2006/relationships/hyperlink" TargetMode="External"></Relationship></Relationships>
</file>

<file path=xl/worksheets/_rels/sheet10.xml.rels><?xml version="1.0" encoding="UTF-8" standalone="yes"?>
<Relationships xmlns="http://schemas.openxmlformats.org/package/2006/relationships"><Relationship Id="rId1" Target="https://www.canva.com/design/DAG-00fH3MQ/G5cb7XtEwbGFJkY0wJdsvw/edit?continue_in_browser=true" Type="http://schemas.openxmlformats.org/officeDocument/2006/relationships/hyperlink" TargetMode="External"></Relationship><Relationship Id="rId2" Target="https://csgh0664zke9.sg.larksuite.com/docx/VgkGdzD1ooGWIzxeABPl796mgTh" Type="http://schemas.openxmlformats.org/officeDocument/2006/relationships/hyperlink" TargetMode="External"></Relationship><Relationship Id="rId3" Target="https://mapid25-my.sharepoint.com/:x:/g/personal/business_mapid25_onmicrosoft_com/IQAyOKtWyijYQ67rd-P1ZkKVAc95AHngnshNm_7o7ifQECc?e=zWOqyc" Type="http://schemas.openxmlformats.org/officeDocument/2006/relationships/hyperlink" TargetMode="External"></Relationship><Relationship Id="rId4" Target="https://csgh0664zke9.sg.larksuite.com/docx/JRUrdxT9Docbf9x7ujll3lCygbb" Type="http://schemas.openxmlformats.org/officeDocument/2006/relationships/hyperlink" TargetMode="External"></Relationship><Relationship Id="rId5" Target="https://mapid25-my.sharepoint.com/:w:/g/personal/business_mapid25_onmicrosoft_com/IQAquYyFJvmTT6VYZWQRkjBEAc8W98hElTlz9aolblWYZHo?e=D4Xfba" Type="http://schemas.openxmlformats.org/officeDocument/2006/relationships/hyperlink" TargetMode="External"></Relationship><Relationship Id="rId6" Target="https://zsga8gvhw9f6.sg.larksuite.com/sheets/EylBselK0ht90Ptq9U3l3dqxgwo" Type="http://schemas.openxmlformats.org/officeDocument/2006/relationships/hyperlink" TargetMode="External"></Relationship><Relationship Id="rId7" Target="https://mapid25-my.sharepoint.com/:x:/g/personal/business_mapid25_onmicrosoft_com/IQAqo87LtjxtRK6sYxH3JB6yAYVaw8LHIv5AfHO_49CZiv8?e=K3uprA" Type="http://schemas.openxmlformats.org/officeDocument/2006/relationships/hyperlink" TargetMode="External"></Relationship><Relationship Id="rId8" Target="https://mapid25-my.sharepoint.com/:x:/g/personal/business_mapid25_onmicrosoft_com/IQDw_B9lxJLJR43tzZ1F8fWGAS-2sXIaipb58dHvkix_Pdk?e=gdc9VK" Type="http://schemas.openxmlformats.org/officeDocument/2006/relationships/hyperlink" TargetMode="External"></Relationship><Relationship Id="rId9" Target="https://mapid25-my.sharepoint.com/:w:/g/personal/business_mapid25_onmicrosoft_com/IQBxHyldQ5BCQZ2KSrr2AKSaAcRKLt-DjhB8iXYPIrRU8uM?e=mj55AP" Type="http://schemas.openxmlformats.org/officeDocument/2006/relationships/hyperlink" TargetMode="External"></Relationship><Relationship Id="rId10" Target="https://mapid25-my.sharepoint.com/:w:/g/personal/business_mapid25_onmicrosoft_com/IQAquYyFJvmTT6VYZWQRkjBEAc8W98hElTlz9aolblWYZHo?e=D4Xfba" Type="http://schemas.openxmlformats.org/officeDocument/2006/relationships/hyperlink" TargetMode="External"></Relationship><Relationship Id="rId11" Target="http://kattegat.ai" Type="http://schemas.openxmlformats.org/officeDocument/2006/relationships/hyperlink" TargetMode="External"></Relationship><Relationship Id="rId12" Target="https://csgh0664zke9.sg.larksuite.com/docx/BHX4dF2Vxohk3kx6HE6lq1WggYb?pre_pathname=/drive/folder/ZJruf8nsSl8l5ed70H6lZcbdgmh" Type="http://schemas.openxmlformats.org/officeDocument/2006/relationships/hyperlink" TargetMode="External"></Relationship><Relationship Id="rId13" Target="https://www.canva.com/design/DAHDm4J1ZLs/plZ6i4u9qVrOcKIUKzJCMg/edit" Type="http://schemas.openxmlformats.org/officeDocument/2006/relationships/hyperlink" TargetMode="External"></Relationship><Relationship Id="rId14" Target="https://csgh0664zke9.sg.larksuite.com/docx/JtIpdm4gtobiF6xLTQtlXxixgHc?from=from_copylink" Type="http://schemas.openxmlformats.org/officeDocument/2006/relationships/hyperlink" TargetMode="External"></Relationship><Relationship Id="rId15" Target="https://mapidbusinessteam.netlify.app/" Type="http://schemas.openxmlformats.org/officeDocument/2006/relationships/hyperlink" TargetMode="External"></Relationship><Relationship Id="rId16" Target="https://csgh0664zke9.sg.larksuite.com/docx/QOxBdTBdooVz93xCRbrlPZmFg6d" Type="http://schemas.openxmlformats.org/officeDocument/2006/relationships/hyperlink" TargetMode="External"></Relationship><Relationship Id="rId17" Target="https://csgh0664zke9.sg.larksuite.com/docx/FGNLdnwuBoDxbYxlaqglZxvLgKe" Type="http://schemas.openxmlformats.org/officeDocument/2006/relationships/hyperlink" TargetMode="External"></Relationship><Relationship Id="rId18" Target="https://csgh0664zke9.sg.larksuite.com/docx/H2X9deEPbo6Mg6xKRwxlt3Y4gJb?pre_pathname=/drive/folder/Y7R9f2it8l0IMjdu3Y0ladnlgvb" Type="http://schemas.openxmlformats.org/officeDocument/2006/relationships/hyperlink" TargetMode="External"></Relationship><Relationship Id="rId19" Target="http://mapid.co.id/SourceCodeBBWSCilicis" Type="http://schemas.openxmlformats.org/officeDocument/2006/relationships/hyperlink" TargetMode="External"></Relationship><Relationship Id="rId20" Target="https://csgh0664zke9.sg.larksuite.com/docx/R9Wqdu7CJoWb63xjdEVl7ASngkd" Type="http://schemas.openxmlformats.org/officeDocument/2006/relationships/hyperlink" TargetMode="External"></Relationship><Relationship Id="rId21" Target="https://csgh0664zke9.sg.larksuite.com/docx/WA4xdj22eoEUHQxebaclZf9agFB?from=from_copylink" Type="http://schemas.openxmlformats.org/officeDocument/2006/relationships/hyperlink" TargetMode="External"></Relationship><Relationship Id="rId22" Target="https://share.google/xPDGEBCt6ycEqmJV4" Type="http://schemas.openxmlformats.org/officeDocument/2006/relationships/hyperlink" TargetMode="External"></Relationship><Relationship Id="rId23" Target="https://csgh0664zke9.sg.larksuite.com/sheets/TxQCsOc9chcXLQtvjyAlEpwbgyd?sheet=0Uneta" Type="http://schemas.openxmlformats.org/officeDocument/2006/relationships/hyperlink" TargetMode="External"></Relationship><Relationship Id="rId24" Target="https://mapid25-my.sharepoint.com/:w:/g/personal/business_mapid25_onmicrosoft_com/IQAtMvFV52iGS4mycNxtbFwBAfccWPgwcJNElhDAWmX8ukU?e=g1b7iK" Type="http://schemas.openxmlformats.org/officeDocument/2006/relationships/hyperlink" TargetMode="External"></Relationship><Relationship Id="rId25" Target="https://csgh0664zke9.sg.larksuite.com/docx/JRUrdxT9Docbf9x7ujll3lCygbb" Type="http://schemas.openxmlformats.org/officeDocument/2006/relationships/hyperlink" TargetMode="External"></Relationship><Relationship Id="rId26" Target="https://mapid25-my.sharepoint.com/:x:/r/personal/business_mapid25_onmicrosoft_com/_layouts/15/Doc.aspx?sourcedoc={D641DA54-D041-449C-9E4C-95DE72655618}&amp;file=NABATI CALCULATION.xlsx&amp;action=default&amp;mobileredirect=true" Type="http://schemas.openxmlformats.org/officeDocument/2006/relationships/hyperlink" TargetMode="External"></Relationship><Relationship Id="rId27" Target="https://mapid25-my.sharepoint.com/:w:/g/personal/business_mapid25_onmicrosoft_com/IQBzWkXMTlSITbUFGmbSXry-AV_fkiyn-s63zZR1rDvGwno?e=SS8KqP" Type="http://schemas.openxmlformats.org/officeDocument/2006/relationships/hyperlink" TargetMode="External"></Relationship><Relationship Id="rId28" Target="https://csgh0664zke9.sg.larksuite.com/docx/H3UKdaqCwoeD43x0Y4klNQfbgwb?from=from_copylink" Type="http://schemas.openxmlformats.org/officeDocument/2006/relationships/hyperlink" TargetMode="External"></Relationship><Relationship Id="rId29" Target="https://mapid25-my.sharepoint.com/:b:/g/personal/business_mapid25_onmicrosoft_com/IQBGKDDY_JjcS7sZz78RyjRQAdaNSh-rt4WBrDXq_mMpxig?e=nXicWM" Type="http://schemas.openxmlformats.org/officeDocument/2006/relationships/hyperlink" TargetMode="External"></Relationship><Relationship Id="rId30" Target="https://csgh0664zke9.sg.larksuite.com/wiki/JuIow1eaQiivEpkTjEHliyMHgRf?from=from_copylink" Type="http://schemas.openxmlformats.org/officeDocument/2006/relationships/hyperlink" TargetMode="External"></Relationship><Relationship Id="rId31" Target="https://www.canva.com/design/DAG-MSNUGlM/pBeY0YV0x3Bzsq4JpvZUrg/edit" Type="http://schemas.openxmlformats.org/officeDocument/2006/relationships/hyperlink" TargetMode="External"></Relationship><Relationship Id="rId32" Target="https://mapid25-my.sharepoint.com/:w:/g/personal/business_mapid25_onmicrosoft_com/IQBzWkXMTlSITbUFGmbSXry-AV_fkiyn-s63zZR1rDvGwno?e=ULKc7r" Type="http://schemas.openxmlformats.org/officeDocument/2006/relationships/hyperlink" TargetMode="External"></Relationship><Relationship Id="rId33" Target="https://csgh0664zke9.sg.larksuite.com/docx/Zosed1rqhoUFLUxB2KslkEmmg4d" Type="http://schemas.openxmlformats.org/officeDocument/2006/relationships/hyperlink" TargetMode="External"></Relationship><Relationship Id="rId34" Target="https://mapid25-my.sharepoint.com/:w:/g/personal/business_mapid25_onmicrosoft_com/IQCn731vnV5CSqiJ36d0QyrfAT72QvLAk7XuZ05snvBpDfs?e=O2yExq" Type="http://schemas.openxmlformats.org/officeDocument/2006/relationships/hyperlink" TargetMode="External"></Relationship><Relationship Id="rId35" Target="https://mapid25-my.sharepoint.com/:w:/g/personal/business_mapid25_onmicrosoft_com/IQA6mgb9Qe5JSL4PFyKJpBPVAS8-THXubul5-dfu7iJSjoU?e=o6aDT2" Type="http://schemas.openxmlformats.org/officeDocument/2006/relationships/hyperlink" TargetMode="External"></Relationship><Relationship Id="rId36" Target="https://smartwater.mapid.io/" Type="http://schemas.openxmlformats.org/officeDocument/2006/relationships/hyperlink" TargetMode="External"></Relationship><Relationship Id="rId37" Target="https://mapid25-my.sharepoint.com/:x:/g/personal/business_mapid25_onmicrosoft_com/IQCwiNGfE_UkSrUAGY5JVVI9AezBu0RckT-Eww3Sv6wb2ok?e=b2l5Gp" Type="http://schemas.openxmlformats.org/officeDocument/2006/relationships/hyperlink" TargetMode="External"></Relationship><Relationship Id="rId38" Target="https://www.canva.com/design/DAHFApucXlo/7IPvQt140gViixtowk0xjg/edit?utm_content=DAHFApucXlo&amp;utm_campaign=designshare&amp;utm_medium=link2&amp;utm_source=sharebutton" Type="http://schemas.openxmlformats.org/officeDocument/2006/relationships/hyperlink" TargetMode="External"></Relationship><Relationship Id="rId39" Target="https://csgh0664zke9.sg.larksuite.com/docx/DjyldMxMhoKevvx4kCdlR5Argrd?pre_pathname=/drive/folder/JDMvfJSBilvUJUdfvp3l5XmogFg" Type="http://schemas.openxmlformats.org/officeDocument/2006/relationships/hyperlink" TargetMode="External"></Relationship><Relationship Id="rId40" Target="https://csgh0664zke9.sg.larksuite.com/docx/IfvgdFaM8o3WRuxlHSYluRNugke)" Type="http://schemas.openxmlformats.org/officeDocument/2006/relationships/hyperlink" TargetMode="External"></Relationship><Relationship Id="rId41" Target="https://csgh0664zke9.sg.larksuite.com/docx/DjyldMxMhoKevvx4kCdlR5Argrd?pre_pathname=/drive/folder/JDMvfJSBilvUJUdfvp3l5XmogFg" Type="http://schemas.openxmlformats.org/officeDocument/2006/relationships/hyperlink" TargetMode="External"></Relationship><Relationship Id="rId42" Target="https://csgh0664zke9.sg.larksuite.com/sheets/R1nRsShRFhS48rtIqBNlNiBSgSe?sheet=x5yMru" Type="http://schemas.openxmlformats.org/officeDocument/2006/relationships/hyperlink" TargetMode="External"></Relationship><Relationship Id="rId43" Target="https://mapid25-my.sharepoint.com/:w:/g/personal/business_mapid25_onmicrosoft_com/IQAZIEG04xhkRbEGw9LP59eRAeZZN3t8pZY9Raiv4cDM3Bs?e=JTIpg3" Type="http://schemas.openxmlformats.org/officeDocument/2006/relationships/hyperlink" TargetMode="External"></Relationship><Relationship Id="rId44" Target="https://mapid25-my.sharepoint.com/:w:/g/personal/business_mapid25_onmicrosoft_com/IQDtsZyqCA6tS6ax51FmXl1kAThBqd-TlPS5Bld-RerFWZE?e=2QBjeE" Type="http://schemas.openxmlformats.org/officeDocument/2006/relationships/hyperlink" TargetMode="External"></Relationship><Relationship Id="rId45" Target="http://mapid.co.id/SourceCodeBBWSCilicis" Type="http://schemas.openxmlformats.org/officeDocument/2006/relationships/hyperlink" TargetMode="External"></Relationship><Relationship Id="rId46" Target="https://csgh0664zke9.sg.larksuite.com/docx/JRUrdxT9Docbf9x7ujll3lCygbb" Type="http://schemas.openxmlformats.org/officeDocument/2006/relationships/hyperlink" TargetMode="External"></Relationship><Relationship Id="rId47" Target="https://mapid25-my.sharepoint.com/:x:/g/personal/business_mapid25_onmicrosoft_com/IQBfqY9O4iJCTJPuQZr_wtWkAWSuETrh4ORfmLA_9MDl-IM?e=OFCgb9" Type="http://schemas.openxmlformats.org/officeDocument/2006/relationships/hyperlink" TargetMode="External"></Relationship><Relationship Id="rId48" Target="https://csgh0664zke9.sg.larksuite.com/docx/DjyldMxMhoKevvx4kCdlR5Argrd?pre_pathname=/drive/folder/JDMvfJSBilvUJUdfvp3l5XmogFg" Type="http://schemas.openxmlformats.org/officeDocument/2006/relationships/hyperlink" TargetMode="External"></Relationship><Relationship Id="rId49" Target="../drawings/vmlDrawing2.vml" Type="http://schemas.openxmlformats.org/officeDocument/2006/relationships/vmlDrawing"></Relationship><Relationship Id="rId50" Target="../comments2.xml" Type="http://schemas.openxmlformats.org/officeDocument/2006/relationships/comments"></Relationship><Relationship Id="rId51" Target="../threadedComments/threadedComment2.xml" Type="http://schemas.microsoft.com/office/2017/10/relationships/threadedComment"></Relationship></Relationships>
</file>

<file path=xl/worksheets/_rels/sheet11.xml.rels><?xml version="1.0" encoding="UTF-8" standalone="yes"?>
<Relationships xmlns="http://schemas.openxmlformats.org/package/2006/relationships"><Relationship Id="rId1" Target="https://mapid25-my.sharepoint.com/:w:/g/personal/business_mapid25_onmicrosoft_com/IQC1h14fsA20Sae4Va8s6M65AbhvOhmM6b1zWjCKzU9y9RQ?e=bMpEut" Type="http://schemas.openxmlformats.org/officeDocument/2006/relationships/hyperlink" TargetMode="External"></Relationship><Relationship Id="rId2" Target="https://mapid25-my.sharepoint.com/:w:/g/personal/business_mapid25_onmicrosoft_com/IQBYNW8sJMaBQJ5gmGIaCq18Afd08Oy4Ud5MZPro0j4rv3E?e=E4IrxY" Type="http://schemas.openxmlformats.org/officeDocument/2006/relationships/hyperlink" TargetMode="External"></Relationship><Relationship Id="rId3" Target="mailto:joincreop@gmail.com" Type="http://schemas.openxmlformats.org/officeDocument/2006/relationships/hyperlink" TargetMode="External"></Relationship><Relationship Id="rId4" Target="../drawings/drawing2.xml" Type="http://schemas.openxmlformats.org/officeDocument/2006/relationships/drawing"></Relationship></Relationships>
</file>

<file path=xl/worksheets/_rels/sheet13.xml.rels><?xml version="1.0" encoding="UTF-8" standalone="yes"?>
<Relationships xmlns="http://schemas.openxmlformats.org/package/2006/relationships"><Relationship Id="rId1" Target="https://mapid.co.id/MAPIDforGisara" Type="http://schemas.openxmlformats.org/officeDocument/2006/relationships/hyperlink" TargetMode="External"></Relationship><Relationship Id="rId2" Target="https://www.canva.com/design/DAG7MhHBnYM/2RGZI6v24YaQ4yYUcM4WUg/edit?utm_content=DAG7MhHBnYM&amp;utm_campaign=designshare&amp;utm_medium=link2&amp;utm_source=sharebutton" Type="http://schemas.openxmlformats.org/officeDocument/2006/relationships/hyperlink" TargetMode="External"></Relationship><Relationship Id="rId3" Target="mailto:dewi.madyani@takeda.com" Type="http://schemas.openxmlformats.org/officeDocument/2006/relationships/hyperlink" TargetMode="External"></Relationship><Relationship Id="rId4" Target="mailto:dewi.madyani@takeda.com" Type="http://schemas.openxmlformats.org/officeDocument/2006/relationships/hyperlink" TargetMode="External"></Relationship><Relationship Id="rId5" Target="mailto:&#8206;indrawan.fauzi@cinema21.co.id" Type="http://schemas.openxmlformats.org/officeDocument/2006/relationships/hyperlink" TargetMode="External"></Relationship><Relationship Id="rId6" Target="mailto:sylvia.monica@ocbc.id" Type="http://schemas.openxmlformats.org/officeDocument/2006/relationships/hyperlink" TargetMode="External"></Relationship><Relationship Id="rId7" Target="https://mapid.co.id/CyberJaya" Type="http://schemas.openxmlformats.org/officeDocument/2006/relationships/hyperlink" TargetMode="External"></Relationship><Relationship Id="rId8" Target="https://csgh0664zke9.sg.larksuite.com/file/Jnq3bU6vxoZH7Gx7oWFlEFoLgkb?from=from_copylink" Type="http://schemas.openxmlformats.org/officeDocument/2006/relationships/hyperlink" TargetMode="External"></Relationship><Relationship Id="rId9" Target="mailto:nurkholis.ari@iconpln.co.id" Type="http://schemas.openxmlformats.org/officeDocument/2006/relationships/hyperlink" TargetMode="External"></Relationship><Relationship Id="rId10" Target="https://www.canva.com/design/DAG2rlohTZI/OOQQEFbtN_oaupn5LVSCzA/edit" Type="http://schemas.openxmlformats.org/officeDocument/2006/relationships/hyperlink" TargetMode="External"></Relationship><Relationship Id="rId11" Target="https://www.canva.com/design/DAG7MhHBnYM/2RGZI6v24YaQ4yYUcM4WUg/edit?utm_content=DAG7MhHBnYM&amp;utm_campaign=designshare&amp;utm_medium=link2&amp;utm_source=sharebutton" Type="http://schemas.openxmlformats.org/officeDocument/2006/relationships/hyperlink" TargetMode="External"></Relationship><Relationship Id="rId12" Target="https://www.canva.com/design/DAG-8Jf2K5Q/aZSWwFEyTZ6dWrIEYHpP4A/edit?utm_content=DAG-8Jf2K5Q&amp;utm_campaign=designshare&amp;utm_medium=link2&amp;utm_source=sharebutton" Type="http://schemas.openxmlformats.org/officeDocument/2006/relationships/hyperlink" TargetMode="External"></Relationship><Relationship Id="rId13" Target="mailto:radhi.ardhie@metranet.co.id" Type="http://schemas.openxmlformats.org/officeDocument/2006/relationships/hyperlink" TargetMode="External"></Relationship><Relationship Id="rId14" Target="mailto:luanacastillo@shopee.com" Type="http://schemas.openxmlformats.org/officeDocument/2006/relationships/hyperlink" TargetMode="External"></Relationship><Relationship Id="rId15" Target="mailto:lukito.galuh@toyota.astra.co.id" Type="http://schemas.openxmlformats.org/officeDocument/2006/relationships/hyperlink" TargetMode="External"></Relationship><Relationship Id="rId16" Target="mailto:fransiscus.johan@erajaya.com" Type="http://schemas.openxmlformats.org/officeDocument/2006/relationships/hyperlink" TargetMode="External"></Relationship><Relationship Id="rId17" Target="mailto:rhea.danaparamita@english1.com" Type="http://schemas.openxmlformats.org/officeDocument/2006/relationships/hyperlink" TargetMode="External"></Relationship><Relationship Id="rId18" Target="mailto:kawano@indokoei.co.id" Type="http://schemas.openxmlformats.org/officeDocument/2006/relationships/hyperlink" TargetMode="External"></Relationship><Relationship Id="rId19" Target="mailto:simon.pasito@hypernet.co.id" Type="http://schemas.openxmlformats.org/officeDocument/2006/relationships/hyperlink" TargetMode="External"></Relationship><Relationship Id="rId20" Target="https://www.canva.com/design/DAG78v-baWo/5BobnRbsZ8Aqwnq1zgqrxg/edit?utm_content=DAG78v-baWo&amp;utm_campaign=designshare&amp;utm_medium=link2&amp;utm_source=sharebutton" Type="http://schemas.openxmlformats.org/officeDocument/2006/relationships/hyperlink" TargetMode="External"></Relationship><Relationship Id="rId21" Target="https://www.canva.com/design/DAG2rlohTZI/OOQQEFbtN_oaupn5LVSCzA/edit" Type="http://schemas.openxmlformats.org/officeDocument/2006/relationships/hyperlink" TargetMode="External"></Relationship><Relationship Id="rId22" Target="https://www.canva.com/design/DAGqH3HTkqU/sBZO-dIh7YVfYRJHUQ2dEA/edit?utm_content=DAGqH3HTkqU&amp;utm_campaign=designshare&amp;utm_medium=link2&amp;utm_source=sharebutton" Type="http://schemas.openxmlformats.org/officeDocument/2006/relationships/hyperlink" TargetMode="External"></Relationship><Relationship Id="rId23" Target="https://mapid.co.id/MAPIDforHypernet" Type="http://schemas.openxmlformats.org/officeDocument/2006/relationships/hyperlink" TargetMode="External"></Relationship><Relationship Id="rId24" Target="https://mapid.co.id/MAPIDforKino" Type="http://schemas.openxmlformats.org/officeDocument/2006/relationships/hyperlink" TargetMode="External"></Relationship><Relationship Id="rId25" Target="mailto:rhea.danaparamita@english1.com" Type="http://schemas.openxmlformats.org/officeDocument/2006/relationships/hyperlink" TargetMode="External"></Relationship><Relationship Id="rId26" Target="mailto:dolat@nec.co.id" Type="http://schemas.openxmlformats.org/officeDocument/2006/relationships/hyperlink" TargetMode="External"></Relationship><Relationship Id="rId27" Target="https://www.canva.com/design/DAG78v-baWo/5BobnRbsZ8Aqwnq1zgqrxg/edit?utm_content=DAG78v-baWo&amp;utm_campaign=designshare&amp;utm_medium=link2&amp;utm_source=sharebutton" Type="http://schemas.openxmlformats.org/officeDocument/2006/relationships/hyperlink" TargetMode="External"></Relationship><Relationship Id="rId28" Target="mailto:simon.pasito@hypernet.co.id" Type="http://schemas.openxmlformats.org/officeDocument/2006/relationships/hyperlink" TargetMode="External"></Relationship><Relationship Id="rId29" Target="mailto:kawano@indokoei.co.id" Type="http://schemas.openxmlformats.org/officeDocument/2006/relationships/hyperlink" TargetMode="External"></Relationship><Relationship Id="rId30" Target="mailto:irwansyah@psn.co.id" Type="http://schemas.openxmlformats.org/officeDocument/2006/relationships/hyperlink" TargetMode="External"></Relationship><Relationship Id="rId31" Target="mailto:fransiscus.johan@erajaya.com" Type="http://schemas.openxmlformats.org/officeDocument/2006/relationships/hyperlink" TargetMode="External"></Relationship><Relationship Id="rId32" Target="mailto:radhi.ardhie@metranet.co.id" Type="http://schemas.openxmlformats.org/officeDocument/2006/relationships/hyperlink" TargetMode="External"></Relationship><Relationship Id="rId33" Target="https://www.canva.com/design/DAG2kqp6kxQ/xim5llb971WKriomuoOvaA/edit" Type="http://schemas.openxmlformats.org/officeDocument/2006/relationships/hyperlink" TargetMode="External"></Relationship><Relationship Id="rId34" Target="https://mapid.co.id/MAPIDforKino" Type="http://schemas.openxmlformats.org/officeDocument/2006/relationships/hyperlink" TargetMode="External"></Relationship><Relationship Id="rId35" Target="http://mapid.co.id/MAPIDforErajaya" Type="http://schemas.openxmlformats.org/officeDocument/2006/relationships/hyperlink" TargetMode="External"></Relationship><Relationship Id="rId36" Target="https://www.canva.com/design/DAG30bLo_NM/rh3SdJlsLpjDp9E1t_pRCw/edit" Type="http://schemas.openxmlformats.org/officeDocument/2006/relationships/hyperlink" TargetMode="External"></Relationship><Relationship Id="rId37" Target="mailto:jismil.lathif@gmail.com" Type="http://schemas.openxmlformats.org/officeDocument/2006/relationships/hyperlink" TargetMode="External"></Relationship><Relationship Id="rId38" Target="https://mapid.co.id/MAPIDforHypernet" Type="http://schemas.openxmlformats.org/officeDocument/2006/relationships/hyperlink" TargetMode="External"></Relationship><Relationship Id="rId39" Target="https://mapid.co.id/MAPIDforPelindo" Type="http://schemas.openxmlformats.org/officeDocument/2006/relationships/hyperlink" TargetMode="External"></Relationship><Relationship Id="rId40" Target="https://mapid.co.id/CyberJaya" Type="http://schemas.openxmlformats.org/officeDocument/2006/relationships/hyperlink" TargetMode="External"></Relationship><Relationship Id="rId41" Target="mailto:jismil.lathif@gmail.com" Type="http://schemas.openxmlformats.org/officeDocument/2006/relationships/hyperlink" TargetMode="External"></Relationship><Relationship Id="rId42" Target="https://mapid.co.id/MAPIDforPelindo" Type="http://schemas.openxmlformats.org/officeDocument/2006/relationships/hyperlink" TargetMode="External"></Relationship><Relationship Id="rId43" Target="https://www.canva.com/design/DAG2kqp6kxQ/xim5llb971WKriomuoOvaA/edit" Type="http://schemas.openxmlformats.org/officeDocument/2006/relationships/hyperlink" TargetMode="External"></Relationship><Relationship Id="rId44" Target="https://www.canva.com/design/DAG30bLo_NM/rh3SdJlsLpjDp9E1t_pRCw/edit" Type="http://schemas.openxmlformats.org/officeDocument/2006/relationships/hyperlink" TargetMode="External"></Relationship><Relationship Id="rId45" Target="https://csgh0664zke9.sg.larksuite.com/file/Jnq3bU6vxoZH7Gx7oWFlEFoLgkb?from=from_copylink" Type="http://schemas.openxmlformats.org/officeDocument/2006/relationships/hyperlink" TargetMode="External"></Relationship><Relationship Id="rId46" Target="mailto:luanacastillo@shopee.com" Type="http://schemas.openxmlformats.org/officeDocument/2006/relationships/hyperlink" TargetMode="External"></Relationship><Relationship Id="rId47" Target="https://www.canva.com/design/DAG_MvGpVQk/1872v9AIXn2mZYo7pnf4vQ/edit?utm_content=DAG_MvGpVQk&amp;utm_campaign=designshare&amp;utm_medium=link2&amp;utm_source=sharebutton" Type="http://schemas.openxmlformats.org/officeDocument/2006/relationships/hyperlink" TargetMode="External"></Relationship><Relationship Id="rId48" Target="http://mapid.co.id/MAPIDforErajaya" Type="http://schemas.openxmlformats.org/officeDocument/2006/relationships/hyperlink" TargetMode="External"></Relationship><Relationship Id="rId49" Target="https://www.canva.com/design/DAG-8Jf2K5Q/aZSWwFEyTZ6dWrIEYHpP4A/edit?utm_content=DAG-8Jf2K5Q&amp;utm_campaign=designshare&amp;utm_medium=link2&amp;utm_source=sharebutton" Type="http://schemas.openxmlformats.org/officeDocument/2006/relationships/hyperlink" TargetMode="External"></Relationship><Relationship Id="rId50" Target="mailto:antonius.wisanggeni@biznetnetworks.com" Type="http://schemas.openxmlformats.org/officeDocument/2006/relationships/hyperlink" TargetMode="External"></Relationship><Relationship Id="rId51" Target="mailto:lukito.galuh@toyota.astra.co.id" Type="http://schemas.openxmlformats.org/officeDocument/2006/relationships/hyperlink" TargetMode="External"></Relationship><Relationship Id="rId52" Target="mailto:irwansyah@psn.co.id" Type="http://schemas.openxmlformats.org/officeDocument/2006/relationships/hyperlink" TargetMode="External"></Relationship><Relationship Id="rId53" Target="mailto:antonius.wisanggeni@biznetnetworks.com" Type="http://schemas.openxmlformats.org/officeDocument/2006/relationships/hyperlink" TargetMode="External"></Relationship><Relationship Id="rId54" Target="mailto:nurkholis.ari@iconpln.co.id" Type="http://schemas.openxmlformats.org/officeDocument/2006/relationships/hyperlink" TargetMode="External"></Relationship><Relationship Id="rId55" Target="https://mapid.co.id/MAPIDforGisara" Type="http://schemas.openxmlformats.org/officeDocument/2006/relationships/hyperlink" TargetMode="External"></Relationship><Relationship Id="rId56" Target="mailto:dolat@nec.co.id" Type="http://schemas.openxmlformats.org/officeDocument/2006/relationships/hyperlink" TargetMode="External"></Relationship><Relationship Id="rId57" Target="mailto:sylvia.monica@ocbc.id" Type="http://schemas.openxmlformats.org/officeDocument/2006/relationships/hyperlink" TargetMode="External"></Relationship><Relationship Id="rId58" Target="https://www.canva.com/design/DAGqH3HTkqU/sBZO-dIh7YVfYRJHUQ2dEA/edit?utm_content=DAGqH3HTkqU&amp;utm_campaign=designshare&amp;utm_medium=link2&amp;utm_source=sharebutton" Type="http://schemas.openxmlformats.org/officeDocument/2006/relationships/hyperlink" TargetMode="External"></Relationship><Relationship Id="rId59" Target="https://www.canva.com/design/DAG_MvGpVQk/1872v9AIXn2mZYo7pnf4vQ/edit?utm_content=DAG_MvGpVQk&amp;utm_campaign=designshare&amp;utm_medium=link2&amp;utm_source=sharebutton" Type="http://schemas.openxmlformats.org/officeDocument/2006/relationships/hyperlink" TargetMode="External"></Relationship></Relationships>
</file>

<file path=xl/worksheets/_rels/sheet14.xml.rels><?xml version="1.0" encoding="UTF-8" standalone="yes"?>
<Relationships xmlns="http://schemas.openxmlformats.org/package/2006/relationships"><Relationship Id="rId1" Target="https://drive.google.com/drive/folders/100lVF1ora1tETR_h7KYk2vXv4ztHB5ja?usp=drive_link" Type="http://schemas.openxmlformats.org/officeDocument/2006/relationships/hyperlink" TargetMode="External"></Relationship><Relationship Id="rId2" Target="https://csgh0664zke9.sg.larksuite.com/drive/folder/TSsOf894VllmSPdn1dSldLwegvb?from=from_copylink" Type="http://schemas.openxmlformats.org/officeDocument/2006/relationships/hyperlink" TargetMode="External"></Relationship><Relationship Id="rId3" Target="http://mapid.co.id/MAPIDforErajaya" Type="http://schemas.openxmlformats.org/officeDocument/2006/relationships/hyperlink" TargetMode="External"></Relationship><Relationship Id="rId4" Target="http://mapid.co.id/MAPIDCOMPANYPROFILE" Type="http://schemas.openxmlformats.org/officeDocument/2006/relationships/hyperlink" TargetMode="External"></Relationship><Relationship Id="rId5" Target="http://mapid.co.id/MAPIDforPelindo" Type="http://schemas.openxmlformats.org/officeDocument/2006/relationships/hyperlink" TargetMode="External"></Relationship><Relationship Id="rId6" Target="https://csgh0664zke9.sg.larksuite.com/wiki/HnlRwd6tIiGjHRk1oyolnGIHgTc?sheet=f06f5a" Type="http://schemas.openxmlformats.org/officeDocument/2006/relationships/hyperlink" TargetMode="External"></Relationship><Relationship Id="rId7" Target="http://mapid.co.id/MAPIDforBTID" Type="http://schemas.openxmlformats.org/officeDocument/2006/relationships/hyperlink" TargetMode="External"></Relationship></Relationships>
</file>

<file path=xl/worksheets/_rels/sheet15.xml.rels><?xml version="1.0" encoding="UTF-8" standalone="yes"?>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 Id="rId3" Target="../threadedComments/threadedComment3.xml" Type="http://schemas.microsoft.com/office/2017/10/relationships/threadedComment"></Relationship></Relationships>
</file>

<file path=xl/worksheets/_rels/sheet16.xml.rels><?xml version="1.0" encoding="UTF-8" standalone="yes"?>
<Relationships xmlns="http://schemas.openxmlformats.org/package/2006/relationships"><Relationship Id="rId1" Target="mailto:irfanfirdaus990@gmail.com" Type="http://schemas.openxmlformats.org/officeDocument/2006/relationships/hyperlink" TargetMode="External"></Relationship><Relationship Id="rId2" Target="mailto:jasmine.khrn@gmail.com" Type="http://schemas.openxmlformats.org/officeDocument/2006/relationships/hyperlink" TargetMode="External"></Relationship><Relationship Id="rId3" Target="mailto:krissimbolon28@gmail.com" Type="http://schemas.openxmlformats.org/officeDocument/2006/relationships/hyperlink" TargetMode="External"></Relationship><Relationship Id="rId4" Target="mailto:azmansihab@gmail.com" Type="http://schemas.openxmlformats.org/officeDocument/2006/relationships/hyperlink" TargetMode="External"></Relationship><Relationship Id="rId5" Target="mailto:rifqinaufalfayyadh@gmail.com" Type="http://schemas.openxmlformats.org/officeDocument/2006/relationships/hyperlink" TargetMode="External"></Relationship><Relationship Id="rId6" Target="mailto:padangpanjang@gmail.com" Type="http://schemas.openxmlformats.org/officeDocument/2006/relationships/hyperlink" TargetMode="External"></Relationship><Relationship Id="rId7" Target="mailto:rizalnazari11@gmail.com" Type="http://schemas.openxmlformats.org/officeDocument/2006/relationships/hyperlink" TargetMode="External"></Relationship><Relationship Id="rId8" Target="../drawings/vmlDrawing4.vml" Type="http://schemas.openxmlformats.org/officeDocument/2006/relationships/vmlDrawing"></Relationship><Relationship Id="rId9" Target="../comments4.xml" Type="http://schemas.openxmlformats.org/officeDocument/2006/relationships/comments"></Relationship><Relationship Id="rId10" Target="../threadedComments/threadedComment4.xml" Type="http://schemas.microsoft.com/office/2017/10/relationships/threadedComment"></Relationship></Relationships>
</file>

<file path=xl/worksheets/_rels/sheet17.xml.rels><?xml version="1.0" encoding="UTF-8" standalone="yes"?>
<Relationships xmlns="http://schemas.openxmlformats.org/package/2006/relationships"><Relationship Id="rId1" Target="mailto:irwansyah@psn.co.id" Type="http://schemas.openxmlformats.org/officeDocument/2006/relationships/hyperlink" TargetMode="External"></Relationship><Relationship Id="rId2" Target="https://www.canva.com/design/DAG7MhHBnYM/2RGZI6v24YaQ4yYUcM4WUg/edit?utm_content=DAG7MhHBnYM&amp;utm_campaign=designshare&amp;utm_medium=link2&amp;utm_source=sharebutton" Type="http://schemas.openxmlformats.org/officeDocument/2006/relationships/hyperlink" TargetMode="External"></Relationship><Relationship Id="rId3" Target="https://mapid.co.id/MAPIDforGisara" Type="http://schemas.openxmlformats.org/officeDocument/2006/relationships/hyperlink" TargetMode="External"></Relationship><Relationship Id="rId4" Target="https://www.canva.com/design/DAG30bLo_NM/rh3SdJlsLpjDp9E1t_pRCw/edit" Type="http://schemas.openxmlformats.org/officeDocument/2006/relationships/hyperlink" TargetMode="External"></Relationship><Relationship Id="rId5" Target="mailto:radhi.ardhie@metranet.co.id" Type="http://schemas.openxmlformats.org/officeDocument/2006/relationships/hyperlink" TargetMode="External"></Relationship><Relationship Id="rId6" Target="https://mapid.co.id/MAPIDforPelindo" Type="http://schemas.openxmlformats.org/officeDocument/2006/relationships/hyperlink" TargetMode="External"></Relationship><Relationship Id="rId7" Target="https://www.canva.com/design/DAG_MvGpVQk/1872v9AIXn2mZYo7pnf4vQ/edit?utm_content=DAG_MvGpVQk&amp;utm_campaign=designshare&amp;utm_medium=link2&amp;utm_source=sharebutton" Type="http://schemas.openxmlformats.org/officeDocument/2006/relationships/hyperlink" TargetMode="External"></Relationship><Relationship Id="rId8" Target="https://www.canva.com/design/DAG-8Jf2K5Q/aZSWwFEyTZ6dWrIEYHpP4A/edit?utm_content=DAG-8Jf2K5Q&amp;utm_campaign=designshare&amp;utm_medium=link2&amp;utm_source=sharebutton" Type="http://schemas.openxmlformats.org/officeDocument/2006/relationships/hyperlink" TargetMode="External"></Relationship><Relationship Id="rId9" Target="https://mapid.co.id/MAPIDforKino" Type="http://schemas.openxmlformats.org/officeDocument/2006/relationships/hyperlink" TargetMode="External"></Relationship><Relationship Id="rId10" Target="https://mapid.co.id/CyberJaya" Type="http://schemas.openxmlformats.org/officeDocument/2006/relationships/hyperlink" TargetMode="External"></Relationship><Relationship Id="rId11" Target="mailto:lukito.galuh@toyota.astra.co.id" Type="http://schemas.openxmlformats.org/officeDocument/2006/relationships/hyperlink" TargetMode="External"></Relationship><Relationship Id="rId12" Target="mailto:jismil.lathif@gmail.com" Type="http://schemas.openxmlformats.org/officeDocument/2006/relationships/hyperlink" TargetMode="External"></Relationship><Relationship Id="rId13" Target="mailto:luanacastillo@shopee.com" Type="http://schemas.openxmlformats.org/officeDocument/2006/relationships/hyperlink" TargetMode="External"></Relationship><Relationship Id="rId14" Target="mailto:&#8206;indrawan.fauzi@cinema21.co.id"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23"/>
    <col collapsed="false" customWidth="true" hidden="false" max="2" min="2" style="0" width="31"/>
    <col collapsed="false" customWidth="true" hidden="false" max="3" min="3" style="0" width="29"/>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7"/>
    <col collapsed="false" customWidth="true" hidden="false" max="9" min="9" style="0" width="9"/>
    <col collapsed="false" customWidth="true" hidden="false" max="9" min="9" style="0" width="9"/>
    <col collapsed="false" customWidth="true" hidden="false" max="11" min="11" style="0" width="15"/>
    <col collapsed="false" customWidth="true" hidden="false" max="15" min="15" style="0" width="14"/>
    <col collapsed="false" customWidth="true" hidden="false" max="16" min="16" style="0" width="14"/>
    <col collapsed="false" customWidth="true" hidden="false" max="25" min="25" style="0" width="14"/>
    <col collapsed="false" customWidth="true" hidden="false" max="26" min="26" style="0" width="14"/>
    <col collapsed="false" customWidth="true" hidden="false" max="27" min="27" style="0" width="14"/>
    <col collapsed="false" customWidth="true" hidden="false" max="28" min="28" style="0" width="14"/>
    <col collapsed="false" customWidth="true" hidden="false" max="29" min="29" style="0" width="14"/>
    <col collapsed="false" customWidth="true" hidden="false" max="30" min="30" style="0" width="14"/>
    <col collapsed="false" customWidth="true" hidden="false" max="31" min="31" style="0" width="14"/>
    <col collapsed="false" customWidth="true" hidden="false" max="32" min="32" style="0" width="14"/>
    <col collapsed="false" customWidth="true" hidden="false" max="33" min="33" style="0" width="14"/>
    <col collapsed="false" customWidth="true" hidden="false" max="34" min="34" style="0" width="14"/>
    <col collapsed="false" customWidth="true" hidden="false" max="35" min="35" style="0" width="14"/>
    <col collapsed="false" customWidth="true" hidden="false" max="36" min="36" style="0" width="14"/>
    <col collapsed="false" customWidth="true" hidden="false" max="37" min="37" style="0" width="14"/>
    <col collapsed="false" customWidth="true" hidden="false" max="38" min="38" style="0" width="14"/>
    <col collapsed="false" customWidth="true" hidden="false" max="39" min="39" style="0" width="14"/>
  </cols>
  <sheetData>
    <row customHeight="true" ht="78" r="1">
      <c r="A1" s="34" t="str">
        <v>GOALS MONITORING</v>
      </c>
      <c r="B1" s="34"/>
      <c r="C1" s="34"/>
      <c r="E1" s="48" t="str">
        <v>Tanggal</v>
      </c>
      <c r="F1" s="46" t="str">
        <v>Conversion</v>
      </c>
      <c r="G1" s="38" t="str">
        <v>Nominal</v>
      </c>
      <c r="H1" s="49" t="str">
        <v>Harga MAPID</v>
      </c>
      <c r="I1" s="12"/>
      <c r="K1" s="44" t="str">
        <v>Paket</v>
      </c>
      <c r="L1" s="44" t="str">
        <v>Harga MAPID</v>
      </c>
      <c r="M1" s="44" t="str">
        <v>Harga Midtrans</v>
      </c>
      <c r="N1" s="47" t="str">
        <v>Jangan dihapus, ini buat rumus</v>
      </c>
      <c r="O1" s="39"/>
      <c r="P1" s="40" t="str">
        <v>Date &amp; time</v>
      </c>
      <c r="Q1" s="42" t="str">
        <v>Order ID</v>
      </c>
      <c r="R1" s="42" t="str">
        <v>Channel</v>
      </c>
      <c r="S1" s="42" t="str">
        <v>Transaction type</v>
      </c>
      <c r="T1" s="45" t="str">
        <v>Amount</v>
      </c>
      <c r="U1" s="42" t="str">
        <v>Transaction status</v>
      </c>
      <c r="V1" s="42" t="str">
        <v>Transaction ID</v>
      </c>
      <c r="W1" s="40" t="str">
        <v>Transaction time</v>
      </c>
      <c r="X1" s="42" t="str">
        <v>Customer e-mail</v>
      </c>
      <c r="Y1" s="42"/>
      <c r="Z1" s="43" t="str">
        <v>UNCONFIRMED TRANSACTION</v>
      </c>
      <c r="AA1" s="41"/>
      <c r="AB1" s="41"/>
      <c r="AC1" s="41"/>
      <c r="AD1" s="41"/>
      <c r="AE1" s="41"/>
      <c r="AF1" s="41"/>
      <c r="AG1" s="41"/>
      <c r="AH1" s="37"/>
      <c r="AI1" s="42"/>
      <c r="AJ1" s="42"/>
      <c r="AK1" s="42"/>
      <c r="AL1" s="42"/>
      <c r="AM1" s="42"/>
    </row>
    <row r="2">
      <c r="A2" s="34"/>
      <c r="B2" s="34"/>
      <c r="C2" s="34"/>
      <c r="E2" s="11">
        <f>IFERROR(INDEX($P:$P, ROW()), "")</f>
      </c>
      <c r="F2" s="2"/>
      <c r="G2" s="6">
        <f>IF(E2="","", ROUND(VALUE(INDEX($T:$T, ROW())), 0))</f>
      </c>
      <c r="H2" s="6">
        <f>INDEX($L$2:$L$99, MATCH(G2, $M$2:$M$99, 0))</f>
      </c>
      <c r="I2" s="12"/>
      <c r="K2" s="33" t="str">
        <v>Personal discount</v>
      </c>
      <c r="L2" s="35">
        <v>80000</v>
      </c>
      <c r="M2" s="35">
        <v>88800</v>
      </c>
      <c r="N2" s="31">
        <f>VALUE(SUBSTITUTE(SUBSTITUTE($M2,"Rp",""),",",""))</f>
      </c>
      <c r="O2" s="23"/>
      <c r="P2" s="26">
        <v>46024</v>
      </c>
      <c r="Q2" s="18" t="str">
        <v>69573b4c228fa5076541e47a</v>
      </c>
      <c r="R2" s="18" t="str">
        <v>Mandiri Bill</v>
      </c>
      <c r="S2" s="18" t="str">
        <v>Payment</v>
      </c>
      <c r="T2" s="27">
        <v>1547340</v>
      </c>
      <c r="U2" s="18" t="str">
        <v>settlement</v>
      </c>
      <c r="V2" s="18" t="str">
        <v>cf24c24f-af41-444f-8152-1d1ff460e9d5</v>
      </c>
      <c r="W2" s="26">
        <v>46024</v>
      </c>
      <c r="X2" s="18" t="s">
        <v>2</v>
      </c>
      <c r="Y2" s="30"/>
      <c r="Z2" s="36"/>
      <c r="AA2" s="30"/>
      <c r="AB2" s="30"/>
      <c r="AC2" s="30"/>
      <c r="AD2" s="32"/>
      <c r="AE2" s="30"/>
      <c r="AF2" s="30"/>
      <c r="AG2" s="36"/>
      <c r="AH2" s="30"/>
      <c r="AI2" s="30"/>
      <c r="AJ2" s="18"/>
      <c r="AK2" s="18"/>
      <c r="AL2" s="18"/>
      <c r="AM2" s="18"/>
    </row>
    <row customHeight="true" ht="22" r="3">
      <c r="A3" s="34"/>
      <c r="B3" s="34"/>
      <c r="C3" s="34"/>
      <c r="E3" s="11">
        <f>IFERROR(INDEX($P:$P, ROW()), "")</f>
      </c>
      <c r="F3" s="2"/>
      <c r="G3" s="6">
        <f>IF(E3="","", ROUND(VALUE(INDEX($T:$T, ROW())), 0))</f>
      </c>
      <c r="H3" s="6">
        <f>INDEX($L$2:$L$99, MATCH(G3, $M$2:$M$99, 0))</f>
      </c>
      <c r="I3" s="12"/>
      <c r="K3" s="33" t="str">
        <v>Personal</v>
      </c>
      <c r="L3" s="35">
        <v>99000</v>
      </c>
      <c r="M3" s="35">
        <v>109890</v>
      </c>
      <c r="N3" s="31">
        <f>VALUE(SUBSTITUTE(SUBSTITUTE($M3,"Rp",""),",",""))</f>
      </c>
      <c r="O3" s="23"/>
      <c r="P3" s="26">
        <v>46024</v>
      </c>
      <c r="Q3" s="18" t="str">
        <v>6957842edbbdd22985d24eee</v>
      </c>
      <c r="R3" s="18" t="str">
        <v>QRIS</v>
      </c>
      <c r="S3" s="18" t="str">
        <v>Payment</v>
      </c>
      <c r="T3" s="27">
        <v>109890</v>
      </c>
      <c r="U3" s="18" t="str">
        <v>settlement</v>
      </c>
      <c r="V3" s="18" t="str">
        <v>e38c94a5-9a7c-4064-8bbc-6798644e0a30</v>
      </c>
      <c r="W3" s="26">
        <v>46024</v>
      </c>
      <c r="X3" s="18" t="s">
        <v>2</v>
      </c>
      <c r="Y3" s="18"/>
      <c r="Z3" s="36"/>
      <c r="AA3" s="30"/>
      <c r="AB3" s="30"/>
      <c r="AC3" s="30"/>
      <c r="AD3" s="32"/>
      <c r="AE3" s="30"/>
      <c r="AF3" s="30"/>
      <c r="AG3" s="36"/>
      <c r="AH3" s="30"/>
      <c r="AI3" s="30"/>
      <c r="AJ3" s="18"/>
      <c r="AK3" s="18"/>
      <c r="AL3" s="18"/>
      <c r="AM3" s="18"/>
    </row>
    <row r="4">
      <c r="A4" s="51" t="str">
        <v>Q1</v>
      </c>
      <c r="B4" s="50"/>
      <c r="C4" s="52" t="str">
        <v>Completion percentage</v>
      </c>
      <c r="E4" s="11">
        <f>IFERROR(INDEX($P:$P, ROW()), "")</f>
      </c>
      <c r="F4" s="2"/>
      <c r="G4" s="6">
        <f>IF(E4="","", ROUND(VALUE(INDEX($T:$T, ROW())), 0))</f>
      </c>
      <c r="H4" s="6">
        <f>INDEX($L$2:$L$99, MATCH(G4, $M$2:$M$99, 0))</f>
      </c>
      <c r="I4" s="12"/>
      <c r="K4" s="33"/>
      <c r="L4" s="35">
        <v>699000</v>
      </c>
      <c r="M4" s="35">
        <v>775890</v>
      </c>
      <c r="N4" s="31">
        <f>VALUE(SUBSTITUTE(SUBSTITUTE($M4,"Rp",""),",",""))</f>
      </c>
      <c r="O4" s="23"/>
      <c r="P4" s="26">
        <v>46024</v>
      </c>
      <c r="Q4" s="18" t="str">
        <v>6957ac009830ecf22a0dec17</v>
      </c>
      <c r="R4" s="18" t="str">
        <v>QRIS</v>
      </c>
      <c r="S4" s="18" t="str">
        <v>Payment</v>
      </c>
      <c r="T4" s="27">
        <v>109890</v>
      </c>
      <c r="U4" s="18" t="str">
        <v>settlement</v>
      </c>
      <c r="V4" s="18" t="str">
        <v>ccc391a1-18b3-4244-aa9d-61d3338b2535</v>
      </c>
      <c r="W4" s="26">
        <v>46024</v>
      </c>
      <c r="X4" s="18" t="s">
        <v>2</v>
      </c>
      <c r="Y4" s="18"/>
      <c r="Z4" s="36"/>
      <c r="AA4" s="30"/>
      <c r="AB4" s="30"/>
      <c r="AC4" s="30"/>
      <c r="AD4" s="32"/>
      <c r="AE4" s="30"/>
      <c r="AF4" s="30"/>
      <c r="AG4" s="36"/>
      <c r="AH4" s="30"/>
      <c r="AI4" s="30"/>
      <c r="AJ4" s="18"/>
      <c r="AK4" s="18"/>
      <c r="AL4" s="18"/>
      <c r="AM4" s="18"/>
    </row>
    <row customHeight="true" ht="33" r="5">
      <c r="A5" s="57" t="str">
        <v>TARGET REVENUE Pesimistic</v>
      </c>
      <c r="B5" s="56">
        <v>10000000</v>
      </c>
      <c r="C5" s="54">
        <f>B12/B5</f>
      </c>
      <c r="E5" s="11">
        <f>IFERROR(INDEX($P:$P, ROW()), "")</f>
      </c>
      <c r="F5" s="2"/>
      <c r="G5" s="6">
        <f>IF(E5="","", ROUND(VALUE(INDEX($T:$T, ROW())), 0))</f>
      </c>
      <c r="H5" s="6">
        <f>INDEX($L$2:$L$99, MATCH(G5, $M$2:$M$99, 0))</f>
      </c>
      <c r="I5" s="12"/>
      <c r="K5" s="55" t="str">
        <v>Teams 2 kolaborator</v>
      </c>
      <c r="L5" s="35">
        <v>697000</v>
      </c>
      <c r="M5" s="35">
        <v>773670</v>
      </c>
      <c r="N5" s="31">
        <f>VALUE(SUBSTITUTE(SUBSTITUTE($M5,"Rp",""),",",""))</f>
      </c>
      <c r="O5" s="23"/>
      <c r="P5" s="26">
        <v>46025</v>
      </c>
      <c r="Q5" s="18" t="str">
        <v>69590b1c2e0b60c56d1fe6e8</v>
      </c>
      <c r="R5" s="18" t="str">
        <v>QRIS</v>
      </c>
      <c r="S5" s="18" t="str">
        <v>Payment</v>
      </c>
      <c r="T5" s="27">
        <v>109890</v>
      </c>
      <c r="U5" s="18" t="str">
        <v>settlement</v>
      </c>
      <c r="V5" s="18" t="str">
        <v>499b3f39-8a9c-4411-8182-9d89ef2999b9</v>
      </c>
      <c r="W5" s="26">
        <v>46025</v>
      </c>
      <c r="X5" s="18" t="s">
        <v>2</v>
      </c>
      <c r="Y5" s="18"/>
      <c r="Z5" s="36"/>
      <c r="AA5" s="30"/>
      <c r="AB5" s="30"/>
      <c r="AC5" s="30"/>
      <c r="AD5" s="32"/>
      <c r="AE5" s="30"/>
      <c r="AF5" s="30"/>
      <c r="AG5" s="36"/>
      <c r="AH5" s="30"/>
      <c r="AI5" s="30"/>
      <c r="AJ5" s="18"/>
      <c r="AK5" s="18"/>
      <c r="AL5" s="18"/>
      <c r="AM5" s="18"/>
    </row>
    <row r="6">
      <c r="A6" s="57" t="str">
        <v>TARGET REVENUE Realistic</v>
      </c>
      <c r="B6" s="56">
        <v>21500000</v>
      </c>
      <c r="C6" s="54">
        <f>B12/B6</f>
      </c>
      <c r="E6" s="11">
        <f>IFERROR(INDEX($P:$P, ROW()), "")</f>
      </c>
      <c r="F6" s="2"/>
      <c r="G6" s="6">
        <f>IF(E6="","", ROUND(VALUE(INDEX($T:$T, ROW())), 0))</f>
      </c>
      <c r="H6" s="6">
        <f>INDEX($L$2:$L$99, MATCH(G6, $M$2:$M$99, 0))</f>
      </c>
      <c r="I6" s="12"/>
      <c r="K6" s="55" t="str">
        <v>Teams 3 Kolabolator</v>
      </c>
      <c r="L6" s="35">
        <v>1394000</v>
      </c>
      <c r="M6" s="35">
        <v>1547340</v>
      </c>
      <c r="N6" s="31">
        <f>VALUE(SUBSTITUTE(SUBSTITUTE($M6,"Rp",""),",",""))</f>
      </c>
      <c r="O6" s="23"/>
      <c r="P6" s="58">
        <v>46028.385416666664</v>
      </c>
      <c r="Q6" s="18" t="str">
        <v>695c703fe68548cf981447d4</v>
      </c>
      <c r="R6" s="18" t="str">
        <v>Mandiri Bill</v>
      </c>
      <c r="S6" s="18" t="str">
        <v>Payment</v>
      </c>
      <c r="T6" s="27">
        <v>109890</v>
      </c>
      <c r="U6" s="18" t="str">
        <v>settlement</v>
      </c>
      <c r="V6" s="18" t="str">
        <v>784685f8-2932-4fed-9c51-06bb4a77f485</v>
      </c>
      <c r="W6" s="58">
        <v>46028.385416666664</v>
      </c>
      <c r="X6" s="18" t="s">
        <v>2</v>
      </c>
      <c r="Y6" s="18"/>
      <c r="Z6" s="36"/>
      <c r="AA6" s="30"/>
      <c r="AB6" s="30"/>
      <c r="AC6" s="30"/>
      <c r="AD6" s="32"/>
      <c r="AE6" s="30"/>
      <c r="AF6" s="30"/>
      <c r="AG6" s="36"/>
      <c r="AH6" s="30"/>
      <c r="AI6" s="30"/>
      <c r="AJ6" s="18"/>
      <c r="AK6" s="18"/>
      <c r="AL6" s="18"/>
      <c r="AM6" s="18"/>
    </row>
    <row r="7">
      <c r="A7" s="59" t="str">
        <v>TARGET REVENUE 
Optimistic</v>
      </c>
      <c r="B7" s="56">
        <v>35800000</v>
      </c>
      <c r="C7" s="54">
        <f>B12/B7</f>
      </c>
      <c r="E7" s="11">
        <f>IFERROR(INDEX($P:$P, ROW()), "")</f>
      </c>
      <c r="F7" s="2"/>
      <c r="G7" s="6">
        <f>IF(E7="","", ROUND(VALUE(INDEX($T:$T, ROW())), 0))</f>
      </c>
      <c r="H7" s="6">
        <f>INDEX($L$2:$L$99, MATCH(G7, $M$2:$M$99, 0))</f>
      </c>
      <c r="I7" s="12"/>
      <c r="K7" s="55" t="str">
        <v>Teams 4 Kolabolator</v>
      </c>
      <c r="L7" s="35">
        <v>2091000</v>
      </c>
      <c r="M7" s="35">
        <v>2321010</v>
      </c>
      <c r="N7" s="31">
        <f>VALUE(SUBSTITUTE(SUBSTITUTE($M7,"Rp",""),",",""))</f>
      </c>
      <c r="O7" s="23"/>
      <c r="P7" s="58">
        <v>46029.39861111111</v>
      </c>
      <c r="Q7" s="18" t="str">
        <v>695dc4bde68548cf982a3b87</v>
      </c>
      <c r="R7" s="18" t="str">
        <v>QRIS</v>
      </c>
      <c r="S7" s="18" t="str">
        <v>Payment</v>
      </c>
      <c r="T7" s="27">
        <v>109890</v>
      </c>
      <c r="U7" s="18" t="str">
        <v>settlement</v>
      </c>
      <c r="V7" s="18" t="str">
        <v>310be464-2ff6-4c66-ba49-99f083a44939</v>
      </c>
      <c r="W7" s="58">
        <v>46029.39861111111</v>
      </c>
      <c r="X7" s="18" t="s">
        <v>2</v>
      </c>
      <c r="Y7" s="18"/>
      <c r="Z7" s="36"/>
      <c r="AA7" s="30"/>
      <c r="AB7" s="30"/>
      <c r="AC7" s="30"/>
      <c r="AD7" s="32"/>
      <c r="AE7" s="30"/>
      <c r="AF7" s="30"/>
      <c r="AG7" s="36"/>
      <c r="AH7" s="30"/>
      <c r="AI7" s="30"/>
      <c r="AJ7" s="18"/>
      <c r="AK7" s="18"/>
      <c r="AL7" s="18"/>
      <c r="AM7" s="18"/>
    </row>
    <row r="8">
      <c r="E8" s="11">
        <f>IFERROR(INDEX($P:$P, ROW()), "")</f>
      </c>
      <c r="F8" s="2"/>
      <c r="G8" s="6">
        <f>IF(E8="","", ROUND(VALUE(INDEX($T:$T, ROW())), 0))</f>
      </c>
      <c r="H8" s="6">
        <f>INDEX($L$2:$L$99, MATCH(G8, $M$2:$M$99, 0))</f>
      </c>
      <c r="I8" s="12"/>
      <c r="K8" s="55" t="str">
        <v>Teams 5 Kolabolator</v>
      </c>
      <c r="L8" s="35">
        <v>2788000</v>
      </c>
      <c r="M8" s="35">
        <v>3094680</v>
      </c>
      <c r="N8" s="31">
        <f>VALUE(SUBSTITUTE(SUBSTITUTE($M8,"Rp",""),",",""))</f>
      </c>
      <c r="O8" s="23"/>
      <c r="P8" s="58">
        <v>46029.79861111111</v>
      </c>
      <c r="Q8" s="18" t="str">
        <v>695e4d19fd6e2e2f9fd28c2b</v>
      </c>
      <c r="R8" s="18" t="str">
        <v>QRIS</v>
      </c>
      <c r="S8" s="18" t="str">
        <v>Payment</v>
      </c>
      <c r="T8" s="27">
        <v>109890</v>
      </c>
      <c r="U8" s="18" t="str">
        <v>settlement</v>
      </c>
      <c r="V8" s="18" t="str">
        <v>32579c77-b828-44fb-84f7-e172e692bc7f</v>
      </c>
      <c r="W8" s="58">
        <v>46029.79861111111</v>
      </c>
      <c r="X8" s="18" t="s">
        <v>2</v>
      </c>
      <c r="Y8" s="18"/>
      <c r="Z8" s="36"/>
      <c r="AA8" s="30"/>
      <c r="AB8" s="30"/>
      <c r="AC8" s="30"/>
      <c r="AD8" s="32"/>
      <c r="AE8" s="30"/>
      <c r="AF8" s="30"/>
      <c r="AG8" s="36"/>
      <c r="AH8" s="30"/>
      <c r="AI8" s="30"/>
      <c r="AJ8" s="18"/>
      <c r="AK8" s="18"/>
      <c r="AL8" s="18"/>
      <c r="AM8" s="18"/>
    </row>
    <row r="9">
      <c r="E9" s="11">
        <f>IFERROR(INDEX($P:$P, ROW()), "")</f>
      </c>
      <c r="F9" s="2"/>
      <c r="G9" s="6">
        <f>IF(E9="","", ROUND(VALUE(INDEX($T:$T, ROW())), 0))</f>
      </c>
      <c r="H9" s="6">
        <f>INDEX($L$2:$L$99, MATCH(G9, $M$2:$M$99, 0))</f>
      </c>
      <c r="I9" s="12"/>
      <c r="K9" s="74" t="str">
        <v>Personal Add on SINI AI</v>
      </c>
      <c r="L9" s="73">
        <v>298000</v>
      </c>
      <c r="M9" s="73">
        <v>330780</v>
      </c>
      <c r="N9" s="31">
        <f>VALUE(SUBSTITUTE(SUBSTITUTE($M9,"Rp",""),",",""))</f>
      </c>
      <c r="O9" s="23"/>
      <c r="P9" s="9">
        <v>46030.518055555556</v>
      </c>
      <c r="Q9" s="3" t="str">
        <v>695f3fdae68548cf9846960f</v>
      </c>
      <c r="R9" s="3" t="str">
        <v>QRIS</v>
      </c>
      <c r="S9" s="3" t="str">
        <v>Payment</v>
      </c>
      <c r="T9" s="10">
        <v>109890</v>
      </c>
      <c r="U9" s="3" t="str">
        <v>settlement</v>
      </c>
      <c r="V9" s="3" t="str">
        <v>292091ec-b81e-40a8-b6f2-038eb892b06c</v>
      </c>
      <c r="W9" s="8" t="str">
        <v>#######</v>
      </c>
      <c r="X9" s="3" t="s">
        <v>7</v>
      </c>
      <c r="Y9" s="18"/>
      <c r="Z9" s="21"/>
      <c r="AA9" s="18"/>
      <c r="AB9" s="18"/>
      <c r="AC9" s="18"/>
      <c r="AD9" s="18"/>
      <c r="AE9" s="18"/>
      <c r="AF9" s="18"/>
      <c r="AG9" s="18"/>
      <c r="AH9" s="22"/>
      <c r="AI9" s="18"/>
      <c r="AJ9" s="18"/>
      <c r="AK9" s="18"/>
      <c r="AL9" s="18"/>
      <c r="AM9" s="18"/>
    </row>
    <row r="10">
      <c r="A10" s="72" t="str">
        <v>Total User</v>
      </c>
      <c r="B10" s="72" t="str">
        <v>Revenue 
(Sudah dipotong pajak)</v>
      </c>
      <c r="C10" s="72" t="str">
        <v>Gross Revenue 
(Belum dipotong pajak)</v>
      </c>
      <c r="E10" s="11">
        <f>IFERROR(INDEX($P:$P, ROW()), "")</f>
      </c>
      <c r="F10" s="2"/>
      <c r="G10" s="6">
        <f>IF(E10="","", ROUND(VALUE(INDEX($T:$T, ROW())), 0))</f>
      </c>
      <c r="H10" s="6">
        <f>INDEX($L$2:$L$99, MATCH(G10, $M$2:$M$99, 0))</f>
      </c>
      <c r="I10" s="12"/>
      <c r="K10" s="71" t="str">
        <v>Personal Add on SINI AI + SINI DATA</v>
      </c>
      <c r="L10" s="70">
        <v>697000</v>
      </c>
      <c r="M10" s="70">
        <v>773670</v>
      </c>
      <c r="N10" s="31">
        <f>VALUE(SUBSTITUTE(SUBSTITUTE($M10,"Rp",""),",",""))</f>
      </c>
      <c r="O10" s="23"/>
      <c r="P10" s="9">
        <v>46030.74444444444</v>
      </c>
      <c r="Q10" s="3" t="str">
        <v>695f8c69e68548cf984d830d</v>
      </c>
      <c r="R10" s="3" t="str">
        <v>Mandiri Bill</v>
      </c>
      <c r="S10" s="3" t="str">
        <v>Payment</v>
      </c>
      <c r="T10" s="10">
        <v>7736700</v>
      </c>
      <c r="U10" s="3" t="str">
        <v>settlement</v>
      </c>
      <c r="V10" s="3" t="str">
        <v>ec290466-a04b-45e4-857f-901e2d549a9c</v>
      </c>
      <c r="W10" s="8" t="str">
        <v>#######</v>
      </c>
      <c r="X10" s="3" t="s">
        <v>1</v>
      </c>
      <c r="Y10" s="18"/>
      <c r="Z10" s="21"/>
      <c r="AA10" s="18"/>
      <c r="AB10" s="18"/>
      <c r="AC10" s="18"/>
      <c r="AD10" s="18"/>
      <c r="AE10" s="18"/>
      <c r="AF10" s="18"/>
      <c r="AG10" s="18"/>
      <c r="AH10" s="22"/>
      <c r="AI10" s="18"/>
      <c r="AJ10" s="18"/>
      <c r="AK10" s="18"/>
      <c r="AL10" s="18"/>
      <c r="AM10" s="18"/>
    </row>
    <row customHeight="true" ht="40" r="11">
      <c r="A11" s="72"/>
      <c r="B11" s="72"/>
      <c r="C11" s="72"/>
      <c r="E11" s="11">
        <f>IFERROR(INDEX($P:$P, ROW()), "")</f>
      </c>
      <c r="F11" s="2"/>
      <c r="G11" s="6">
        <f>IF(E11="","", ROUND(VALUE(INDEX($T:$T, ROW())), 0))</f>
      </c>
      <c r="H11" s="6">
        <f>INDEX($L$2:$L$99, MATCH(G11, $M$2:$M$99, 0))</f>
      </c>
      <c r="I11" s="12"/>
      <c r="K11" s="73" t="str">
        <v>Promo</v>
      </c>
      <c r="L11" s="73">
        <v>89000</v>
      </c>
      <c r="M11" s="81">
        <f>(L11*0.11)+L11</f>
      </c>
      <c r="N11" s="75">
        <f>VALUE(SUBSTITUTE(SUBSTITUTE($M11,"Rp",""),",",""))</f>
      </c>
      <c r="O11" s="23"/>
      <c r="P11" s="58">
        <v>46034.40069444444</v>
      </c>
      <c r="Q11" s="18" t="str">
        <v>69645e7afd6e2e2f9f10b97f</v>
      </c>
      <c r="R11" s="18" t="str">
        <v>QRIS</v>
      </c>
      <c r="S11" s="18" t="str">
        <v>Payment</v>
      </c>
      <c r="T11" s="27">
        <v>109890</v>
      </c>
      <c r="U11" s="18" t="str">
        <v>settlement</v>
      </c>
      <c r="V11" s="18" t="str">
        <v>ebac64d3-3301-40cc-b8c1-505b253054f8</v>
      </c>
      <c r="W11" s="58">
        <v>46034.40069444444</v>
      </c>
      <c r="X11" s="18" t="s">
        <v>2</v>
      </c>
      <c r="Y11" s="18"/>
      <c r="Z11" s="21"/>
      <c r="AA11" s="18"/>
      <c r="AB11" s="18"/>
      <c r="AC11" s="18"/>
      <c r="AD11" s="18"/>
      <c r="AE11" s="18"/>
      <c r="AF11" s="18"/>
      <c r="AG11" s="18"/>
      <c r="AH11" s="22"/>
      <c r="AI11" s="18"/>
      <c r="AJ11" s="18"/>
      <c r="AK11" s="18"/>
      <c r="AL11" s="18"/>
      <c r="AM11" s="18"/>
    </row>
    <row r="12">
      <c r="A12" s="79">
        <f>COUNT(H:H)</f>
      </c>
      <c r="B12" s="80">
        <f>SUM(H:H)</f>
      </c>
      <c r="C12" s="76">
        <f>SUM(G2:G53)</f>
      </c>
      <c r="E12" s="11">
        <f>IFERROR(INDEX($P:$P, ROW()), "")</f>
      </c>
      <c r="F12" s="2"/>
      <c r="G12" s="6">
        <f>IF(E12="","", ROUND(VALUE(INDEX($T:$T, ROW())), 0))</f>
      </c>
      <c r="H12" s="6">
        <f>INDEX($L$2:$L$99, MATCH(G12, $M$2:$M$99, 0))</f>
      </c>
      <c r="I12" s="12"/>
      <c r="K12" s="77" t="str">
        <v>Langganan 1 tahun Personal - SINI AI + SINI DATA</v>
      </c>
      <c r="L12" s="78">
        <v>6970000</v>
      </c>
      <c r="M12" s="78">
        <v>7736700</v>
      </c>
      <c r="N12" s="75">
        <f>VALUE(SUBSTITUTE(SUBSTITUTE($M12,"Rp",""),",",""))</f>
      </c>
      <c r="O12" s="23"/>
      <c r="P12" s="9">
        <v>46034.57361111111</v>
      </c>
      <c r="Q12" s="3" t="str">
        <v>696498d7fd6e2e2f9f1caad6</v>
      </c>
      <c r="R12" s="3" t="str">
        <v>QRIS</v>
      </c>
      <c r="S12" s="3" t="str">
        <v>Payment</v>
      </c>
      <c r="T12" s="10">
        <v>109890</v>
      </c>
      <c r="U12" s="3" t="str">
        <v>settlement</v>
      </c>
      <c r="V12" s="3" t="str">
        <v>977d17fb-7c25-45b0-85c9-5a1b57ce8eda</v>
      </c>
      <c r="W12" s="9">
        <v>46034.57361111111</v>
      </c>
      <c r="X12" s="3" t="s">
        <v>1</v>
      </c>
      <c r="Y12" s="18"/>
      <c r="Z12" s="21"/>
      <c r="AA12" s="18"/>
      <c r="AB12" s="18"/>
      <c r="AC12" s="18"/>
      <c r="AD12" s="18"/>
      <c r="AE12" s="18"/>
      <c r="AF12" s="18"/>
      <c r="AG12" s="18"/>
      <c r="AH12" s="22"/>
      <c r="AI12" s="18"/>
      <c r="AJ12" s="18"/>
      <c r="AK12" s="18"/>
      <c r="AL12" s="18"/>
      <c r="AM12" s="18"/>
    </row>
    <row r="13">
      <c r="E13" s="11">
        <f>IFERROR(INDEX($P:$P, ROW()), "")</f>
      </c>
      <c r="F13" s="2"/>
      <c r="G13" s="6">
        <f>IF(E13="","", ROUND(VALUE(INDEX($T:$T, ROW())), 0))</f>
      </c>
      <c r="H13" s="6">
        <f>INDEX($L$2:$L$99, MATCH(G13, $M$2:$M$99, 0))</f>
      </c>
      <c r="I13" s="12"/>
      <c r="K13" s="77" t="str">
        <v>MAPID MAPS- 5000 calls</v>
      </c>
      <c r="L13" s="78">
        <v>225000</v>
      </c>
      <c r="M13" s="78">
        <v>249750</v>
      </c>
      <c r="N13" s="75">
        <f>VALUE(SUBSTITUTE(SUBSTITUTE($M13,"Rp",""),",",""))</f>
      </c>
      <c r="O13" s="23"/>
      <c r="P13" s="9">
        <v>46038.427777777775</v>
      </c>
      <c r="Q13" s="3" t="str">
        <v>6969ad80be6921b5e3c1e7b4</v>
      </c>
      <c r="R13" s="3" t="str">
        <v>QRIS</v>
      </c>
      <c r="S13" s="3" t="str">
        <v>Payment</v>
      </c>
      <c r="T13" s="10">
        <v>773670</v>
      </c>
      <c r="U13" s="3" t="str">
        <v>settlement</v>
      </c>
      <c r="V13" s="3" t="str">
        <v>cf271c51-6fbe-4967-99df-ded811e9d918</v>
      </c>
      <c r="W13" s="8" t="str">
        <v>#######</v>
      </c>
      <c r="X13" s="3" t="s">
        <v>1</v>
      </c>
      <c r="Y13" s="18"/>
      <c r="Z13" s="21"/>
      <c r="AA13" s="18"/>
      <c r="AB13" s="18"/>
      <c r="AC13" s="18"/>
      <c r="AD13" s="18"/>
      <c r="AE13" s="18"/>
      <c r="AF13" s="18"/>
      <c r="AG13" s="18"/>
      <c r="AH13" s="22"/>
      <c r="AI13" s="18"/>
      <c r="AJ13" s="18"/>
      <c r="AK13" s="18"/>
      <c r="AL13" s="18"/>
      <c r="AM13" s="18"/>
    </row>
    <row r="14">
      <c r="A14" s="82" t="str">
        <v>Marketing Spent ()</v>
      </c>
      <c r="B14" s="82"/>
      <c r="E14" s="11">
        <f>IFERROR(INDEX($P:$P, ROW()), "")</f>
      </c>
      <c r="F14" s="2"/>
      <c r="G14" s="6">
        <f>IF(E14="","", ROUND(VALUE(INDEX($T:$T, ROW())), 0))</f>
      </c>
      <c r="H14" s="6">
        <f>INDEX($L$2:$L$99, MATCH(G14, $M$2:$M$99, 0))</f>
      </c>
      <c r="I14" s="12"/>
      <c r="O14" s="23"/>
      <c r="P14" s="9">
        <v>46039.71111111111</v>
      </c>
      <c r="Q14" s="3" t="str">
        <v>696b5e9ce6df6cbcdbc96342</v>
      </c>
      <c r="R14" s="3" t="str">
        <v>QRIS</v>
      </c>
      <c r="S14" s="3" t="str">
        <v>Payment</v>
      </c>
      <c r="T14" s="10">
        <v>109890</v>
      </c>
      <c r="U14" s="3" t="str">
        <v>settlement</v>
      </c>
      <c r="V14" s="3" t="str">
        <v>695570eb-4d03-44c4-96ad-649a39a78617</v>
      </c>
      <c r="W14" s="8" t="str">
        <v>#######</v>
      </c>
      <c r="X14" s="3" t="s">
        <v>1</v>
      </c>
      <c r="Y14" s="18"/>
      <c r="Z14" s="21"/>
      <c r="AA14" s="18"/>
      <c r="AB14" s="18"/>
      <c r="AC14" s="18"/>
      <c r="AD14" s="18"/>
      <c r="AE14" s="18"/>
      <c r="AF14" s="18"/>
      <c r="AG14" s="18"/>
      <c r="AH14" s="22"/>
      <c r="AI14" s="18"/>
      <c r="AJ14" s="18"/>
      <c r="AK14" s="18"/>
      <c r="AL14" s="18"/>
      <c r="AM14" s="18"/>
    </row>
    <row r="15">
      <c r="A15" s="19" t="str">
        <v>Ads Personal License</v>
      </c>
      <c r="B15" s="20">
        <v>451194</v>
      </c>
      <c r="E15" s="11">
        <f>IFERROR(INDEX($P:$P, ROW()), "")</f>
      </c>
      <c r="F15" s="2"/>
      <c r="G15" s="6">
        <f>IF(E15="","", ROUND(VALUE(INDEX($T:$T, ROW())), 0))</f>
      </c>
      <c r="H15" s="6">
        <f>INDEX($L$2:$L$99, MATCH(G15, $M$2:$M$99, 0))</f>
      </c>
      <c r="I15" s="12"/>
      <c r="O15" s="23"/>
      <c r="P15" s="9">
        <v>46041.70763888889</v>
      </c>
      <c r="Q15" s="3" t="str">
        <v>696de6218d3e045684fb8b3c</v>
      </c>
      <c r="R15" s="3" t="str">
        <v>QRIS</v>
      </c>
      <c r="S15" s="3" t="str">
        <v>Payment</v>
      </c>
      <c r="T15" s="10">
        <v>109890</v>
      </c>
      <c r="U15" s="3" t="str">
        <v>settlement</v>
      </c>
      <c r="V15" s="3" t="str">
        <v>1ed5fb67-48ad-4791-a58e-8fe30e41e533</v>
      </c>
      <c r="W15" s="8" t="str">
        <v>#######</v>
      </c>
      <c r="X15" s="3" t="s">
        <v>1</v>
      </c>
      <c r="Y15" s="18"/>
      <c r="Z15" s="21"/>
      <c r="AA15" s="18"/>
      <c r="AB15" s="18"/>
      <c r="AC15" s="18"/>
      <c r="AD15" s="18"/>
      <c r="AE15" s="18"/>
      <c r="AF15" s="18"/>
      <c r="AG15" s="18"/>
      <c r="AH15" s="22"/>
      <c r="AI15" s="18"/>
      <c r="AJ15" s="18"/>
      <c r="AK15" s="18"/>
      <c r="AL15" s="18"/>
      <c r="AM15" s="18"/>
    </row>
    <row r="16">
      <c r="A16" s="19" t="str">
        <v>Ads Business Expansion</v>
      </c>
      <c r="B16" s="20">
        <v>2078387</v>
      </c>
      <c r="E16" s="11">
        <f>IFERROR(INDEX($P:$P, ROW()), "")</f>
      </c>
      <c r="F16" s="2"/>
      <c r="G16" s="6">
        <f>IF(E16="","", ROUND(VALUE(INDEX($T:$T, ROW())), 0))</f>
      </c>
      <c r="H16" s="6">
        <f>INDEX($L$2:$L$99, MATCH(G16, $M$2:$M$99, 0))</f>
      </c>
      <c r="I16" s="12"/>
      <c r="O16" s="23"/>
      <c r="P16" s="9">
        <v>46044.35277777778</v>
      </c>
      <c r="Q16" s="3" t="str">
        <v>69717d1f9171a41f8f141bdb</v>
      </c>
      <c r="R16" s="3" t="str">
        <v>QRIS</v>
      </c>
      <c r="S16" s="3" t="str">
        <v>Payment</v>
      </c>
      <c r="T16" s="10">
        <v>109890</v>
      </c>
      <c r="U16" s="3" t="str">
        <v>settlement</v>
      </c>
      <c r="V16" s="3" t="str">
        <v>c06d406f-6962-474d-9997-e023db0864bb</v>
      </c>
      <c r="W16" s="9">
        <v>46044.35277777778</v>
      </c>
      <c r="X16" s="3" t="s">
        <v>1</v>
      </c>
      <c r="Y16" s="18"/>
      <c r="Z16" s="21"/>
      <c r="AA16" s="18"/>
      <c r="AB16" s="18"/>
      <c r="AC16" s="18"/>
      <c r="AD16" s="18"/>
      <c r="AE16" s="18"/>
      <c r="AF16" s="18"/>
      <c r="AG16" s="18"/>
      <c r="AH16" s="22"/>
      <c r="AI16" s="18"/>
      <c r="AJ16" s="18"/>
      <c r="AK16" s="18"/>
      <c r="AL16" s="18"/>
      <c r="AM16" s="18"/>
    </row>
    <row r="17">
      <c r="E17" s="11">
        <f>IFERROR(INDEX($P:$P, ROW()), "")</f>
      </c>
      <c r="F17" s="2"/>
      <c r="G17" s="6">
        <f>IF(E17="","", ROUND(VALUE(INDEX($T:$T, ROW())), 0))</f>
      </c>
      <c r="H17" s="6">
        <f>INDEX($L$2:$L$99, MATCH(G17, $M$2:$M$99, 0))</f>
      </c>
      <c r="I17" s="12"/>
      <c r="O17" s="23"/>
      <c r="P17" s="9">
        <v>46044.779861111114</v>
      </c>
      <c r="Q17" s="3" t="str">
        <v>69720d3d2e65708291de5958</v>
      </c>
      <c r="R17" s="3" t="str">
        <v>QRIS</v>
      </c>
      <c r="S17" s="3" t="str">
        <v>Payment</v>
      </c>
      <c r="T17" s="10">
        <v>109890</v>
      </c>
      <c r="U17" s="3" t="str">
        <v>settlement</v>
      </c>
      <c r="V17" s="3" t="str">
        <v>9b09a2d8-d63e-40c5-bb7d-e49dba503521</v>
      </c>
      <c r="W17" s="9">
        <v>46044.77916666667</v>
      </c>
      <c r="X17" s="3" t="s">
        <v>6</v>
      </c>
      <c r="Y17" s="18"/>
      <c r="Z17" s="21"/>
      <c r="AA17" s="18"/>
      <c r="AB17" s="18"/>
      <c r="AC17" s="18"/>
      <c r="AD17" s="18"/>
      <c r="AE17" s="18"/>
      <c r="AF17" s="18"/>
      <c r="AG17" s="18"/>
      <c r="AH17" s="22"/>
      <c r="AI17" s="18"/>
      <c r="AJ17" s="18"/>
      <c r="AK17" s="18"/>
      <c r="AL17" s="18"/>
      <c r="AM17" s="18"/>
    </row>
    <row r="18">
      <c r="E18" s="11">
        <f>IFERROR(INDEX($P:$P, ROW()), "")</f>
      </c>
      <c r="F18" s="2"/>
      <c r="G18" s="6">
        <f>IF(E18="","", ROUND(VALUE(INDEX($T:$T, ROW())), 0))</f>
      </c>
      <c r="H18" s="6">
        <f>INDEX($L$2:$L$99, MATCH(G18, $M$2:$M$99, 0))</f>
      </c>
      <c r="I18" s="12"/>
      <c r="O18" s="23"/>
      <c r="P18" s="9">
        <v>46045.38402777778</v>
      </c>
      <c r="Q18" s="3" t="str">
        <v>MAPS-885-ea40-4156-82b3-d150f3d319e7-1769134421322</v>
      </c>
      <c r="R18" s="3" t="str">
        <v>QRIS</v>
      </c>
      <c r="S18" s="3" t="str">
        <v>Payment</v>
      </c>
      <c r="T18" s="10">
        <v>249750</v>
      </c>
      <c r="U18" s="3" t="str">
        <v>settlement</v>
      </c>
      <c r="V18" s="3" t="str">
        <v>85924b65-9273-42ee-8d99-28bc2eb33d62</v>
      </c>
      <c r="W18" s="9">
        <v>46045.38402777778</v>
      </c>
      <c r="X18" s="3" t="s">
        <v>5</v>
      </c>
      <c r="Y18" s="18"/>
      <c r="Z18" s="21"/>
      <c r="AA18" s="18"/>
      <c r="AB18" s="18"/>
      <c r="AC18" s="18"/>
      <c r="AD18" s="18"/>
      <c r="AE18" s="18"/>
      <c r="AF18" s="18"/>
      <c r="AG18" s="18"/>
      <c r="AH18" s="22"/>
      <c r="AI18" s="18"/>
      <c r="AJ18" s="18"/>
      <c r="AK18" s="18"/>
      <c r="AL18" s="18"/>
      <c r="AM18" s="18"/>
    </row>
    <row r="19">
      <c r="E19" s="11">
        <f>IFERROR(INDEX($P:$P, ROW()), "")</f>
      </c>
      <c r="F19" s="2"/>
      <c r="G19" s="6">
        <f>IF(E19="","", ROUND(VALUE(INDEX($T:$T, ROW())), 0))</f>
      </c>
      <c r="H19" s="6">
        <f>INDEX($L$2:$L$99, MATCH(G19, $M$2:$M$99, 0))</f>
      </c>
      <c r="I19" s="12"/>
      <c r="O19" s="23"/>
      <c r="P19" s="9">
        <v>46046.87291666667</v>
      </c>
      <c r="Q19" s="3" t="str">
        <v>6974cf819a5ab4f1ad0fcc55</v>
      </c>
      <c r="R19" s="3" t="str">
        <v>QRIS</v>
      </c>
      <c r="S19" s="3" t="str">
        <v>Payment</v>
      </c>
      <c r="T19" s="10">
        <v>109890</v>
      </c>
      <c r="U19" s="3" t="str">
        <v>settlement</v>
      </c>
      <c r="V19" s="3" t="str">
        <v>c9af4b4a-8b01-4f59-b0d9-fc451a044325</v>
      </c>
      <c r="W19" s="9">
        <v>46046.87291666667</v>
      </c>
      <c r="X19" s="3" t="s">
        <v>1</v>
      </c>
      <c r="Y19" s="18"/>
      <c r="Z19" s="21"/>
      <c r="AA19" s="18"/>
      <c r="AB19" s="18"/>
      <c r="AC19" s="18"/>
      <c r="AD19" s="18"/>
      <c r="AE19" s="18"/>
      <c r="AF19" s="18"/>
      <c r="AG19" s="18"/>
      <c r="AH19" s="22"/>
      <c r="AI19" s="18"/>
      <c r="AJ19" s="18"/>
      <c r="AK19" s="18"/>
      <c r="AL19" s="18"/>
      <c r="AM19" s="18"/>
    </row>
    <row r="20">
      <c r="E20" s="11">
        <f>IFERROR(INDEX($P:$P, ROW()), "")</f>
      </c>
      <c r="F20" s="2"/>
      <c r="G20" s="6">
        <f>IF(E20="","", ROUND(VALUE(INDEX($T:$T, ROW())), 0))</f>
      </c>
      <c r="H20" s="6">
        <f>INDEX($L$2:$L$99, MATCH(G20, $M$2:$M$99, 0))</f>
      </c>
      <c r="I20" s="12"/>
      <c r="O20" s="23"/>
      <c r="P20" s="9">
        <v>46047.98888888889</v>
      </c>
      <c r="Q20" s="3" t="str">
        <v>69764855824699139bce5113</v>
      </c>
      <c r="R20" s="3" t="str">
        <v>QRIS</v>
      </c>
      <c r="S20" s="3" t="str">
        <v>Payment</v>
      </c>
      <c r="T20" s="10">
        <v>109890</v>
      </c>
      <c r="U20" s="3" t="str">
        <v>settlement</v>
      </c>
      <c r="V20" s="3" t="str">
        <v>8d2341b7-1365-4f0e-8c39-942c86ca014e</v>
      </c>
      <c r="W20" s="9">
        <v>46047.98888888889</v>
      </c>
      <c r="X20" s="3" t="s">
        <v>1</v>
      </c>
      <c r="Y20" s="18"/>
      <c r="Z20" s="21"/>
      <c r="AA20" s="18"/>
      <c r="AB20" s="18"/>
      <c r="AC20" s="18"/>
      <c r="AD20" s="18"/>
      <c r="AE20" s="18"/>
      <c r="AF20" s="18"/>
      <c r="AG20" s="18"/>
      <c r="AH20" s="22"/>
      <c r="AI20" s="18"/>
      <c r="AJ20" s="18"/>
      <c r="AK20" s="18"/>
      <c r="AL20" s="18"/>
      <c r="AM20" s="18"/>
    </row>
    <row r="21">
      <c r="E21" s="11">
        <f>IFERROR(INDEX($P:$P, ROW()), "")</f>
      </c>
      <c r="F21" s="2"/>
      <c r="G21" s="6">
        <f>IF(E21="","", ROUND(VALUE(INDEX($T:$T, ROW())), 0))</f>
      </c>
      <c r="H21" s="6">
        <f>INDEX($L$2:$L$99, MATCH(G21, $M$2:$M$99, 0))</f>
      </c>
      <c r="I21" s="12"/>
      <c r="O21" s="23"/>
      <c r="P21" s="9">
        <v>46048.56041666667</v>
      </c>
      <c r="Q21" s="3" t="str">
        <v>697709667a9aa2a4cc637c17</v>
      </c>
      <c r="R21" s="3" t="str">
        <v>QRIS</v>
      </c>
      <c r="S21" s="3" t="str">
        <v>Payment</v>
      </c>
      <c r="T21" s="10">
        <v>109890</v>
      </c>
      <c r="U21" s="3" t="str">
        <v>settlement</v>
      </c>
      <c r="V21" s="3" t="str">
        <v>b1d6af08-a5b2-43ad-872f-e30bee7f115c</v>
      </c>
      <c r="W21" s="8" t="str">
        <v>#######</v>
      </c>
      <c r="X21" s="3" t="s">
        <v>1</v>
      </c>
      <c r="Y21" s="28"/>
      <c r="Z21" s="30"/>
      <c r="AA21" s="30"/>
      <c r="AB21" s="30"/>
      <c r="AC21" s="30"/>
      <c r="AD21" s="30"/>
      <c r="AE21" s="30"/>
      <c r="AF21" s="30"/>
      <c r="AG21" s="30"/>
      <c r="AH21" s="30"/>
      <c r="AI21" s="30"/>
      <c r="AJ21" s="18"/>
      <c r="AK21" s="18"/>
      <c r="AL21" s="18"/>
      <c r="AM21" s="18"/>
    </row>
    <row r="22">
      <c r="B22" s="14"/>
      <c r="C22" s="14"/>
      <c r="E22" s="11">
        <f>IFERROR(INDEX($P:$P, ROW()), "")</f>
      </c>
      <c r="F22" s="2"/>
      <c r="G22" s="6">
        <f>IF(E22="","", ROUND(VALUE(INDEX($T:$T, ROW())), 0))</f>
      </c>
      <c r="H22" s="6">
        <f>INDEX($L$2:$L$99, MATCH(G22, $M$2:$M$99, 0))</f>
      </c>
      <c r="I22" s="12"/>
      <c r="J22" s="14"/>
      <c r="O22" s="23"/>
      <c r="P22" s="9">
        <v>46049.03333333333</v>
      </c>
      <c r="Q22" s="3" t="str">
        <v>6977a890db8196a9d35c91c8</v>
      </c>
      <c r="R22" s="3" t="str">
        <v>QRIS</v>
      </c>
      <c r="S22" s="3" t="str">
        <v>Payment</v>
      </c>
      <c r="T22" s="10">
        <v>109890</v>
      </c>
      <c r="U22" s="3" t="str">
        <v>settlement</v>
      </c>
      <c r="V22" s="3" t="str">
        <v>e16a2fd3-4f9b-464d-ab1b-af3f65fc1e45</v>
      </c>
      <c r="W22" s="8" t="str">
        <v>#######</v>
      </c>
      <c r="X22" s="3" t="s">
        <v>1</v>
      </c>
      <c r="Y22" s="28"/>
      <c r="Z22" s="30"/>
      <c r="AA22" s="30"/>
      <c r="AB22" s="30"/>
      <c r="AC22" s="30"/>
      <c r="AD22" s="30"/>
      <c r="AE22" s="30"/>
      <c r="AF22" s="30"/>
      <c r="AG22" s="30"/>
      <c r="AH22" s="30"/>
      <c r="AI22" s="30"/>
      <c r="AJ22" s="18"/>
      <c r="AK22" s="18"/>
      <c r="AL22" s="18"/>
      <c r="AM22" s="18"/>
    </row>
    <row r="23">
      <c r="B23" s="24"/>
      <c r="C23" s="65"/>
      <c r="E23" s="11">
        <f>IFERROR(INDEX($P:$P, ROW()), "")</f>
      </c>
      <c r="F23" s="2"/>
      <c r="G23" s="6">
        <f>IF(E23="","", ROUND(VALUE(INDEX($T:$T, ROW())), 0))</f>
      </c>
      <c r="H23" s="6">
        <f>INDEX($L$2:$L$99, MATCH(G23, $M$2:$M$99, 0))</f>
      </c>
      <c r="I23" s="12"/>
      <c r="O23" s="23"/>
      <c r="P23" s="9">
        <v>46050.37986111111</v>
      </c>
      <c r="Q23" s="3" t="str">
        <v>69796f555bcd522a9ad34310</v>
      </c>
      <c r="R23" s="3" t="str">
        <v>QRIS</v>
      </c>
      <c r="S23" s="3" t="str">
        <v>Payment</v>
      </c>
      <c r="T23" s="10">
        <v>109890</v>
      </c>
      <c r="U23" s="3" t="str">
        <v>settlement</v>
      </c>
      <c r="V23" s="3" t="str">
        <v>1608e1dc-ed02-4336-9498-6367cb2e9eab</v>
      </c>
      <c r="W23" s="8" t="str">
        <v>#######</v>
      </c>
      <c r="X23" s="3" t="s">
        <v>1</v>
      </c>
      <c r="Y23" s="28"/>
      <c r="Z23" s="30"/>
      <c r="AA23" s="30"/>
      <c r="AB23" s="30"/>
      <c r="AC23" s="30"/>
      <c r="AD23" s="30"/>
      <c r="AE23" s="30"/>
      <c r="AF23" s="30"/>
      <c r="AG23" s="30"/>
      <c r="AH23" s="30"/>
      <c r="AI23" s="30"/>
      <c r="AJ23" s="18"/>
      <c r="AK23" s="18"/>
      <c r="AL23" s="18"/>
      <c r="AM23" s="18"/>
    </row>
    <row r="24">
      <c r="B24" s="24"/>
      <c r="C24" s="65"/>
      <c r="E24" s="11">
        <f>IFERROR(INDEX($P:$P, ROW()), "")</f>
      </c>
      <c r="F24" s="2"/>
      <c r="G24" s="6">
        <f>IF(E24="","", ROUND(VALUE(INDEX($T:$T, ROW())), 0))</f>
      </c>
      <c r="H24" s="6">
        <f>INDEX($L$2:$L$99, MATCH(G24, $M$2:$M$99, 0))</f>
      </c>
      <c r="I24" s="12"/>
      <c r="K24" s="30"/>
      <c r="O24" s="23"/>
      <c r="P24" s="9">
        <v>46051.47708333333</v>
      </c>
      <c r="Q24" s="3" t="str">
        <v>697ae18857f3db06f9c3c1a8</v>
      </c>
      <c r="R24" s="3" t="str">
        <v>QRIS</v>
      </c>
      <c r="S24" s="3" t="str">
        <v>Payment</v>
      </c>
      <c r="T24" s="10">
        <v>109890</v>
      </c>
      <c r="U24" s="3" t="str">
        <v>settlement</v>
      </c>
      <c r="V24" s="3" t="str">
        <v>59f0831b-bf99-4f46-bb52-c67d9c7fffd4</v>
      </c>
      <c r="W24" s="8" t="str">
        <v>#######</v>
      </c>
      <c r="X24" s="3" t="s">
        <v>1</v>
      </c>
      <c r="Y24" s="28"/>
      <c r="Z24" s="30"/>
      <c r="AA24" s="30"/>
      <c r="AB24" s="30"/>
      <c r="AC24" s="30"/>
      <c r="AD24" s="30"/>
      <c r="AE24" s="30"/>
      <c r="AF24" s="30"/>
      <c r="AG24" s="30"/>
      <c r="AH24" s="30"/>
      <c r="AI24" s="30"/>
      <c r="AJ24" s="18"/>
      <c r="AK24" s="18"/>
      <c r="AL24" s="18"/>
      <c r="AM24" s="18"/>
    </row>
    <row r="25">
      <c r="B25" s="62"/>
      <c r="C25" s="62"/>
      <c r="E25" s="11">
        <f>IFERROR(INDEX($P:$P, ROW()), "")</f>
      </c>
      <c r="F25" s="2"/>
      <c r="G25" s="6">
        <f>IF(E25="","", ROUND(VALUE(INDEX($T:$T, ROW())), 0))</f>
      </c>
      <c r="H25" s="6">
        <f>INDEX($L$2:$L$99, MATCH(G25, $M$2:$M$99, 0))</f>
      </c>
      <c r="I25" s="12"/>
      <c r="O25" s="23"/>
      <c r="P25" s="9">
        <v>46051.71666666667</v>
      </c>
      <c r="Q25" s="3" t="str">
        <v>697b3269cf6e06c5eb6d2c0c</v>
      </c>
      <c r="R25" s="3" t="str">
        <v>QRIS</v>
      </c>
      <c r="S25" s="3" t="str">
        <v>Payment</v>
      </c>
      <c r="T25" s="10">
        <v>109890</v>
      </c>
      <c r="U25" s="3" t="str">
        <v>settlement</v>
      </c>
      <c r="V25" s="3" t="str">
        <v>8428dd99-b2c6-41de-be7b-77f24845beac</v>
      </c>
      <c r="W25" s="8" t="str">
        <v>#######</v>
      </c>
      <c r="X25" s="3" t="s">
        <v>1</v>
      </c>
      <c r="Y25" s="28"/>
      <c r="Z25" s="30"/>
      <c r="AA25" s="30"/>
      <c r="AB25" s="30"/>
      <c r="AC25" s="30"/>
      <c r="AD25" s="30"/>
      <c r="AE25" s="30"/>
      <c r="AF25" s="30"/>
      <c r="AG25" s="30"/>
      <c r="AH25" s="30"/>
      <c r="AI25" s="30"/>
    </row>
    <row r="26">
      <c r="B26" s="14"/>
      <c r="C26" s="14"/>
      <c r="E26" s="11">
        <f>IFERROR(INDEX($P:$P, ROW()), "")</f>
      </c>
      <c r="F26" s="2"/>
      <c r="G26" s="6">
        <f>IF(E26="","", ROUND(VALUE(INDEX($T:$T, ROW())), 0))</f>
      </c>
      <c r="H26" s="6">
        <f>INDEX($L$2:$L$99, MATCH(G26, $M$2:$M$99, 0))</f>
      </c>
      <c r="I26" s="12"/>
      <c r="K26" s="30"/>
      <c r="O26" s="23"/>
      <c r="P26" s="9">
        <v>46055.29305555556</v>
      </c>
      <c r="Q26" s="3" t="str">
        <v>697fe98bd1a5ca6c50071102</v>
      </c>
      <c r="R26" s="3" t="str">
        <v>Mandiri Bill</v>
      </c>
      <c r="S26" s="3" t="str">
        <v>Payment</v>
      </c>
      <c r="T26" s="10">
        <v>1547340</v>
      </c>
      <c r="U26" s="3" t="str">
        <v>settlement</v>
      </c>
      <c r="V26" s="3" t="str">
        <v>55e5e01c-0eb3-47e2-b147-a520dda7f653</v>
      </c>
      <c r="W26" s="8" t="str">
        <v>#######</v>
      </c>
      <c r="X26" s="3" t="s">
        <v>1</v>
      </c>
      <c r="Y26" s="3"/>
      <c r="Z26" s="30"/>
      <c r="AA26" s="30"/>
      <c r="AB26" s="30"/>
      <c r="AC26" s="30"/>
      <c r="AD26" s="30"/>
      <c r="AE26" s="30"/>
      <c r="AF26" s="30"/>
      <c r="AG26" s="30"/>
      <c r="AH26" s="30"/>
      <c r="AI26" s="30"/>
    </row>
    <row r="27">
      <c r="E27" s="11">
        <f>IFERROR(INDEX($P:$P, ROW()), "")</f>
      </c>
      <c r="F27" s="64"/>
      <c r="G27" s="6">
        <f>IF(E27="","", ROUND(VALUE(INDEX($T:$T, ROW())), 0))</f>
      </c>
      <c r="H27" s="6">
        <f>INDEX($L$2:$L$99, MATCH(G27, $M$2:$M$99, 0))</f>
      </c>
      <c r="I27" s="12"/>
      <c r="O27" s="23"/>
      <c r="P27" s="9">
        <v>46056.81458333333</v>
      </c>
      <c r="Q27" s="3" t="str">
        <v>6981eb01bbaa47f3ceea5945</v>
      </c>
      <c r="R27" s="3" t="str">
        <v>QRIS</v>
      </c>
      <c r="S27" s="3" t="str">
        <v>Payment</v>
      </c>
      <c r="T27" s="10">
        <v>109890</v>
      </c>
      <c r="U27" s="3" t="str">
        <v>settlement</v>
      </c>
      <c r="V27" s="3" t="str">
        <v>87c89e72-a6e5-4bf2-9037-652d324d7486</v>
      </c>
      <c r="W27" s="9">
        <v>46056.81458333333</v>
      </c>
      <c r="X27" s="3" t="s">
        <v>1</v>
      </c>
      <c r="Y27" s="28"/>
      <c r="Z27" s="30"/>
      <c r="AA27" s="30"/>
      <c r="AB27" s="30"/>
      <c r="AC27" s="30"/>
      <c r="AD27" s="30"/>
      <c r="AE27" s="30"/>
      <c r="AF27" s="30"/>
      <c r="AG27" s="30"/>
      <c r="AH27" s="30"/>
      <c r="AI27" s="30"/>
    </row>
    <row r="28">
      <c r="A28" s="14"/>
      <c r="B28" s="14"/>
      <c r="E28" s="11">
        <f>IFERROR(INDEX($P:$P, ROW()), "")</f>
      </c>
      <c r="F28" s="2"/>
      <c r="G28" s="6">
        <f>IF(E28="","", ROUND(VALUE(INDEX($T:$T, ROW())), 0))</f>
      </c>
      <c r="H28" s="6">
        <f>INDEX($L$2:$L$99, MATCH(G28, $M$2:$M$99, 0))</f>
      </c>
      <c r="I28" s="12"/>
      <c r="O28" s="23"/>
      <c r="P28" s="9">
        <v>46058.388194444444</v>
      </c>
      <c r="Q28" s="3" t="str">
        <v>6983fe19bbaa47f3ce45c805</v>
      </c>
      <c r="R28" s="3" t="str">
        <v>QRIS</v>
      </c>
      <c r="S28" s="3" t="str">
        <v>Payment</v>
      </c>
      <c r="T28" s="10">
        <v>109890</v>
      </c>
      <c r="U28" s="3" t="str">
        <v>settlement</v>
      </c>
      <c r="V28" s="3" t="str">
        <v>55791eef-91c6-408b-a356-4bf5724d91c5</v>
      </c>
      <c r="W28" s="9">
        <v>46058.388194444444</v>
      </c>
      <c r="X28" s="3" t="s">
        <v>1</v>
      </c>
      <c r="Y28" s="28"/>
      <c r="Z28" s="30"/>
      <c r="AA28" s="30"/>
      <c r="AB28" s="30"/>
      <c r="AC28" s="30"/>
      <c r="AD28" s="30"/>
      <c r="AE28" s="30"/>
      <c r="AF28" s="30"/>
      <c r="AG28" s="30"/>
      <c r="AH28" s="30"/>
      <c r="AI28" s="30"/>
    </row>
    <row r="29">
      <c r="A29" s="24"/>
      <c r="B29" s="65"/>
      <c r="E29" s="11">
        <f>IFERROR(INDEX($P:$P, ROW()), "")</f>
      </c>
      <c r="F29" s="2"/>
      <c r="G29" s="6">
        <f>IF(E29="","", ROUND(VALUE(INDEX($T:$T, ROW())), 0))</f>
      </c>
      <c r="H29" s="6">
        <f>INDEX($L$2:$L$99, MATCH(G29, $M$2:$M$99, 0))</f>
      </c>
      <c r="I29" s="12"/>
      <c r="O29" s="66"/>
      <c r="P29" s="9">
        <v>46061.345138888886</v>
      </c>
      <c r="Q29" s="3" t="str">
        <v>6987e3892d33abfe64f8c402</v>
      </c>
      <c r="R29" s="3" t="str">
        <v>QRIS</v>
      </c>
      <c r="S29" s="3" t="str">
        <v>Payment</v>
      </c>
      <c r="T29" s="10">
        <v>109890</v>
      </c>
      <c r="U29" s="3" t="str">
        <v>settlement</v>
      </c>
      <c r="V29" s="3" t="str">
        <v>aa4f0e89-c392-45f0-bd1f-10ed21dd7ae3</v>
      </c>
      <c r="W29" s="9">
        <v>46061.345138888886</v>
      </c>
      <c r="X29" s="3" t="s">
        <v>3</v>
      </c>
      <c r="Y29" s="28"/>
      <c r="Z29" s="30"/>
      <c r="AA29" s="30"/>
      <c r="AB29" s="30"/>
      <c r="AC29" s="30"/>
      <c r="AD29" s="30"/>
      <c r="AE29" s="30"/>
      <c r="AF29" s="30"/>
      <c r="AG29" s="30"/>
      <c r="AH29" s="30"/>
      <c r="AI29" s="30"/>
    </row>
    <row r="30">
      <c r="A30" s="24"/>
      <c r="B30" s="65"/>
      <c r="E30" s="11">
        <f>IFERROR(INDEX($P:$P, ROW()), "")</f>
      </c>
      <c r="F30" s="2"/>
      <c r="G30" s="6">
        <f>IF(E30="","", ROUND(VALUE(INDEX($T:$T, ROW())), 0))</f>
      </c>
      <c r="H30" s="6">
        <f>INDEX($L$2:$L$99, MATCH(G30, $M$2:$M$99, 0))</f>
      </c>
      <c r="I30" s="12"/>
      <c r="O30" s="23"/>
      <c r="P30" s="9">
        <v>46062.59861111111</v>
      </c>
      <c r="Q30" s="3" t="str">
        <v>69898b37bbaa47f3ce53b749</v>
      </c>
      <c r="R30" s="3" t="str">
        <v>QRIS</v>
      </c>
      <c r="S30" s="3" t="str">
        <v>Payment</v>
      </c>
      <c r="T30" s="10">
        <v>109890</v>
      </c>
      <c r="U30" s="3" t="str">
        <v>settlement</v>
      </c>
      <c r="V30" s="3" t="str">
        <v>c0df8590-392c-404e-84aa-de47860df7e9</v>
      </c>
      <c r="W30" s="8" t="str">
        <v>#######</v>
      </c>
      <c r="X30" s="3" t="s">
        <v>1</v>
      </c>
      <c r="Y30" s="18"/>
      <c r="Z30" s="4"/>
      <c r="AH30" s="5"/>
    </row>
    <row r="31">
      <c r="A31" s="62"/>
      <c r="B31" s="62"/>
      <c r="E31" s="11">
        <f>IFERROR(INDEX($P:$P, ROW()), "")</f>
      </c>
      <c r="F31" s="2"/>
      <c r="G31" s="6">
        <f>IF(E31="","", ROUND(VALUE(INDEX($T:$T, ROW())), 0))</f>
      </c>
      <c r="H31" s="6">
        <f>INDEX($L$2:$L$99, MATCH(G31, $M$2:$M$99, 0))</f>
      </c>
      <c r="I31" s="12"/>
      <c r="O31" s="23"/>
      <c r="P31" s="9">
        <v>46064.91388888889</v>
      </c>
      <c r="Q31" s="3" t="str">
        <v>698c986c9e209fa194e8e7fd</v>
      </c>
      <c r="R31" s="3" t="str">
        <v>QRIS</v>
      </c>
      <c r="S31" s="3" t="str">
        <v>Payment</v>
      </c>
      <c r="T31" s="10">
        <v>109890</v>
      </c>
      <c r="U31" s="3" t="str">
        <v>settlement</v>
      </c>
      <c r="V31" s="3" t="str">
        <v>aed28918-6b39-455e-a2d2-ba50e98893eb</v>
      </c>
      <c r="W31" s="8" t="str">
        <v>#######</v>
      </c>
      <c r="X31" s="3" t="s">
        <v>1</v>
      </c>
      <c r="Y31" s="18"/>
      <c r="Z31" s="4"/>
      <c r="AH31" s="5"/>
    </row>
    <row r="32">
      <c r="A32" s="14"/>
      <c r="B32" s="14"/>
      <c r="E32" s="11">
        <f>IFERROR(INDEX($P:$P, ROW()), "")</f>
      </c>
      <c r="F32" s="2"/>
      <c r="G32" s="6">
        <f>IF(E32="","", ROUND(VALUE(INDEX($T:$T, ROW())), 0))</f>
      </c>
      <c r="H32" s="6">
        <f>INDEX($L$2:$L$99, MATCH(G32, $M$2:$M$99, 0))</f>
      </c>
      <c r="I32" s="12"/>
      <c r="O32" s="23"/>
      <c r="P32" s="9">
        <v>46066.604166666664</v>
      </c>
      <c r="Q32" s="3" t="str">
        <v>698ed3009e209fa1945aae9a</v>
      </c>
      <c r="R32" s="3" t="str">
        <v>QRIS</v>
      </c>
      <c r="S32" s="3" t="str">
        <v>Payment</v>
      </c>
      <c r="T32" s="10">
        <v>109890</v>
      </c>
      <c r="U32" s="3" t="str">
        <v>settlement</v>
      </c>
      <c r="V32" s="3" t="str">
        <v>eb2f38ae-f631-47f5-acf3-2a2aac1e37ee</v>
      </c>
      <c r="W32" s="8" t="str">
        <v>#######</v>
      </c>
      <c r="X32" s="3" t="s">
        <v>1</v>
      </c>
      <c r="Y32" s="18"/>
      <c r="Z32" s="4"/>
      <c r="AH32" s="5"/>
    </row>
    <row r="33">
      <c r="A33" s="14"/>
      <c r="B33" s="14"/>
      <c r="E33" s="11">
        <f>IFERROR(INDEX($P:$P, ROW()), "")</f>
      </c>
      <c r="F33" s="2"/>
      <c r="G33" s="6">
        <f>IF(E33="","", ROUND(VALUE(INDEX($T:$T, ROW())), 0))</f>
      </c>
      <c r="H33" s="6">
        <f>INDEX($L$2:$L$99, MATCH(G33, $M$2:$M$99, 0))</f>
      </c>
      <c r="I33" s="12"/>
      <c r="O33" s="23"/>
      <c r="P33" s="9">
        <v>46067.43402777778</v>
      </c>
      <c r="Q33" s="3" t="str">
        <v>698feaa602ca69c981bf6d6b</v>
      </c>
      <c r="R33" s="3" t="str">
        <v>Mandiri Bill</v>
      </c>
      <c r="S33" s="3" t="str">
        <v>Payment</v>
      </c>
      <c r="T33" s="10">
        <v>7736700</v>
      </c>
      <c r="U33" s="3" t="str">
        <v>settlement</v>
      </c>
      <c r="V33" s="3" t="str">
        <v>267543ab-68ed-40c4-ad1f-85cf6c7fa7c5</v>
      </c>
      <c r="W33" s="8" t="str">
        <v>#######</v>
      </c>
      <c r="X33" s="3" t="s">
        <v>1</v>
      </c>
      <c r="Y33" s="18"/>
      <c r="Z33" s="4"/>
      <c r="AH33" s="5"/>
    </row>
    <row r="34">
      <c r="A34" s="14"/>
      <c r="B34" s="14"/>
      <c r="E34" s="11">
        <f>IFERROR(INDEX($P:$P, ROW()), "")</f>
      </c>
      <c r="F34" s="2"/>
      <c r="G34" s="6">
        <f>IF(E34="","", ROUND(VALUE(INDEX($T:$T, ROW())), 0))</f>
      </c>
      <c r="H34" s="6">
        <f>INDEX($L$2:$L$99, MATCH(G34, $M$2:$M$99, 0))</f>
      </c>
      <c r="I34" s="12"/>
      <c r="O34" s="23"/>
      <c r="P34" s="9">
        <v>46071.43402777778</v>
      </c>
      <c r="Q34" s="3" t="str">
        <v>699508ff9e209fa1942edcd6</v>
      </c>
      <c r="R34" s="3" t="str">
        <v>QRIS</v>
      </c>
      <c r="S34" s="3" t="str">
        <v>Payment</v>
      </c>
      <c r="T34" s="10">
        <v>109890</v>
      </c>
      <c r="U34" s="3" t="str">
        <v>settlement</v>
      </c>
      <c r="V34" s="3" t="str">
        <v>cc486d72-95d3-400f-9c68-f1f195998706</v>
      </c>
      <c r="W34" s="8" t="str">
        <v>2026-02-18 07:34:17+07:00</v>
      </c>
      <c r="X34" s="3" t="s">
        <v>1</v>
      </c>
      <c r="Y34" s="28"/>
      <c r="Z34" s="4"/>
      <c r="AH34" s="5"/>
    </row>
    <row r="35">
      <c r="E35" s="11">
        <f>IFERROR(INDEX($P:$P, ROW()), "")</f>
      </c>
      <c r="F35" s="2"/>
      <c r="G35" s="6">
        <f>IF(E35="","", ROUND(VALUE(INDEX($T:$T, ROW())), 0))</f>
      </c>
      <c r="H35" s="6">
        <f>INDEX($L$2:$L$99, MATCH(G35, $M$2:$M$99, 0))</f>
      </c>
      <c r="I35" s="12"/>
      <c r="O35" s="23"/>
      <c r="P35" s="9">
        <v>46074.36041666667</v>
      </c>
      <c r="Q35" s="3" t="str">
        <v>69990cba15c8092fe2fb6c78</v>
      </c>
      <c r="R35" s="3" t="str">
        <v>QRIS</v>
      </c>
      <c r="S35" s="3" t="str">
        <v>Payment</v>
      </c>
      <c r="T35" s="10">
        <v>109890</v>
      </c>
      <c r="U35" s="3" t="str">
        <v>settlement</v>
      </c>
      <c r="V35" s="3" t="str">
        <v>452ce53e-d0c7-44f4-9575-cab8d735f90b</v>
      </c>
      <c r="W35" s="8" t="str">
        <v>#######</v>
      </c>
      <c r="X35" s="3" t="s">
        <v>1</v>
      </c>
      <c r="Y35" s="28"/>
      <c r="Z35" s="4"/>
      <c r="AH35" s="5"/>
    </row>
    <row r="36">
      <c r="E36" s="11">
        <f>IFERROR(INDEX($P:$P, ROW()), "")</f>
      </c>
      <c r="F36" s="2"/>
      <c r="G36" s="6">
        <f>IF(E36="","", ROUND(VALUE(INDEX($T:$T, ROW())), 0))</f>
      </c>
      <c r="H36" s="6">
        <f>INDEX($L$2:$L$99, MATCH(G36, $M$2:$M$99, 0))</f>
      </c>
      <c r="I36" s="12"/>
      <c r="O36" s="23"/>
      <c r="P36" s="9">
        <v>46075.32638888889</v>
      </c>
      <c r="Q36" s="3" t="str">
        <v>699a52be15c8092fe222e8e6</v>
      </c>
      <c r="R36" s="3" t="str">
        <v>QRIS</v>
      </c>
      <c r="S36" s="3" t="str">
        <v>Payment</v>
      </c>
      <c r="T36" s="10">
        <v>109890</v>
      </c>
      <c r="U36" s="3" t="str">
        <v>settlement</v>
      </c>
      <c r="V36" s="3" t="str">
        <v>40ce253b-fd17-4289-bdca-0dc89abe3a5a</v>
      </c>
      <c r="W36" s="8" t="str">
        <v>#######</v>
      </c>
      <c r="X36" s="3" t="s">
        <v>1</v>
      </c>
      <c r="Y36" s="28"/>
      <c r="Z36" s="4"/>
      <c r="AH36" s="5"/>
    </row>
    <row r="37">
      <c r="E37" s="11">
        <f>IFERROR(INDEX($P:$P, ROW()), "")</f>
      </c>
      <c r="F37" s="2"/>
      <c r="G37" s="6">
        <f>IF(E37="","", ROUND(VALUE(INDEX($T:$T, ROW())), 0))</f>
      </c>
      <c r="H37" s="6">
        <f>INDEX($L$2:$L$99, MATCH(G37, $M$2:$M$99, 0))</f>
      </c>
      <c r="I37" s="12"/>
      <c r="O37" s="7"/>
      <c r="P37" s="9">
        <v>46075.925</v>
      </c>
      <c r="Q37" s="3" t="str">
        <v>699b1c7fff3ad9ca335dc4de</v>
      </c>
      <c r="R37" s="3" t="str">
        <v>Bank Transfer</v>
      </c>
      <c r="S37" s="3" t="str">
        <v>Payment</v>
      </c>
      <c r="T37" s="10">
        <v>109890</v>
      </c>
      <c r="U37" s="3" t="str">
        <v>settlement</v>
      </c>
      <c r="V37" s="3" t="str">
        <v>3ef7e672-fbdd-4f30-8d74-136f2500d746</v>
      </c>
      <c r="W37" s="8" t="str">
        <v>#######</v>
      </c>
      <c r="X37" s="3" t="s">
        <v>1</v>
      </c>
      <c r="Y37" s="28"/>
      <c r="Z37" s="4"/>
      <c r="AH37" s="5"/>
    </row>
    <row r="38">
      <c r="E38" s="11">
        <f>IFERROR(INDEX($P:$P, ROW()), "")</f>
      </c>
      <c r="F38" s="2"/>
      <c r="G38" s="6">
        <f>IF(E38="","", ROUND(VALUE(INDEX($T:$T, ROW())), 0))</f>
      </c>
      <c r="H38" s="6">
        <f>INDEX($L$2:$L$99, MATCH(G38, $M$2:$M$99, 0))</f>
      </c>
      <c r="I38" s="12"/>
      <c r="O38" s="7"/>
      <c r="P38" s="9">
        <v>46078.82986111111</v>
      </c>
      <c r="Q38" s="3" t="str">
        <v>699ef135b8f6647cc72c5cde</v>
      </c>
      <c r="R38" s="3" t="str">
        <v>QRIS</v>
      </c>
      <c r="S38" s="3" t="str">
        <v>Payment</v>
      </c>
      <c r="T38" s="3">
        <v>109890</v>
      </c>
      <c r="U38" s="3" t="str">
        <v>settlement</v>
      </c>
      <c r="V38" s="3" t="str">
        <v>19e2a669-b0f4-4623-86ff-222cc26e2008</v>
      </c>
      <c r="W38" s="3" t="str">
        <v>#######</v>
      </c>
      <c r="X38" s="3" t="s">
        <v>1</v>
      </c>
      <c r="Y38" s="28">
        <f>T38</f>
      </c>
      <c r="Z38" s="25"/>
      <c r="AA38" s="30"/>
      <c r="AB38" s="30"/>
      <c r="AC38" s="30"/>
      <c r="AD38" s="30"/>
      <c r="AE38" s="30"/>
      <c r="AF38" s="30"/>
      <c r="AG38" s="30"/>
      <c r="AH38" s="53"/>
    </row>
    <row r="39">
      <c r="E39" s="11">
        <f>IFERROR(INDEX($P:$P, ROW()), "")</f>
      </c>
      <c r="F39" s="2"/>
      <c r="G39" s="6">
        <f>IF(E39="","", ROUND(VALUE(INDEX($T:$T, ROW())), 0))</f>
      </c>
      <c r="H39" s="6">
        <f>INDEX($L$2:$L$99, MATCH(G39, $M$2:$M$99, 0))</f>
      </c>
      <c r="I39" s="12"/>
      <c r="O39" s="7"/>
      <c r="P39" s="9">
        <v>46079.520833333336</v>
      </c>
      <c r="Q39" s="3" t="str">
        <v>699fda89b8f6647cc7663cf1</v>
      </c>
      <c r="R39" s="3" t="str">
        <v>QRIS</v>
      </c>
      <c r="S39" s="3" t="str">
        <v>Payment</v>
      </c>
      <c r="T39" s="10">
        <v>109890</v>
      </c>
      <c r="U39" s="3" t="str">
        <v>settlement</v>
      </c>
      <c r="V39" s="3" t="str">
        <v>c5a57804-fc2f-4e5f-8c94-53e984bc7f02</v>
      </c>
      <c r="W39" s="8" t="str">
        <v>#######</v>
      </c>
      <c r="X39" s="3" t="s">
        <v>1</v>
      </c>
      <c r="Y39" s="28">
        <f>T39</f>
      </c>
      <c r="Z39" s="4"/>
      <c r="AH39" s="5"/>
    </row>
    <row r="40">
      <c r="E40" s="11">
        <f>IFERROR(INDEX($P:$P, ROW()), "")</f>
      </c>
      <c r="F40" s="2"/>
      <c r="G40" s="6">
        <f>IF(E40="","", ROUND(VALUE(INDEX($T:$T, ROW())), 0))</f>
      </c>
      <c r="H40" s="6">
        <f>INDEX($L$2:$L$99, MATCH(G40, $M$2:$M$99, 0))</f>
      </c>
      <c r="I40" s="12"/>
      <c r="O40" s="7"/>
      <c r="P40" s="9">
        <v>46079.75208333333</v>
      </c>
      <c r="Q40" s="3" t="str">
        <v>69a0288085b8fcd48ea1c5df</v>
      </c>
      <c r="R40" s="3" t="str">
        <v>QRIS</v>
      </c>
      <c r="S40" s="3" t="str">
        <v>Payment</v>
      </c>
      <c r="T40" s="10">
        <v>109890</v>
      </c>
      <c r="U40" s="3" t="str">
        <v>settlement</v>
      </c>
      <c r="V40" s="3" t="str">
        <v>030c1bc3-4adc-481e-8940-3a5b752f1367</v>
      </c>
      <c r="W40" s="8" t="str">
        <v>#######</v>
      </c>
      <c r="X40" s="3" t="s">
        <v>1</v>
      </c>
      <c r="Y40" s="28">
        <f>T40</f>
      </c>
      <c r="Z40" s="4"/>
      <c r="AH40" s="5"/>
    </row>
    <row r="41">
      <c r="E41" s="11">
        <f>IFERROR(INDEX($P:$P, ROW()), "")</f>
      </c>
      <c r="F41" s="2"/>
      <c r="G41" s="6">
        <f>IF(E41="","", ROUND(VALUE(INDEX($T:$T, ROW())), 0))</f>
      </c>
      <c r="H41" s="6">
        <f>INDEX($L$2:$L$99, MATCH(G41, $M$2:$M$99, 0))</f>
      </c>
      <c r="I41" s="12"/>
      <c r="O41" s="7"/>
      <c r="P41" s="9">
        <v>46080.48611111111</v>
      </c>
      <c r="Q41" s="3" t="str">
        <v>69a1201a85b8fcd48ed77a9f</v>
      </c>
      <c r="R41" s="3" t="str">
        <v>Mandiri Bill</v>
      </c>
      <c r="S41" s="3" t="str">
        <v>Payment</v>
      </c>
      <c r="T41" s="10">
        <v>1547340</v>
      </c>
      <c r="U41" s="3" t="str">
        <v>settlement</v>
      </c>
      <c r="V41" s="3" t="str">
        <v>de823bc9-1743-4461-a07e-16d39648d23a</v>
      </c>
      <c r="W41" s="8" t="str">
        <v>#######</v>
      </c>
      <c r="X41" s="3" t="s">
        <v>1</v>
      </c>
      <c r="Y41" s="28">
        <f>T41</f>
      </c>
      <c r="Z41" s="4"/>
      <c r="AH41" s="5"/>
    </row>
    <row r="42">
      <c r="E42" s="11">
        <f>IFERROR(INDEX($P:$P, ROW()), "")</f>
      </c>
      <c r="F42" s="2"/>
      <c r="G42" s="6">
        <f>IF(E42="","", ROUND(VALUE(INDEX($T:$T, ROW())), 0))</f>
      </c>
      <c r="H42" s="6">
        <f>INDEX($L$2:$L$99, MATCH(G42, $M$2:$M$99, 0))</f>
      </c>
      <c r="I42" s="12"/>
      <c r="O42" s="7"/>
      <c r="P42" s="9">
        <v>46080.70208333333</v>
      </c>
      <c r="Q42" s="3" t="str">
        <v>69a168f36c69e62528834fc5</v>
      </c>
      <c r="R42" s="3" t="str">
        <v>QRIS</v>
      </c>
      <c r="S42" s="3" t="str">
        <v>Payment</v>
      </c>
      <c r="T42" s="10">
        <v>109890</v>
      </c>
      <c r="U42" s="3" t="str">
        <v>settlement</v>
      </c>
      <c r="V42" s="3" t="str">
        <v>eddac445-1099-4c38-b29a-e91ca785cb72</v>
      </c>
      <c r="W42" s="8" t="str">
        <v>#######</v>
      </c>
      <c r="X42" s="3" t="s">
        <v>1</v>
      </c>
      <c r="Y42" s="28">
        <f>T42</f>
      </c>
      <c r="Z42" s="4"/>
      <c r="AH42" s="5"/>
    </row>
    <row r="43">
      <c r="E43" s="11">
        <f>IFERROR(INDEX($P:$P, ROW()), "")</f>
      </c>
      <c r="F43" s="2"/>
      <c r="G43" s="6">
        <f>IF(E43="","", ROUND(VALUE(INDEX($T:$T, ROW())), 0))</f>
      </c>
      <c r="H43" s="6">
        <f>INDEX($L$2:$L$99, MATCH(G43, $M$2:$M$99, 0))</f>
      </c>
      <c r="I43" s="12"/>
      <c r="O43" s="7"/>
      <c r="P43" s="9">
        <v>46085.03958333333</v>
      </c>
      <c r="Q43" s="3" t="str">
        <v>69a720f2643f7636a74540e6</v>
      </c>
      <c r="R43" s="3" t="str">
        <v>QRIS</v>
      </c>
      <c r="S43" s="3" t="str">
        <v>Payment</v>
      </c>
      <c r="T43" s="3">
        <v>109890</v>
      </c>
      <c r="U43" s="3" t="str">
        <v>settlement</v>
      </c>
      <c r="V43" s="3" t="str">
        <v>86e4e013-5b54-4b0d-b289-12a65ca384de</v>
      </c>
      <c r="W43" s="3" t="str">
        <v>#######</v>
      </c>
      <c r="X43" s="3" t="s">
        <v>1</v>
      </c>
      <c r="Z43" s="4"/>
      <c r="AH43" s="5"/>
    </row>
    <row r="44">
      <c r="A44" s="14"/>
      <c r="B44" s="14"/>
      <c r="E44" s="11">
        <f>IFERROR(INDEX($P:$P, ROW()), "")</f>
      </c>
      <c r="F44" s="2"/>
      <c r="G44" s="6">
        <f>IF(E44="","", ROUND(VALUE(INDEX($T:$T, ROW())), 0))</f>
      </c>
      <c r="H44" s="6">
        <f>INDEX($L$2:$L$99, MATCH(G44, $M$2:$M$99, 0))</f>
      </c>
      <c r="I44" s="12"/>
      <c r="O44" s="7"/>
      <c r="P44" s="9">
        <v>46086.4625</v>
      </c>
      <c r="Q44" s="3" t="str">
        <v>69a9012b85b8fcd48e47fa97</v>
      </c>
      <c r="R44" s="3" t="str">
        <v>Mandiri Bill</v>
      </c>
      <c r="S44" s="3" t="str">
        <v>Payment</v>
      </c>
      <c r="T44" s="10">
        <v>109890</v>
      </c>
      <c r="U44" s="3" t="str">
        <v>settlement</v>
      </c>
      <c r="V44" s="3" t="str">
        <v>948f4455-6566-49c3-8d7e-34eaac0567d1</v>
      </c>
      <c r="W44" s="8" t="str">
        <v>#######</v>
      </c>
      <c r="X44" s="3" t="s">
        <v>1</v>
      </c>
      <c r="Z44" s="4"/>
      <c r="AH44" s="5"/>
    </row>
    <row r="45">
      <c r="A45" s="14"/>
      <c r="B45" s="14"/>
      <c r="E45" s="11">
        <f>IFERROR(INDEX($P:$P, ROW()), "")</f>
      </c>
      <c r="F45" s="2"/>
      <c r="G45" s="6">
        <f>IF(E45="","", ROUND(VALUE(INDEX($T:$T, ROW())), 0))</f>
      </c>
      <c r="H45" s="6">
        <f>INDEX($L$2:$L$99, MATCH(G45, $M$2:$M$99, 0))</f>
      </c>
      <c r="I45" s="12"/>
      <c r="O45" s="7"/>
      <c r="P45" s="9">
        <v>46091.45208333333</v>
      </c>
      <c r="Q45" s="3" t="str">
        <v>69af954d3adbe9efcb84a2ab</v>
      </c>
      <c r="R45" s="3" t="str">
        <v>QRIS</v>
      </c>
      <c r="S45" s="3" t="str">
        <v>Payment</v>
      </c>
      <c r="T45" s="10">
        <v>109890</v>
      </c>
      <c r="U45" s="3" t="str">
        <v>settlement</v>
      </c>
      <c r="V45" s="3" t="str">
        <v>c75e9274-f970-4c04-80f2-e42da7a949d3</v>
      </c>
      <c r="W45" s="8" t="str">
        <v>#######</v>
      </c>
      <c r="X45" s="3" t="s">
        <v>3</v>
      </c>
      <c r="Z45" s="4"/>
      <c r="AH45" s="5"/>
    </row>
    <row r="46">
      <c r="A46" s="24"/>
      <c r="B46" s="24"/>
      <c r="E46" s="11">
        <f>IFERROR(INDEX($P:$P, ROW()), "")</f>
      </c>
      <c r="F46" s="2"/>
      <c r="G46" s="6">
        <f>IF(E46="","", ROUND(VALUE(INDEX($T:$T, ROW())), 0))</f>
      </c>
      <c r="H46" s="6">
        <f>INDEX($L$2:$L$99, MATCH(G46, $M$2:$M$99, 0))</f>
      </c>
      <c r="I46" s="12"/>
      <c r="O46" s="7"/>
      <c r="P46" s="9">
        <v>46092.54791666667</v>
      </c>
      <c r="Q46" s="3" t="str">
        <v>69b1070abcdda80c6d418c2f</v>
      </c>
      <c r="R46" s="3" t="str">
        <v>QRIS</v>
      </c>
      <c r="S46" s="3" t="str">
        <v>Payment</v>
      </c>
      <c r="T46" s="10">
        <v>109890</v>
      </c>
      <c r="U46" s="3" t="str">
        <v>settlement</v>
      </c>
      <c r="V46" s="3" t="str">
        <v>96554ec8-a156-45f2-ab21-1884250515db</v>
      </c>
      <c r="W46" s="8" t="str">
        <v>#######</v>
      </c>
      <c r="X46" s="3" t="s">
        <v>1</v>
      </c>
      <c r="Z46" s="4"/>
      <c r="AH46" s="5"/>
    </row>
    <row r="47">
      <c r="A47" s="24"/>
      <c r="B47" s="24"/>
      <c r="E47" s="11">
        <f>IFERROR(INDEX($P:$P, ROW()), "")</f>
      </c>
      <c r="F47" s="2"/>
      <c r="G47" s="6">
        <f>IF(E47="","", ROUND(VALUE(INDEX($T:$T, ROW())), 0))</f>
      </c>
      <c r="H47" s="6">
        <f>INDEX($L$2:$L$99, MATCH(G47, $M$2:$M$99, 0))</f>
      </c>
      <c r="I47" s="12"/>
      <c r="O47" s="7"/>
      <c r="P47" s="9">
        <v>46092.964583333334</v>
      </c>
      <c r="Q47" s="3" t="str">
        <v>69b19346bcdda80c6d63bc77</v>
      </c>
      <c r="R47" s="3" t="str">
        <v>QRIS</v>
      </c>
      <c r="S47" s="3" t="str">
        <v>Payment</v>
      </c>
      <c r="T47" s="10">
        <v>109890</v>
      </c>
      <c r="U47" s="3" t="str">
        <v>settlement</v>
      </c>
      <c r="V47" s="3" t="str">
        <v>c5f77c41-923e-4674-92e6-6d94817eabe3</v>
      </c>
      <c r="W47" s="8" t="str">
        <v>#######</v>
      </c>
      <c r="X47" s="3" t="s">
        <v>1</v>
      </c>
      <c r="Z47" s="4"/>
      <c r="AH47" s="5"/>
    </row>
    <row r="48">
      <c r="A48" s="1"/>
      <c r="B48" s="1"/>
      <c r="E48" s="11">
        <f>IFERROR(INDEX($P:$P, ROW()), "")</f>
      </c>
      <c r="F48" s="2"/>
      <c r="G48" s="6">
        <f>IF(E48="","", ROUND(VALUE(INDEX($T:$T, ROW())), 0))</f>
      </c>
      <c r="H48" s="6">
        <f>INDEX($L$2:$L$99, MATCH(G48, $M$2:$M$99, 0))</f>
      </c>
      <c r="I48" s="12"/>
      <c r="O48" s="7"/>
      <c r="P48" s="9">
        <v>46093.39722222222</v>
      </c>
      <c r="Q48" s="3" t="str">
        <v>69b225a311a35f24eac558b9</v>
      </c>
      <c r="R48" s="3" t="str">
        <v>QRIS</v>
      </c>
      <c r="S48" s="3" t="str">
        <v>Payment</v>
      </c>
      <c r="T48" s="10">
        <v>109890</v>
      </c>
      <c r="U48" s="3" t="str">
        <v>settlement</v>
      </c>
      <c r="V48" s="3" t="str">
        <v>03f670f8-ad7a-49de-8798-cacc003df08c</v>
      </c>
      <c r="W48" s="8" t="str">
        <v>#######</v>
      </c>
      <c r="X48" s="3" t="s">
        <v>1</v>
      </c>
      <c r="Z48" s="4"/>
      <c r="AH48" s="5"/>
    </row>
    <row r="49">
      <c r="A49" s="14"/>
      <c r="B49" s="14"/>
      <c r="E49" s="11">
        <f>IFERROR(INDEX($P:$P, ROW()), "")</f>
      </c>
      <c r="F49" s="2"/>
      <c r="G49" s="6">
        <f>IF(E49="","", ROUND(VALUE(INDEX($T:$T, ROW())), 0))</f>
      </c>
      <c r="H49" s="6">
        <f>INDEX($L$2:$L$99, MATCH(G49, $M$2:$M$99, 0))</f>
      </c>
      <c r="I49" s="12"/>
      <c r="O49" s="7"/>
      <c r="P49" s="9">
        <v>46097.44027777778</v>
      </c>
      <c r="Q49" s="3" t="str">
        <v>69b77a0eb24ebb327172030d</v>
      </c>
      <c r="R49" s="3" t="str">
        <v>QRIS</v>
      </c>
      <c r="S49" s="3" t="str">
        <v>Payment</v>
      </c>
      <c r="T49" s="10">
        <v>109890</v>
      </c>
      <c r="U49" s="3" t="str">
        <v>settlement</v>
      </c>
      <c r="V49" s="3" t="str">
        <v>62b6b4d7-6843-4e1d-bb03-8b6a662759e1</v>
      </c>
      <c r="W49" s="8" t="str">
        <v>#######</v>
      </c>
      <c r="X49" s="3" t="s">
        <v>1</v>
      </c>
      <c r="Z49" s="4"/>
      <c r="AH49" s="5"/>
    </row>
    <row r="50">
      <c r="A50" s="14"/>
      <c r="B50" s="14"/>
      <c r="E50" s="11">
        <f>IFERROR(INDEX($P:$P, ROW()), "")</f>
      </c>
      <c r="F50" s="2"/>
      <c r="G50" s="6">
        <f>IF(E50="","", ROUND(VALUE(INDEX($T:$T, ROW())), 0))</f>
      </c>
      <c r="H50" s="6">
        <f>INDEX($L$2:$L$99, MATCH(G50, $M$2:$M$99, 0))</f>
      </c>
      <c r="I50" s="12"/>
      <c r="O50" s="7"/>
      <c r="P50" s="9">
        <v>46099.924305555556</v>
      </c>
      <c r="Q50" s="3" t="str">
        <v>69bac0b548397356d0f1b862</v>
      </c>
      <c r="R50" s="3" t="str">
        <v>QRIS</v>
      </c>
      <c r="S50" s="3" t="str">
        <v>Payment</v>
      </c>
      <c r="T50" s="10">
        <v>109890</v>
      </c>
      <c r="U50" s="3" t="str">
        <v>settlement</v>
      </c>
      <c r="V50" s="3" t="str">
        <v>71363a72-44ed-44cd-bc21-06e03b9f2b9c</v>
      </c>
      <c r="W50" s="8" t="str">
        <v>#######</v>
      </c>
      <c r="X50" s="3" t="s">
        <v>4</v>
      </c>
      <c r="Y50" s="30"/>
      <c r="Z50" s="30"/>
      <c r="AA50" s="30"/>
      <c r="AB50" s="30"/>
      <c r="AC50" s="30"/>
      <c r="AD50" s="30"/>
      <c r="AE50" s="30"/>
      <c r="AF50" s="30"/>
      <c r="AG50" s="30"/>
      <c r="AH50" s="30"/>
      <c r="AI50" s="30"/>
    </row>
    <row r="51">
      <c r="A51" s="14"/>
      <c r="B51" s="14"/>
      <c r="E51" s="11">
        <f>IFERROR(INDEX($P:$P, ROW()), "")</f>
      </c>
      <c r="F51" s="2"/>
      <c r="G51" s="6">
        <f>IF(E51="","", ROUND(VALUE(INDEX($T:$T, ROW())), 0))</f>
      </c>
      <c r="H51" s="6">
        <f>INDEX($L$2:$L$99, MATCH(G51, $M$2:$M$99, 0))</f>
      </c>
      <c r="I51" s="12"/>
      <c r="O51" s="7"/>
      <c r="P51" s="8" t="str">
        <v>2026-03-26 11:37:05+07:00</v>
      </c>
      <c r="Q51" s="3" t="str">
        <v>69c4b7e1e4fe4912fb4dc720</v>
      </c>
      <c r="R51" s="3" t="str">
        <v>QRIS</v>
      </c>
      <c r="S51" s="3" t="str">
        <v>Payment</v>
      </c>
      <c r="T51" s="10">
        <v>109890</v>
      </c>
      <c r="U51" s="3" t="str">
        <v>settlement</v>
      </c>
      <c r="V51" s="3" t="str">
        <v>824706ce-00eb-4493-97df-7e8c74187328</v>
      </c>
      <c r="W51" s="8" t="str">
        <v>2026-03-26 11:37:04+07:00</v>
      </c>
      <c r="Y51" s="30"/>
      <c r="Z51" s="30"/>
      <c r="AA51" s="30"/>
      <c r="AB51" s="30"/>
      <c r="AC51" s="30"/>
      <c r="AD51" s="30"/>
      <c r="AE51" s="30"/>
      <c r="AF51" s="30"/>
      <c r="AG51" s="30"/>
      <c r="AH51" s="30"/>
      <c r="AI51" s="30"/>
    </row>
    <row r="52">
      <c r="E52" s="11">
        <f>IFERROR(INDEX($P:$P, ROW()), "")</f>
      </c>
      <c r="F52" s="2"/>
      <c r="G52" s="6">
        <f>IF(E52="","", ROUND(VALUE(INDEX($T:$T, ROW())), 0))</f>
      </c>
      <c r="H52" s="6">
        <f>INDEX($L$2:$L$99, MATCH(G52, $M$2:$M$99, 0))</f>
      </c>
      <c r="I52" s="12"/>
      <c r="O52" s="7"/>
      <c r="P52" s="8" t="str">
        <v>2026-03-26 16:38:55+07:00</v>
      </c>
      <c r="Q52" s="3" t="str">
        <v>69c4fe9be4fe4912fb65336a</v>
      </c>
      <c r="R52" s="3" t="str">
        <v>QRIS</v>
      </c>
      <c r="S52" s="3" t="str">
        <v>Payment</v>
      </c>
      <c r="T52" s="10">
        <v>109890</v>
      </c>
      <c r="U52" s="3" t="str">
        <v>settlement</v>
      </c>
      <c r="V52" s="3" t="str">
        <v>58a1966d-6f22-4c4d-9037-1e5972fa2f42</v>
      </c>
      <c r="W52" s="8" t="str">
        <v>2026-03-26 16:38:53+07:00</v>
      </c>
      <c r="X52" s="18"/>
      <c r="Y52" s="30"/>
      <c r="Z52" s="25"/>
      <c r="AA52" s="30"/>
      <c r="AB52" s="30"/>
      <c r="AC52" s="30"/>
      <c r="AD52" s="30"/>
      <c r="AE52" s="30"/>
      <c r="AF52" s="30"/>
      <c r="AG52" s="30"/>
      <c r="AH52" s="53"/>
      <c r="AI52" s="30"/>
    </row>
    <row r="53">
      <c r="E53" s="11">
        <f>IFERROR(INDEX($P:$P, ROW()), "")</f>
      </c>
      <c r="F53" s="2"/>
      <c r="G53" s="6">
        <f>IF(E53="","", ROUND(VALUE(INDEX($T:$T, ROW())), 0))</f>
      </c>
      <c r="H53" s="6">
        <f>INDEX($L$2:$L$99, MATCH(G53, $M$2:$M$99, 0))</f>
      </c>
      <c r="I53" s="12"/>
      <c r="O53" s="7"/>
      <c r="P53" s="8" t="str">
        <v>2026-03-30 10:08:05+07:00</v>
      </c>
      <c r="Q53" s="3" t="str">
        <v>69c9e90fe4fe4912fb0995b0</v>
      </c>
      <c r="R53" s="3" t="str">
        <v>Mandiri Bill</v>
      </c>
      <c r="S53" s="3" t="str">
        <v>Payment</v>
      </c>
      <c r="T53" s="10">
        <v>1547340</v>
      </c>
      <c r="U53" s="3" t="str">
        <v>settlement</v>
      </c>
      <c r="V53" s="3" t="str">
        <v>4fb4dd2f-cca9-4359-bfee-5841a38211c7</v>
      </c>
      <c r="W53" s="8" t="str">
        <v>2026-03-30 10:08:04+07:00</v>
      </c>
      <c r="X53" s="18"/>
      <c r="Y53" s="30"/>
      <c r="Z53" s="25"/>
      <c r="AA53" s="30"/>
      <c r="AB53" s="30"/>
      <c r="AC53" s="30"/>
      <c r="AD53" s="30"/>
      <c r="AE53" s="30"/>
      <c r="AF53" s="30"/>
      <c r="AG53" s="30"/>
      <c r="AH53" s="53"/>
      <c r="AI53" s="30"/>
    </row>
    <row r="54">
      <c r="E54" s="11">
        <f>IFERROR(INDEX($P:$P, ROW()), "")</f>
      </c>
      <c r="F54" s="2"/>
      <c r="G54" s="16"/>
      <c r="H54" s="16"/>
      <c r="I54" s="12"/>
      <c r="O54" s="7"/>
      <c r="X54" s="18"/>
      <c r="Y54" s="30"/>
      <c r="Z54" s="25"/>
      <c r="AA54" s="30"/>
      <c r="AB54" s="30"/>
      <c r="AC54" s="30"/>
      <c r="AD54" s="30"/>
      <c r="AE54" s="30"/>
      <c r="AF54" s="30"/>
      <c r="AG54" s="30"/>
      <c r="AH54" s="53"/>
      <c r="AI54" s="30"/>
    </row>
    <row r="55">
      <c r="E55" s="15"/>
      <c r="F55" s="2"/>
      <c r="G55" s="16"/>
      <c r="H55" s="16"/>
      <c r="I55" s="12"/>
      <c r="O55" s="7"/>
      <c r="P55" s="26"/>
      <c r="Q55" s="18"/>
      <c r="R55" s="18"/>
      <c r="S55" s="18"/>
      <c r="T55" s="27"/>
      <c r="U55" s="18"/>
      <c r="V55" s="18"/>
      <c r="W55" s="26"/>
      <c r="X55" s="18"/>
      <c r="Y55" s="30"/>
      <c r="Z55" s="25"/>
      <c r="AA55" s="30"/>
      <c r="AB55" s="30"/>
      <c r="AC55" s="30"/>
      <c r="AD55" s="30"/>
      <c r="AE55" s="30"/>
      <c r="AF55" s="30"/>
      <c r="AG55" s="30"/>
      <c r="AH55" s="53"/>
      <c r="AI55" s="30"/>
    </row>
    <row r="56">
      <c r="E56" s="15"/>
      <c r="F56" s="2"/>
      <c r="G56" s="16"/>
      <c r="H56" s="16"/>
      <c r="I56" s="12"/>
      <c r="O56" s="7"/>
      <c r="P56" s="26"/>
      <c r="Q56" s="18"/>
      <c r="R56" s="18"/>
      <c r="S56" s="18"/>
      <c r="T56" s="27"/>
      <c r="U56" s="18"/>
      <c r="V56" s="18"/>
      <c r="W56" s="26"/>
      <c r="X56" s="18"/>
      <c r="Y56" s="30"/>
      <c r="Z56" s="25"/>
      <c r="AA56" s="30"/>
      <c r="AB56" s="30"/>
      <c r="AC56" s="30"/>
      <c r="AD56" s="30"/>
      <c r="AE56" s="30"/>
      <c r="AF56" s="30"/>
      <c r="AG56" s="30"/>
      <c r="AH56" s="53"/>
      <c r="AI56" s="30"/>
    </row>
    <row r="57">
      <c r="E57" s="15"/>
      <c r="F57" s="2"/>
      <c r="G57" s="16"/>
      <c r="H57" s="16"/>
      <c r="I57" s="12"/>
      <c r="O57" s="7"/>
      <c r="P57" s="26"/>
      <c r="Q57" s="61"/>
      <c r="R57" s="60"/>
      <c r="S57" s="18"/>
      <c r="T57" s="27"/>
      <c r="U57" s="18"/>
      <c r="V57" s="30"/>
      <c r="W57" s="26"/>
      <c r="X57" s="18"/>
      <c r="Y57" s="30"/>
      <c r="Z57" s="25"/>
      <c r="AA57" s="30"/>
      <c r="AB57" s="30"/>
      <c r="AC57" s="30"/>
      <c r="AD57" s="30"/>
      <c r="AE57" s="30"/>
      <c r="AF57" s="30"/>
      <c r="AG57" s="30"/>
      <c r="AH57" s="53"/>
      <c r="AI57" s="30"/>
    </row>
    <row r="58">
      <c r="E58" s="15"/>
      <c r="F58" s="2"/>
      <c r="G58" s="16"/>
      <c r="H58" s="16"/>
      <c r="I58" s="12"/>
      <c r="O58" s="7"/>
      <c r="P58" s="26"/>
      <c r="Q58" s="61"/>
      <c r="R58" s="60"/>
      <c r="S58" s="18"/>
      <c r="T58" s="27"/>
      <c r="U58" s="18"/>
      <c r="V58" s="30"/>
      <c r="W58" s="26"/>
      <c r="X58" s="18"/>
      <c r="Y58" s="30"/>
      <c r="Z58" s="25"/>
      <c r="AA58" s="30"/>
      <c r="AB58" s="30"/>
      <c r="AC58" s="30"/>
      <c r="AD58" s="30"/>
      <c r="AE58" s="30"/>
      <c r="AF58" s="30"/>
      <c r="AG58" s="30"/>
      <c r="AH58" s="53"/>
      <c r="AI58" s="30"/>
    </row>
    <row r="59">
      <c r="E59" s="15"/>
      <c r="F59" s="2"/>
      <c r="G59" s="16"/>
      <c r="H59" s="16"/>
      <c r="I59" s="12"/>
      <c r="O59" s="7"/>
      <c r="P59" s="63"/>
      <c r="Q59" s="17" t="str">
        <v>69573b4c228fa5076541e47a</v>
      </c>
      <c r="R59" s="18"/>
      <c r="S59" s="18"/>
      <c r="T59" s="27"/>
      <c r="U59" s="18"/>
      <c r="V59" s="18"/>
      <c r="W59" s="26"/>
      <c r="X59" s="18"/>
      <c r="Y59" s="18"/>
      <c r="Z59" s="25"/>
      <c r="AA59" s="30"/>
      <c r="AB59" s="30"/>
      <c r="AC59" s="30"/>
      <c r="AD59" s="30"/>
      <c r="AE59" s="30"/>
      <c r="AF59" s="30"/>
      <c r="AG59" s="30"/>
      <c r="AH59" s="53"/>
      <c r="AI59" s="30"/>
    </row>
    <row r="60">
      <c r="E60" s="15"/>
      <c r="F60" s="2"/>
      <c r="G60" s="16"/>
      <c r="H60" s="16"/>
      <c r="I60" s="12"/>
      <c r="O60" s="7"/>
      <c r="P60" s="26"/>
      <c r="Q60" s="17" t="str">
        <v>6957842edbbdd22985d24eee</v>
      </c>
      <c r="R60" s="18"/>
      <c r="S60" s="18"/>
      <c r="T60" s="27"/>
      <c r="U60" s="18"/>
      <c r="V60" s="18"/>
      <c r="W60" s="26"/>
      <c r="X60" s="18"/>
      <c r="Y60" s="18"/>
      <c r="Z60" s="25"/>
      <c r="AA60" s="30"/>
      <c r="AB60" s="30"/>
      <c r="AC60" s="30"/>
      <c r="AD60" s="30"/>
      <c r="AE60" s="30"/>
      <c r="AF60" s="30"/>
      <c r="AG60" s="30"/>
      <c r="AH60" s="53"/>
      <c r="AI60" s="30"/>
    </row>
    <row r="61">
      <c r="E61" s="15"/>
      <c r="F61" s="2"/>
      <c r="G61" s="16"/>
      <c r="H61" s="16"/>
      <c r="I61" s="12"/>
      <c r="O61" s="7"/>
      <c r="P61" s="26"/>
      <c r="Q61" s="17" t="str">
        <v>6957ac009830ecf22a0dec17</v>
      </c>
      <c r="R61" s="18"/>
      <c r="S61" s="18"/>
      <c r="T61" s="27"/>
      <c r="U61" s="18"/>
      <c r="V61" s="18"/>
      <c r="W61" s="26"/>
      <c r="X61" s="18"/>
      <c r="Y61" s="18"/>
      <c r="Z61" s="25"/>
      <c r="AA61" s="30"/>
      <c r="AB61" s="30"/>
      <c r="AC61" s="30"/>
      <c r="AD61" s="30"/>
      <c r="AE61" s="30"/>
      <c r="AF61" s="30"/>
      <c r="AG61" s="30"/>
      <c r="AH61" s="53"/>
      <c r="AI61" s="30"/>
    </row>
    <row r="62">
      <c r="E62" s="15"/>
      <c r="F62" s="2"/>
      <c r="G62" s="16"/>
      <c r="H62" s="16"/>
      <c r="I62" s="12"/>
      <c r="O62" s="7"/>
      <c r="P62" s="26"/>
      <c r="Q62" s="17" t="str">
        <v>69590b1c2e0b60c56d1fe6e8</v>
      </c>
      <c r="R62" s="18"/>
      <c r="S62" s="18"/>
      <c r="T62" s="27"/>
      <c r="U62" s="18"/>
      <c r="V62" s="18"/>
      <c r="W62" s="26"/>
      <c r="X62" s="18"/>
      <c r="Y62" s="18"/>
      <c r="Z62" s="25"/>
      <c r="AA62" s="30"/>
      <c r="AB62" s="30"/>
      <c r="AC62" s="30"/>
      <c r="AD62" s="30"/>
      <c r="AE62" s="30"/>
      <c r="AF62" s="30"/>
      <c r="AG62" s="30"/>
      <c r="AH62" s="53"/>
      <c r="AI62" s="30"/>
    </row>
    <row r="63">
      <c r="E63" s="15"/>
      <c r="F63" s="2"/>
      <c r="G63" s="16"/>
      <c r="H63" s="16"/>
      <c r="I63" s="12"/>
      <c r="O63" s="7"/>
      <c r="P63" s="26"/>
      <c r="Q63" s="17" t="str">
        <v>695c703fe68548cf981447d4</v>
      </c>
      <c r="R63" s="18"/>
      <c r="S63" s="18"/>
      <c r="T63" s="27"/>
      <c r="U63" s="18"/>
      <c r="V63" s="18"/>
      <c r="W63" s="26"/>
      <c r="X63" s="18"/>
      <c r="Y63" s="18"/>
      <c r="Z63" s="25"/>
      <c r="AA63" s="30"/>
      <c r="AB63" s="30"/>
      <c r="AC63" s="30"/>
      <c r="AD63" s="30"/>
      <c r="AE63" s="30"/>
      <c r="AF63" s="30"/>
      <c r="AG63" s="30"/>
      <c r="AH63" s="53"/>
      <c r="AI63" s="30"/>
    </row>
    <row r="64">
      <c r="E64" s="15"/>
      <c r="F64" s="2"/>
      <c r="G64" s="16"/>
      <c r="H64" s="16"/>
      <c r="I64" s="12"/>
      <c r="O64" s="7"/>
      <c r="P64" s="68"/>
      <c r="Q64" s="17" t="str">
        <v>695dc4bde68548cf982a3b87</v>
      </c>
      <c r="R64" s="67"/>
      <c r="S64" s="67"/>
      <c r="T64" s="69"/>
      <c r="U64" s="18"/>
      <c r="V64" s="18"/>
      <c r="W64" s="26"/>
      <c r="X64" s="18"/>
      <c r="Y64" s="18"/>
      <c r="Z64" s="25"/>
      <c r="AA64" s="30"/>
      <c r="AB64" s="30"/>
      <c r="AC64" s="30"/>
      <c r="AD64" s="30"/>
      <c r="AE64" s="30"/>
      <c r="AF64" s="30"/>
      <c r="AG64" s="30"/>
      <c r="AH64" s="53"/>
      <c r="AI64" s="30"/>
    </row>
    <row r="65">
      <c r="E65" s="15"/>
      <c r="F65" s="2"/>
      <c r="G65" s="16"/>
      <c r="H65" s="16"/>
      <c r="I65" s="12"/>
      <c r="O65" s="7"/>
      <c r="P65" s="26"/>
      <c r="Q65" s="17" t="str">
        <v>695e4d19fd6e2e2f9fd28c2b</v>
      </c>
      <c r="R65" s="18"/>
      <c r="S65" s="18"/>
      <c r="T65" s="29"/>
      <c r="U65" s="18"/>
      <c r="V65" s="18"/>
      <c r="W65" s="26"/>
      <c r="X65" s="18"/>
      <c r="Z65" s="25"/>
      <c r="AH65" s="5"/>
    </row>
    <row r="66">
      <c r="E66" s="15"/>
      <c r="F66" s="2"/>
      <c r="G66" s="16"/>
      <c r="H66" s="16"/>
      <c r="I66" s="12"/>
      <c r="O66" s="7"/>
      <c r="P66" s="26"/>
      <c r="Q66" s="17" t="str">
        <v>695f3fdae68548cf9846960f</v>
      </c>
      <c r="R66" s="18"/>
      <c r="S66" s="18"/>
      <c r="T66" s="27"/>
      <c r="U66" s="18"/>
      <c r="V66" s="18"/>
      <c r="W66" s="26"/>
      <c r="X66" s="18"/>
      <c r="Z66" s="25"/>
      <c r="AH66" s="5"/>
    </row>
    <row r="67">
      <c r="E67" s="15"/>
      <c r="F67" s="2"/>
      <c r="G67" s="16"/>
      <c r="H67" s="16"/>
      <c r="I67" s="12"/>
      <c r="O67" s="7"/>
      <c r="P67" s="26"/>
      <c r="Q67" s="17" t="str">
        <v>695f8c69e68548cf984d830d</v>
      </c>
      <c r="R67" s="18"/>
      <c r="S67" s="18"/>
      <c r="T67" s="27"/>
      <c r="U67" s="18"/>
      <c r="V67" s="18"/>
      <c r="W67" s="26"/>
      <c r="X67" s="18"/>
      <c r="Z67" s="25"/>
      <c r="AH67" s="5"/>
    </row>
    <row r="68">
      <c r="E68" s="15"/>
      <c r="F68" s="2"/>
      <c r="G68" s="16"/>
      <c r="H68" s="16"/>
      <c r="I68" s="12"/>
      <c r="O68" s="7"/>
      <c r="P68" s="26"/>
      <c r="Q68" s="17" t="str">
        <v>69645e7afd6e2e2f9f10b97f</v>
      </c>
      <c r="R68" s="18"/>
      <c r="S68" s="18"/>
      <c r="T68" s="27"/>
      <c r="U68" s="18"/>
      <c r="V68" s="18"/>
      <c r="W68" s="26"/>
      <c r="X68" s="18"/>
      <c r="Z68" s="25"/>
      <c r="AH68" s="5"/>
    </row>
    <row r="69">
      <c r="E69" s="15"/>
      <c r="F69" s="2"/>
      <c r="G69" s="16"/>
      <c r="H69" s="16"/>
      <c r="I69" s="12"/>
      <c r="O69" s="7"/>
      <c r="P69" s="26"/>
      <c r="Q69" s="17" t="str">
        <v>696498d7fd6e2e2f9f1caad6</v>
      </c>
      <c r="R69" s="18"/>
      <c r="S69" s="18"/>
      <c r="T69" s="27"/>
      <c r="U69" s="18"/>
      <c r="V69" s="18"/>
      <c r="W69" s="26"/>
      <c r="X69" s="18"/>
      <c r="Z69" s="25"/>
      <c r="AH69" s="5"/>
    </row>
    <row r="70">
      <c r="E70" s="15"/>
      <c r="F70" s="2"/>
      <c r="G70" s="16"/>
      <c r="H70" s="16"/>
      <c r="I70" s="12"/>
      <c r="O70" s="7"/>
      <c r="P70" s="26"/>
      <c r="Q70" s="17" t="str">
        <v>6969ad80be6921b5e3c1e7b4</v>
      </c>
      <c r="R70" s="18"/>
      <c r="S70" s="18"/>
      <c r="T70" s="27"/>
      <c r="U70" s="18"/>
      <c r="V70" s="18"/>
      <c r="W70" s="26"/>
      <c r="X70" s="18"/>
      <c r="Z70" s="25"/>
      <c r="AH70" s="5"/>
    </row>
    <row r="71">
      <c r="E71" s="15"/>
      <c r="F71" s="2"/>
      <c r="G71" s="16"/>
      <c r="H71" s="16"/>
      <c r="I71" s="12"/>
      <c r="O71" s="7"/>
      <c r="P71" s="26"/>
      <c r="Q71" s="17" t="str">
        <v>696b5e9ce6df6cbcdbc96342</v>
      </c>
      <c r="R71" s="18"/>
      <c r="S71" s="18"/>
      <c r="T71" s="27"/>
      <c r="U71" s="18"/>
      <c r="V71" s="18"/>
      <c r="W71" s="26"/>
      <c r="X71" s="18"/>
      <c r="Z71" s="4"/>
      <c r="AH71" s="5"/>
    </row>
    <row r="72">
      <c r="E72" s="15"/>
      <c r="F72" s="2"/>
      <c r="G72" s="16"/>
      <c r="H72" s="16"/>
      <c r="I72" s="12"/>
      <c r="O72" s="7"/>
      <c r="P72" s="26"/>
      <c r="Q72" s="17" t="str">
        <v>696de6218d3e045684fb8b3c</v>
      </c>
      <c r="R72" s="18"/>
      <c r="S72" s="18"/>
      <c r="T72" s="27"/>
      <c r="U72" s="18"/>
      <c r="V72" s="18"/>
      <c r="W72" s="26"/>
      <c r="X72" s="18"/>
      <c r="Z72" s="4"/>
      <c r="AH72" s="5"/>
    </row>
    <row r="73">
      <c r="E73" s="15"/>
      <c r="F73" s="2"/>
      <c r="G73" s="16"/>
      <c r="H73" s="16"/>
      <c r="I73" s="12"/>
      <c r="O73" s="7"/>
      <c r="P73" s="26"/>
      <c r="Q73" s="17" t="str">
        <v>69717d1f9171a41f8f141bdb</v>
      </c>
      <c r="R73" s="18"/>
      <c r="S73" s="18"/>
      <c r="T73" s="27"/>
      <c r="U73" s="18"/>
      <c r="V73" s="18"/>
      <c r="W73" s="26"/>
      <c r="X73" s="18"/>
      <c r="Z73" s="4"/>
      <c r="AH73" s="5"/>
    </row>
    <row r="74">
      <c r="E74" s="15"/>
      <c r="F74" s="2"/>
      <c r="G74" s="16"/>
      <c r="H74" s="16"/>
      <c r="I74" s="12"/>
      <c r="O74" s="7"/>
      <c r="P74" s="26"/>
      <c r="Q74" s="17" t="str">
        <v>69720d3d2e65708291de5958</v>
      </c>
      <c r="R74" s="18"/>
      <c r="S74" s="18"/>
      <c r="T74" s="27"/>
      <c r="U74" s="18"/>
      <c r="V74" s="18"/>
      <c r="W74" s="26"/>
      <c r="X74" s="18"/>
      <c r="Z74" s="4"/>
      <c r="AH74" s="5"/>
    </row>
    <row r="75">
      <c r="E75" s="15"/>
      <c r="G75" s="16"/>
      <c r="I75" s="12"/>
      <c r="O75" s="7"/>
      <c r="P75" s="26"/>
      <c r="Q75" s="17" t="str">
        <v>6974cf819a5ab4f1ad0fcc55</v>
      </c>
      <c r="R75" s="18"/>
      <c r="S75" s="18"/>
      <c r="T75" s="27"/>
      <c r="U75" s="18"/>
      <c r="V75" s="18"/>
      <c r="W75" s="26"/>
      <c r="X75" s="18"/>
      <c r="Z75" s="4"/>
      <c r="AH75" s="5"/>
    </row>
    <row r="76">
      <c r="E76" s="15"/>
      <c r="G76" s="16"/>
      <c r="I76" s="12"/>
      <c r="O76" s="7"/>
      <c r="Q76" s="17" t="str">
        <v>69764855824699139bce5113</v>
      </c>
      <c r="T76" s="13"/>
      <c r="X76" s="14"/>
      <c r="Z76" s="4"/>
      <c r="AH76" s="5"/>
    </row>
    <row r="77">
      <c r="E77" s="15"/>
      <c r="G77" s="16"/>
      <c r="I77" s="12"/>
      <c r="O77" s="7"/>
      <c r="Q77" s="17" t="str">
        <v>697709667a9aa2a4cc637c17</v>
      </c>
      <c r="T77" s="13"/>
      <c r="X77" s="14"/>
      <c r="Z77" s="4"/>
      <c r="AH77" s="5"/>
    </row>
    <row r="78">
      <c r="E78" s="15"/>
      <c r="G78" s="16"/>
      <c r="I78" s="12"/>
      <c r="O78" s="7"/>
      <c r="Q78" s="17" t="str">
        <v>6977a890db8196a9d35c91c8</v>
      </c>
      <c r="T78" s="13"/>
      <c r="X78" s="14"/>
      <c r="Z78" s="4"/>
      <c r="AH78" s="5"/>
    </row>
    <row r="79">
      <c r="E79" s="15"/>
      <c r="G79" s="16"/>
      <c r="I79" s="12"/>
      <c r="O79" s="7"/>
      <c r="Q79" s="17" t="str">
        <v>69796f555bcd522a9ad34310</v>
      </c>
      <c r="T79" s="13"/>
      <c r="X79" s="14"/>
      <c r="Z79" s="4"/>
      <c r="AH79" s="5"/>
    </row>
    <row r="80">
      <c r="E80" s="15"/>
      <c r="G80" s="16"/>
      <c r="I80" s="12"/>
      <c r="O80" s="7"/>
      <c r="Q80" s="17" t="str">
        <v>697ae18857f3db06f9c3c1a8</v>
      </c>
      <c r="T80" s="13"/>
      <c r="X80" s="14"/>
      <c r="Z80" s="4"/>
      <c r="AH80" s="5"/>
    </row>
    <row r="81">
      <c r="E81" s="15"/>
      <c r="G81" s="16"/>
      <c r="I81" s="12"/>
      <c r="O81" s="7"/>
      <c r="Q81" s="17" t="str">
        <v>697b3269cf6e06c5eb6d2c0c</v>
      </c>
      <c r="T81" s="13"/>
      <c r="X81" s="14"/>
      <c r="Z81" s="4"/>
      <c r="AH81" s="5"/>
    </row>
    <row r="82">
      <c r="E82" s="15"/>
      <c r="G82" s="16"/>
      <c r="I82" s="12"/>
      <c r="O82" s="7"/>
      <c r="Q82" s="17" t="str">
        <v>697fe98bd1a5ca6c50071102</v>
      </c>
      <c r="T82" s="13"/>
      <c r="X82" s="14"/>
      <c r="Z82" s="4"/>
      <c r="AH82" s="5"/>
    </row>
    <row r="83">
      <c r="E83" s="15"/>
      <c r="G83" s="16"/>
      <c r="I83" s="12"/>
      <c r="O83" s="7"/>
      <c r="Q83" s="17" t="str">
        <v>6981eb01bbaa47f3ceea5945</v>
      </c>
      <c r="T83" s="13"/>
      <c r="X83" s="14"/>
      <c r="Z83" s="4"/>
      <c r="AH83" s="5"/>
    </row>
    <row r="84">
      <c r="E84" s="15"/>
      <c r="G84" s="16"/>
      <c r="I84" s="12"/>
      <c r="O84" s="7"/>
      <c r="Q84" s="17" t="str">
        <v>6983fe19bbaa47f3ce45c805</v>
      </c>
      <c r="T84" s="13"/>
      <c r="X84" s="14"/>
      <c r="Z84" s="4"/>
      <c r="AH84" s="5"/>
    </row>
    <row r="85">
      <c r="E85" s="15"/>
      <c r="G85" s="16"/>
      <c r="I85" s="12"/>
      <c r="O85" s="7"/>
      <c r="Q85" s="17" t="str">
        <v>6987e3892d33abfe64f8c402</v>
      </c>
      <c r="T85" s="13"/>
      <c r="X85" s="14"/>
      <c r="Z85" s="4"/>
      <c r="AH85" s="5"/>
    </row>
    <row r="86">
      <c r="E86" s="15"/>
      <c r="G86" s="16"/>
      <c r="I86" s="12"/>
      <c r="O86" s="7"/>
      <c r="Q86" s="17" t="str">
        <v>69898b37bbaa47f3ce53b749</v>
      </c>
      <c r="T86" s="13"/>
      <c r="X86" s="14"/>
      <c r="Z86" s="4"/>
      <c r="AH86" s="5"/>
    </row>
    <row r="87">
      <c r="E87" s="15"/>
      <c r="G87" s="16"/>
      <c r="I87" s="12"/>
      <c r="O87" s="7"/>
      <c r="Q87" s="17" t="str">
        <v>698c986c9e209fa194e8e7fd</v>
      </c>
      <c r="T87" s="13"/>
      <c r="X87" s="14"/>
      <c r="Z87" s="4"/>
      <c r="AH87" s="5"/>
    </row>
    <row r="88">
      <c r="E88" s="15"/>
      <c r="G88" s="16"/>
      <c r="I88" s="12"/>
      <c r="O88" s="7"/>
      <c r="Q88" s="17" t="str">
        <v>698ed3009e209fa1945aae9a</v>
      </c>
      <c r="T88" s="13"/>
      <c r="X88" s="14"/>
      <c r="Z88" s="4"/>
      <c r="AH88" s="5"/>
    </row>
    <row r="89">
      <c r="E89" s="15"/>
      <c r="G89" s="16"/>
      <c r="I89" s="12"/>
      <c r="O89" s="7"/>
      <c r="Q89" s="17" t="str">
        <v>698feaa602ca69c981bf6d6b</v>
      </c>
      <c r="T89" s="13"/>
      <c r="X89" s="14"/>
      <c r="Z89" s="4"/>
      <c r="AH89" s="5"/>
    </row>
    <row r="90">
      <c r="E90" s="15"/>
      <c r="G90" s="16"/>
      <c r="I90" s="12"/>
      <c r="O90" s="7"/>
      <c r="Q90" s="17" t="str">
        <v>699508ff9e209fa1942edcd6</v>
      </c>
      <c r="T90" s="13"/>
      <c r="X90" s="14"/>
      <c r="Z90" s="4"/>
      <c r="AH90" s="5"/>
    </row>
    <row r="91">
      <c r="E91" s="15"/>
      <c r="G91" s="16"/>
      <c r="I91" s="12"/>
      <c r="O91" s="7"/>
      <c r="Q91" s="17" t="str">
        <v>69990cba15c8092fe2fb6c78</v>
      </c>
      <c r="T91" s="13"/>
      <c r="X91" s="14"/>
      <c r="Z91" s="4"/>
      <c r="AH91" s="5"/>
    </row>
    <row r="92">
      <c r="E92" s="15"/>
      <c r="G92" s="16"/>
      <c r="I92" s="12"/>
      <c r="O92" s="7"/>
      <c r="Q92" s="17" t="str">
        <v>699a52be15c8092fe222e8e6</v>
      </c>
      <c r="T92" s="13"/>
      <c r="X92" s="14"/>
      <c r="Z92" s="4"/>
      <c r="AH92" s="5"/>
    </row>
    <row r="93">
      <c r="E93" s="15"/>
      <c r="G93" s="16"/>
      <c r="I93" s="12"/>
      <c r="O93" s="7"/>
      <c r="Q93" s="17" t="str">
        <v>699b1c7fff3ad9ca335dc4de</v>
      </c>
      <c r="T93" s="13"/>
      <c r="X93" s="14"/>
      <c r="Z93" s="4"/>
      <c r="AH93" s="5"/>
    </row>
    <row r="94">
      <c r="E94" s="15"/>
      <c r="G94" s="16"/>
      <c r="I94" s="12"/>
      <c r="O94" s="7"/>
      <c r="Q94" s="17" t="str">
        <v>699ef135b8f6647cc72c5cde</v>
      </c>
      <c r="T94" s="13"/>
      <c r="X94" s="14"/>
      <c r="Z94" s="4"/>
      <c r="AH94" s="5"/>
    </row>
    <row r="95">
      <c r="E95" s="15"/>
      <c r="G95" s="16"/>
      <c r="I95" s="12"/>
      <c r="O95" s="7"/>
      <c r="Q95" s="17" t="str">
        <v>699fda89b8f6647cc7663cf1</v>
      </c>
      <c r="T95" s="13"/>
      <c r="X95" s="14"/>
      <c r="Z95" s="4"/>
      <c r="AH95" s="5"/>
    </row>
    <row r="96">
      <c r="E96" s="15"/>
      <c r="G96" s="16"/>
      <c r="I96" s="12"/>
      <c r="O96" s="7"/>
      <c r="Q96" s="17" t="str">
        <v>69a0288085b8fcd48ea1c5df</v>
      </c>
      <c r="T96" s="13"/>
      <c r="X96" s="14"/>
      <c r="Z96" s="4"/>
      <c r="AH96" s="5"/>
    </row>
    <row r="97">
      <c r="E97" s="15"/>
      <c r="G97" s="16"/>
      <c r="I97" s="12"/>
      <c r="O97" s="7"/>
      <c r="Q97" s="17" t="str">
        <v>69a1201a85b8fcd48ed77a9f</v>
      </c>
      <c r="T97" s="13"/>
      <c r="X97" s="14"/>
      <c r="Z97" s="4"/>
      <c r="AH97" s="5"/>
    </row>
    <row r="98">
      <c r="E98" s="15"/>
      <c r="G98" s="16"/>
      <c r="I98" s="12"/>
      <c r="O98" s="7"/>
      <c r="Q98" s="17" t="str">
        <v>69a168f36c69e62528834fc5</v>
      </c>
      <c r="T98" s="13"/>
      <c r="X98" s="14"/>
      <c r="Z98" s="4"/>
      <c r="AH98" s="5"/>
    </row>
    <row r="99">
      <c r="E99" s="15"/>
      <c r="G99" s="16"/>
      <c r="I99" s="12"/>
      <c r="O99" s="7"/>
      <c r="Q99" s="17" t="str">
        <v>69a720f2643f7636a74540e6</v>
      </c>
      <c r="T99" s="13"/>
      <c r="X99" s="14"/>
      <c r="Z99" s="4"/>
      <c r="AH99" s="5"/>
    </row>
    <row r="100">
      <c r="E100" s="15"/>
      <c r="G100" s="16"/>
      <c r="I100" s="12"/>
      <c r="O100" s="7"/>
      <c r="Q100" s="17" t="str">
        <v>69a9012b85b8fcd48e47fa97</v>
      </c>
      <c r="T100" s="13"/>
      <c r="X100" s="14"/>
      <c r="Z100" s="4"/>
      <c r="AH100" s="5"/>
    </row>
    <row r="101">
      <c r="E101" s="15"/>
      <c r="G101" s="16"/>
      <c r="I101" s="12"/>
      <c r="O101" s="7"/>
      <c r="Q101" s="17" t="str">
        <v>69af954d3adbe9efcb84a2ab</v>
      </c>
      <c r="T101" s="13"/>
      <c r="X101" s="14"/>
      <c r="Z101" s="4"/>
      <c r="AH101" s="5"/>
    </row>
    <row r="102">
      <c r="E102" s="15"/>
      <c r="G102" s="16"/>
      <c r="I102" s="12"/>
      <c r="O102" s="7"/>
      <c r="Q102" s="17" t="str">
        <v>69b1070abcdda80c6d418c2f</v>
      </c>
      <c r="T102" s="13"/>
      <c r="X102" s="14"/>
      <c r="Z102" s="4"/>
      <c r="AH102" s="5"/>
    </row>
    <row r="103">
      <c r="E103" s="15"/>
      <c r="G103" s="16"/>
      <c r="I103" s="12"/>
      <c r="O103" s="7"/>
      <c r="Q103" s="17" t="str">
        <v>69b19346bcdda80c6d63bc77</v>
      </c>
      <c r="T103" s="13"/>
      <c r="X103" s="14"/>
      <c r="Z103" s="4"/>
      <c r="AH103" s="5"/>
    </row>
    <row r="104">
      <c r="E104" s="15"/>
      <c r="G104" s="16"/>
      <c r="I104" s="12"/>
      <c r="O104" s="7"/>
      <c r="Q104" s="17" t="str">
        <v>69b225a311a35f24eac558b9</v>
      </c>
      <c r="T104" s="13"/>
      <c r="X104" s="14"/>
      <c r="Z104" s="4"/>
      <c r="AH104" s="5"/>
    </row>
    <row r="105">
      <c r="E105" s="15"/>
      <c r="G105" s="16"/>
      <c r="I105" s="12"/>
      <c r="O105" s="7"/>
      <c r="Q105" s="17" t="str">
        <v>69b77a0eb24ebb327172030d</v>
      </c>
      <c r="T105" s="13"/>
      <c r="X105" s="14"/>
      <c r="Z105" s="4"/>
      <c r="AH105" s="5"/>
    </row>
    <row r="106">
      <c r="E106" s="15"/>
      <c r="G106" s="16"/>
      <c r="I106" s="12"/>
      <c r="O106" s="7"/>
      <c r="Q106" s="17" t="str">
        <v>69bac0b548397356d0f1b862</v>
      </c>
      <c r="T106" s="13"/>
      <c r="X106" s="14"/>
      <c r="Z106" s="4"/>
      <c r="AH106" s="5"/>
    </row>
    <row r="107">
      <c r="E107" s="15"/>
      <c r="G107" s="16"/>
      <c r="I107" s="12"/>
      <c r="O107" s="7"/>
      <c r="Q107" s="17" t="str">
        <v>69c4b7e1e4fe4912fb4dc720</v>
      </c>
      <c r="T107" s="13"/>
      <c r="X107" s="14"/>
      <c r="Z107" s="4"/>
      <c r="AH107" s="5"/>
    </row>
    <row r="108">
      <c r="E108" s="15"/>
      <c r="G108" s="16"/>
      <c r="I108" s="12"/>
      <c r="O108" s="7"/>
      <c r="Q108" s="17" t="str">
        <v>69c4fe9be4fe4912fb65336a</v>
      </c>
      <c r="T108" s="13"/>
      <c r="X108" s="14"/>
      <c r="Z108" s="4"/>
      <c r="AH108" s="5"/>
    </row>
    <row r="109">
      <c r="E109" s="15"/>
      <c r="G109" s="16"/>
      <c r="I109" s="12"/>
      <c r="O109" s="7"/>
      <c r="Q109" s="17" t="str">
        <v>69c9e90fe4fe4912fb0995b0</v>
      </c>
      <c r="T109" s="13"/>
      <c r="X109" s="14"/>
      <c r="Z109" s="4"/>
      <c r="AH109" s="5"/>
    </row>
    <row r="110">
      <c r="E110" s="15"/>
      <c r="G110" s="16"/>
      <c r="I110" s="12"/>
      <c r="O110" s="7"/>
      <c r="T110" s="13"/>
      <c r="X110" s="14"/>
      <c r="Z110" s="4"/>
      <c r="AH110" s="5"/>
    </row>
    <row r="111">
      <c r="E111" s="15"/>
      <c r="G111" s="16"/>
      <c r="I111" s="12"/>
      <c r="O111" s="7"/>
      <c r="T111" s="13"/>
      <c r="X111" s="14"/>
      <c r="Z111" s="4"/>
      <c r="AH111" s="5"/>
    </row>
    <row r="112">
      <c r="E112" s="15"/>
      <c r="G112" s="16"/>
      <c r="I112" s="12"/>
      <c r="O112" s="7"/>
      <c r="T112" s="13"/>
      <c r="X112" s="14"/>
      <c r="Z112" s="4"/>
      <c r="AH112" s="5"/>
    </row>
    <row r="113">
      <c r="E113" s="15"/>
      <c r="G113" s="16"/>
      <c r="I113" s="12"/>
      <c r="O113" s="7"/>
      <c r="T113" s="13"/>
      <c r="X113" s="14"/>
      <c r="Z113" s="4"/>
      <c r="AH113" s="5"/>
    </row>
    <row r="114">
      <c r="E114" s="15"/>
      <c r="G114" s="16"/>
      <c r="I114" s="12"/>
      <c r="O114" s="7"/>
      <c r="T114" s="13"/>
      <c r="X114" s="14"/>
      <c r="Z114" s="4"/>
      <c r="AH114" s="5"/>
    </row>
    <row r="115">
      <c r="E115" s="15"/>
      <c r="G115" s="16"/>
      <c r="I115" s="12"/>
      <c r="O115" s="7"/>
      <c r="T115" s="13"/>
      <c r="X115" s="14"/>
      <c r="Z115" s="4"/>
      <c r="AH115" s="5"/>
    </row>
    <row r="116">
      <c r="E116" s="15"/>
      <c r="G116" s="16"/>
      <c r="I116" s="12"/>
      <c r="O116" s="7"/>
      <c r="T116" s="13"/>
      <c r="X116" s="14"/>
      <c r="Z116" s="4"/>
      <c r="AH116" s="5"/>
    </row>
    <row r="117">
      <c r="E117" s="15"/>
      <c r="G117" s="16"/>
      <c r="I117" s="12"/>
      <c r="O117" s="7"/>
      <c r="T117" s="13"/>
      <c r="X117" s="14"/>
      <c r="Z117" s="4"/>
      <c r="AH117" s="5"/>
    </row>
    <row r="118">
      <c r="E118" s="15"/>
      <c r="G118" s="16"/>
      <c r="I118" s="12"/>
      <c r="O118" s="7"/>
      <c r="T118" s="13"/>
      <c r="X118" s="14"/>
      <c r="Z118" s="4"/>
      <c r="AH118" s="5"/>
    </row>
    <row r="119">
      <c r="E119" s="15"/>
      <c r="G119" s="16"/>
      <c r="I119" s="12"/>
      <c r="O119" s="7"/>
      <c r="T119" s="13"/>
      <c r="X119" s="14"/>
      <c r="Z119" s="4"/>
      <c r="AH119" s="5"/>
    </row>
    <row r="120">
      <c r="E120" s="15"/>
      <c r="G120" s="16"/>
      <c r="I120" s="12"/>
      <c r="O120" s="7"/>
      <c r="T120" s="13"/>
      <c r="X120" s="14"/>
      <c r="Z120" s="4"/>
      <c r="AH120" s="5"/>
    </row>
    <row r="121">
      <c r="E121" s="15"/>
      <c r="G121" s="16"/>
      <c r="I121" s="12"/>
      <c r="O121" s="7"/>
      <c r="T121" s="13"/>
      <c r="X121" s="14"/>
      <c r="Z121" s="4"/>
      <c r="AH121" s="5"/>
    </row>
    <row r="122">
      <c r="E122" s="15"/>
      <c r="G122" s="16"/>
      <c r="I122" s="12"/>
      <c r="O122" s="7"/>
      <c r="T122" s="13"/>
      <c r="X122" s="14"/>
      <c r="Z122" s="4"/>
      <c r="AH122" s="5"/>
    </row>
    <row r="123">
      <c r="E123" s="15"/>
      <c r="G123" s="16"/>
      <c r="I123" s="12"/>
      <c r="O123" s="7"/>
      <c r="T123" s="13"/>
      <c r="X123" s="14"/>
      <c r="Z123" s="4"/>
      <c r="AH123" s="5"/>
    </row>
    <row r="124">
      <c r="E124" s="15"/>
      <c r="G124" s="16"/>
      <c r="I124" s="12"/>
      <c r="O124" s="7"/>
      <c r="T124" s="13"/>
      <c r="X124" s="14"/>
      <c r="Z124" s="4"/>
      <c r="AH124" s="5"/>
    </row>
    <row r="125">
      <c r="E125" s="15"/>
      <c r="G125" s="16"/>
      <c r="I125" s="12"/>
      <c r="O125" s="7"/>
      <c r="T125" s="13"/>
      <c r="X125" s="14"/>
      <c r="Z125" s="4"/>
      <c r="AH125" s="5"/>
    </row>
    <row r="126">
      <c r="E126" s="15"/>
      <c r="G126" s="16"/>
      <c r="I126" s="12"/>
      <c r="O126" s="7"/>
      <c r="T126" s="13"/>
      <c r="X126" s="14"/>
      <c r="Z126" s="4"/>
      <c r="AH126" s="5"/>
    </row>
    <row r="127">
      <c r="E127" s="15"/>
      <c r="G127" s="16"/>
      <c r="I127" s="12"/>
      <c r="O127" s="7"/>
      <c r="T127" s="13"/>
      <c r="X127" s="14"/>
      <c r="Z127" s="4"/>
      <c r="AH127" s="5"/>
    </row>
    <row r="128">
      <c r="E128" s="15"/>
      <c r="G128" s="16"/>
      <c r="I128" s="12"/>
      <c r="O128" s="7"/>
      <c r="T128" s="13"/>
      <c r="X128" s="14"/>
      <c r="Z128" s="4"/>
      <c r="AH128" s="5"/>
    </row>
    <row r="129">
      <c r="E129" s="15"/>
      <c r="G129" s="16"/>
      <c r="I129" s="12"/>
      <c r="O129" s="7"/>
      <c r="T129" s="13"/>
      <c r="X129" s="14"/>
      <c r="Z129" s="4"/>
      <c r="AH129" s="5"/>
    </row>
    <row r="130">
      <c r="E130" s="15"/>
      <c r="G130" s="16"/>
      <c r="I130" s="12"/>
      <c r="O130" s="7"/>
      <c r="T130" s="13"/>
      <c r="X130" s="14"/>
      <c r="Z130" s="4"/>
      <c r="AH130" s="5"/>
    </row>
    <row r="131">
      <c r="E131" s="15"/>
      <c r="G131" s="16"/>
      <c r="I131" s="12"/>
      <c r="O131" s="7"/>
      <c r="T131" s="13"/>
      <c r="X131" s="14"/>
      <c r="Z131" s="4"/>
      <c r="AH131" s="5"/>
    </row>
    <row r="132">
      <c r="E132" s="15"/>
      <c r="G132" s="16"/>
      <c r="I132" s="12"/>
      <c r="O132" s="7"/>
      <c r="T132" s="13"/>
      <c r="X132" s="14"/>
      <c r="Z132" s="4"/>
      <c r="AH132" s="5"/>
    </row>
    <row r="133">
      <c r="E133" s="15"/>
      <c r="G133" s="16"/>
      <c r="I133" s="12"/>
      <c r="O133" s="7"/>
      <c r="T133" s="13"/>
      <c r="X133" s="14"/>
      <c r="Z133" s="4"/>
      <c r="AH133" s="5"/>
    </row>
    <row r="134">
      <c r="E134" s="15"/>
      <c r="G134" s="16"/>
      <c r="I134" s="12"/>
      <c r="O134" s="7"/>
      <c r="T134" s="13"/>
      <c r="X134" s="14"/>
      <c r="Z134" s="4"/>
      <c r="AH134" s="5"/>
    </row>
    <row r="135">
      <c r="E135" s="15"/>
      <c r="G135" s="16"/>
      <c r="I135" s="12"/>
      <c r="O135" s="7"/>
      <c r="T135" s="13"/>
      <c r="X135" s="14"/>
      <c r="Z135" s="4"/>
      <c r="AH135" s="5"/>
    </row>
    <row r="136">
      <c r="E136" s="15"/>
      <c r="G136" s="16"/>
      <c r="I136" s="12"/>
      <c r="O136" s="7"/>
      <c r="T136" s="13"/>
      <c r="X136" s="14"/>
      <c r="Z136" s="4"/>
      <c r="AH136" s="5"/>
    </row>
    <row r="137">
      <c r="E137" s="15"/>
      <c r="G137" s="16"/>
      <c r="I137" s="12"/>
      <c r="O137" s="7"/>
      <c r="T137" s="13"/>
      <c r="X137" s="14"/>
      <c r="Z137" s="4"/>
      <c r="AH137" s="5"/>
    </row>
    <row r="138">
      <c r="E138" s="15"/>
      <c r="G138" s="16"/>
      <c r="I138" s="12"/>
      <c r="O138" s="7"/>
      <c r="T138" s="13"/>
      <c r="X138" s="14"/>
      <c r="Z138" s="4"/>
      <c r="AH138" s="5"/>
    </row>
    <row r="139">
      <c r="E139" s="15"/>
      <c r="G139" s="16"/>
      <c r="I139" s="12"/>
      <c r="O139" s="7"/>
      <c r="T139" s="13"/>
      <c r="X139" s="14"/>
      <c r="Z139" s="4"/>
      <c r="AH139" s="5"/>
    </row>
    <row r="140">
      <c r="E140" s="15"/>
      <c r="G140" s="16"/>
      <c r="I140" s="12"/>
      <c r="O140" s="7"/>
      <c r="T140" s="13"/>
      <c r="X140" s="14"/>
      <c r="Z140" s="4"/>
      <c r="AH140" s="5"/>
    </row>
    <row r="141">
      <c r="E141" s="15"/>
      <c r="G141" s="16"/>
      <c r="I141" s="12"/>
      <c r="O141" s="7"/>
      <c r="T141" s="13"/>
      <c r="X141" s="14"/>
      <c r="Z141" s="4"/>
      <c r="AH141" s="5"/>
    </row>
    <row r="142">
      <c r="E142" s="15"/>
      <c r="G142" s="16"/>
      <c r="I142" s="12"/>
      <c r="O142" s="7"/>
      <c r="T142" s="13"/>
      <c r="X142" s="14"/>
      <c r="Z142" s="4"/>
      <c r="AH142" s="5"/>
    </row>
    <row r="143">
      <c r="E143" s="15"/>
      <c r="G143" s="16"/>
      <c r="I143" s="12"/>
      <c r="O143" s="7"/>
      <c r="T143" s="13"/>
      <c r="X143" s="14"/>
      <c r="Z143" s="4"/>
      <c r="AH143" s="5"/>
    </row>
    <row r="144">
      <c r="E144" s="15"/>
      <c r="G144" s="16"/>
      <c r="I144" s="12"/>
      <c r="O144" s="7"/>
      <c r="T144" s="13"/>
      <c r="X144" s="14"/>
      <c r="Z144" s="4"/>
      <c r="AH144" s="5"/>
    </row>
    <row r="145">
      <c r="E145" s="15"/>
      <c r="G145" s="16"/>
      <c r="I145" s="12"/>
      <c r="O145" s="7"/>
      <c r="T145" s="13"/>
      <c r="X145" s="14"/>
      <c r="Z145" s="4"/>
      <c r="AH145" s="5"/>
    </row>
    <row r="146">
      <c r="E146" s="15"/>
      <c r="G146" s="16"/>
      <c r="I146" s="12"/>
      <c r="O146" s="7"/>
      <c r="T146" s="13"/>
      <c r="X146" s="14"/>
      <c r="Z146" s="4"/>
      <c r="AH146" s="5"/>
    </row>
    <row r="147">
      <c r="E147" s="15"/>
      <c r="G147" s="16"/>
      <c r="I147" s="12"/>
      <c r="O147" s="7"/>
      <c r="T147" s="13"/>
      <c r="X147" s="14"/>
      <c r="Z147" s="4"/>
      <c r="AH147" s="5"/>
    </row>
    <row r="148">
      <c r="E148" s="15"/>
      <c r="G148" s="16"/>
      <c r="I148" s="12"/>
      <c r="O148" s="7"/>
      <c r="T148" s="13"/>
      <c r="X148" s="14"/>
      <c r="Z148" s="4"/>
      <c r="AH148" s="5"/>
    </row>
    <row r="149">
      <c r="E149" s="15"/>
      <c r="G149" s="16"/>
      <c r="I149" s="12"/>
      <c r="O149" s="7"/>
      <c r="T149" s="13"/>
      <c r="X149" s="14"/>
      <c r="Z149" s="4"/>
      <c r="AH149" s="5"/>
    </row>
    <row r="150">
      <c r="E150" s="15"/>
      <c r="G150" s="16"/>
      <c r="I150" s="12"/>
      <c r="O150" s="7"/>
      <c r="T150" s="13"/>
      <c r="X150" s="14"/>
      <c r="Z150" s="4"/>
      <c r="AH150" s="5"/>
    </row>
    <row r="151">
      <c r="E151" s="15"/>
      <c r="G151" s="16"/>
      <c r="I151" s="12"/>
      <c r="O151" s="7"/>
      <c r="T151" s="13"/>
      <c r="X151" s="14"/>
      <c r="Z151" s="4"/>
      <c r="AH151" s="5"/>
    </row>
    <row r="152">
      <c r="E152" s="15"/>
      <c r="G152" s="16"/>
      <c r="I152" s="12"/>
      <c r="O152" s="7"/>
      <c r="T152" s="13"/>
      <c r="X152" s="14"/>
      <c r="Z152" s="4"/>
      <c r="AH152" s="5"/>
    </row>
    <row r="153">
      <c r="E153" s="15"/>
      <c r="G153" s="16"/>
      <c r="I153" s="12"/>
      <c r="O153" s="7"/>
      <c r="T153" s="13"/>
      <c r="X153" s="14"/>
      <c r="Z153" s="4"/>
      <c r="AH153" s="5"/>
    </row>
    <row r="154">
      <c r="E154" s="15"/>
      <c r="G154" s="16"/>
      <c r="I154" s="12"/>
      <c r="O154" s="7"/>
      <c r="T154" s="13"/>
      <c r="X154" s="14"/>
      <c r="Z154" s="4"/>
      <c r="AH154" s="5"/>
    </row>
    <row r="155">
      <c r="E155" s="15"/>
      <c r="G155" s="16"/>
      <c r="I155" s="12"/>
      <c r="O155" s="7"/>
      <c r="T155" s="13"/>
      <c r="X155" s="14"/>
      <c r="Z155" s="4"/>
      <c r="AH155" s="5"/>
    </row>
    <row r="156">
      <c r="E156" s="15"/>
      <c r="G156" s="16"/>
      <c r="I156" s="12"/>
      <c r="O156" s="7"/>
      <c r="T156" s="13"/>
      <c r="X156" s="14"/>
      <c r="Z156" s="4"/>
      <c r="AH156" s="5"/>
    </row>
    <row r="157">
      <c r="E157" s="15"/>
      <c r="G157" s="16"/>
      <c r="I157" s="12"/>
      <c r="O157" s="7"/>
      <c r="T157" s="13"/>
      <c r="X157" s="14"/>
      <c r="Z157" s="4"/>
      <c r="AH157" s="5"/>
    </row>
    <row r="158">
      <c r="E158" s="15"/>
      <c r="G158" s="16"/>
      <c r="I158" s="12"/>
      <c r="O158" s="7"/>
      <c r="T158" s="13"/>
      <c r="X158" s="14"/>
      <c r="Z158" s="4"/>
      <c r="AH158" s="5"/>
    </row>
    <row r="159">
      <c r="E159" s="15"/>
      <c r="G159" s="16"/>
      <c r="I159" s="12"/>
      <c r="O159" s="7"/>
      <c r="T159" s="13"/>
      <c r="X159" s="14"/>
      <c r="Z159" s="4"/>
      <c r="AH159" s="5"/>
    </row>
    <row r="160">
      <c r="E160" s="15"/>
      <c r="G160" s="16"/>
      <c r="I160" s="12"/>
      <c r="O160" s="7"/>
      <c r="T160" s="13"/>
      <c r="X160" s="14"/>
      <c r="Z160" s="4"/>
      <c r="AH160" s="5"/>
    </row>
    <row r="161">
      <c r="E161" s="15"/>
      <c r="G161" s="16"/>
      <c r="I161" s="12"/>
      <c r="O161" s="7"/>
      <c r="T161" s="13"/>
      <c r="X161" s="14"/>
      <c r="Z161" s="4"/>
      <c r="AH161" s="5"/>
    </row>
    <row r="162">
      <c r="E162" s="15"/>
      <c r="G162" s="16"/>
      <c r="I162" s="12"/>
      <c r="O162" s="7"/>
      <c r="T162" s="13"/>
      <c r="X162" s="14"/>
      <c r="Z162" s="4"/>
      <c r="AH162" s="5"/>
    </row>
    <row r="163">
      <c r="E163" s="15"/>
      <c r="G163" s="16"/>
      <c r="I163" s="12"/>
      <c r="O163" s="7"/>
      <c r="T163" s="13"/>
      <c r="X163" s="14"/>
      <c r="Z163" s="4"/>
      <c r="AH163" s="5"/>
    </row>
    <row r="164">
      <c r="E164" s="15"/>
      <c r="G164" s="16"/>
      <c r="I164" s="12"/>
      <c r="O164" s="7"/>
      <c r="T164" s="13"/>
      <c r="X164" s="14"/>
      <c r="Z164" s="4"/>
      <c r="AH164" s="5"/>
    </row>
    <row r="165">
      <c r="E165" s="15"/>
      <c r="G165" s="16"/>
      <c r="I165" s="12"/>
      <c r="O165" s="7"/>
      <c r="T165" s="13"/>
      <c r="X165" s="14"/>
      <c r="Z165" s="4"/>
      <c r="AH165" s="5"/>
    </row>
    <row r="166">
      <c r="E166" s="15"/>
      <c r="G166" s="16"/>
      <c r="I166" s="12"/>
      <c r="O166" s="7"/>
      <c r="T166" s="13"/>
      <c r="X166" s="14"/>
      <c r="Z166" s="4"/>
      <c r="AH166" s="5"/>
    </row>
    <row r="167">
      <c r="E167" s="15"/>
      <c r="G167" s="16"/>
      <c r="I167" s="12"/>
      <c r="O167" s="7"/>
      <c r="T167" s="13"/>
      <c r="X167" s="14"/>
      <c r="Z167" s="4"/>
      <c r="AH167" s="5"/>
    </row>
    <row r="168">
      <c r="E168" s="15"/>
      <c r="G168" s="16"/>
      <c r="I168" s="12"/>
      <c r="O168" s="7"/>
      <c r="T168" s="13"/>
      <c r="X168" s="14"/>
      <c r="Z168" s="4"/>
      <c r="AH168" s="5"/>
    </row>
    <row r="169">
      <c r="E169" s="15"/>
      <c r="G169" s="16"/>
      <c r="I169" s="12"/>
      <c r="O169" s="7"/>
      <c r="T169" s="13"/>
      <c r="X169" s="14"/>
      <c r="Z169" s="4"/>
      <c r="AH169" s="5"/>
    </row>
    <row r="170">
      <c r="E170" s="15"/>
      <c r="G170" s="16"/>
      <c r="I170" s="12"/>
      <c r="O170" s="7"/>
      <c r="T170" s="13"/>
      <c r="X170" s="14"/>
      <c r="Z170" s="4"/>
      <c r="AH170" s="5"/>
    </row>
    <row r="171">
      <c r="E171" s="15"/>
      <c r="G171" s="16"/>
      <c r="I171" s="12"/>
      <c r="O171" s="7"/>
      <c r="T171" s="13"/>
      <c r="X171" s="14"/>
      <c r="Z171" s="4"/>
      <c r="AH171" s="5"/>
    </row>
    <row r="172">
      <c r="E172" s="15"/>
      <c r="G172" s="16"/>
      <c r="I172" s="12"/>
      <c r="O172" s="7"/>
      <c r="T172" s="13"/>
      <c r="X172" s="14"/>
      <c r="Z172" s="4"/>
      <c r="AH172" s="5"/>
    </row>
    <row r="173">
      <c r="E173" s="15"/>
      <c r="G173" s="16"/>
      <c r="I173" s="12"/>
      <c r="O173" s="7"/>
      <c r="T173" s="13"/>
      <c r="X173" s="14"/>
      <c r="Z173" s="4"/>
      <c r="AH173" s="5"/>
    </row>
    <row r="174">
      <c r="E174" s="15"/>
      <c r="G174" s="16"/>
      <c r="I174" s="12"/>
      <c r="O174" s="7"/>
      <c r="T174" s="13"/>
      <c r="X174" s="14"/>
      <c r="Z174" s="4"/>
      <c r="AH174" s="5"/>
    </row>
    <row r="175">
      <c r="E175" s="15"/>
      <c r="G175" s="16"/>
      <c r="I175" s="12"/>
      <c r="O175" s="7"/>
      <c r="T175" s="13"/>
      <c r="X175" s="14"/>
      <c r="Z175" s="4"/>
      <c r="AH175" s="5"/>
    </row>
    <row r="176">
      <c r="E176" s="15"/>
      <c r="G176" s="16"/>
      <c r="I176" s="12"/>
      <c r="O176" s="7"/>
      <c r="T176" s="13"/>
      <c r="X176" s="14"/>
      <c r="Z176" s="4"/>
      <c r="AH176" s="5"/>
    </row>
    <row r="177">
      <c r="E177" s="15"/>
      <c r="G177" s="16"/>
      <c r="I177" s="12"/>
      <c r="O177" s="7"/>
      <c r="T177" s="13"/>
      <c r="X177" s="14"/>
      <c r="Z177" s="4"/>
      <c r="AH177" s="5"/>
    </row>
    <row r="178">
      <c r="E178" s="15"/>
      <c r="G178" s="16"/>
      <c r="I178" s="12"/>
      <c r="O178" s="7"/>
      <c r="T178" s="13"/>
      <c r="X178" s="14"/>
      <c r="Z178" s="4"/>
      <c r="AH178" s="5"/>
    </row>
    <row r="179">
      <c r="E179" s="15"/>
      <c r="G179" s="16"/>
      <c r="I179" s="12"/>
      <c r="O179" s="7"/>
      <c r="T179" s="13"/>
      <c r="X179" s="14"/>
      <c r="Z179" s="4"/>
      <c r="AH179" s="5"/>
    </row>
    <row r="180">
      <c r="E180" s="15"/>
      <c r="G180" s="16"/>
      <c r="I180" s="12"/>
      <c r="O180" s="7"/>
      <c r="T180" s="13"/>
      <c r="X180" s="14"/>
      <c r="Z180" s="4"/>
      <c r="AH180" s="5"/>
    </row>
    <row r="181">
      <c r="E181" s="15"/>
      <c r="G181" s="16"/>
      <c r="I181" s="12"/>
      <c r="O181" s="7"/>
      <c r="T181" s="13"/>
      <c r="X181" s="14"/>
      <c r="Z181" s="4"/>
      <c r="AH181" s="5"/>
    </row>
    <row r="182">
      <c r="E182" s="15"/>
      <c r="G182" s="16"/>
      <c r="I182" s="12"/>
      <c r="O182" s="7"/>
      <c r="T182" s="13"/>
      <c r="X182" s="14"/>
      <c r="Z182" s="4"/>
      <c r="AH182" s="5"/>
    </row>
    <row r="183">
      <c r="E183" s="15"/>
      <c r="G183" s="16"/>
      <c r="I183" s="12"/>
      <c r="O183" s="7"/>
      <c r="T183" s="13"/>
      <c r="X183" s="14"/>
      <c r="Z183" s="4"/>
      <c r="AH183" s="5"/>
    </row>
    <row r="184">
      <c r="E184" s="15"/>
      <c r="G184" s="16"/>
      <c r="I184" s="12"/>
      <c r="O184" s="7"/>
      <c r="T184" s="13"/>
      <c r="X184" s="14"/>
      <c r="Z184" s="4"/>
      <c r="AH184" s="5"/>
    </row>
    <row r="185">
      <c r="E185" s="15"/>
      <c r="G185" s="16"/>
      <c r="I185" s="12"/>
      <c r="O185" s="7"/>
      <c r="T185" s="13"/>
      <c r="X185" s="14"/>
      <c r="Z185" s="4"/>
      <c r="AH185" s="5"/>
    </row>
    <row r="186">
      <c r="E186" s="15"/>
      <c r="G186" s="16"/>
      <c r="I186" s="12"/>
      <c r="O186" s="7"/>
      <c r="T186" s="13"/>
      <c r="X186" s="14"/>
      <c r="Z186" s="4"/>
      <c r="AH186" s="5"/>
    </row>
    <row r="187">
      <c r="E187" s="15"/>
      <c r="G187" s="16"/>
      <c r="I187" s="12"/>
      <c r="O187" s="7"/>
      <c r="T187" s="13"/>
      <c r="X187" s="14"/>
      <c r="Z187" s="4"/>
      <c r="AH187" s="5"/>
    </row>
    <row r="188">
      <c r="E188" s="15"/>
      <c r="G188" s="16"/>
      <c r="I188" s="12"/>
      <c r="O188" s="7"/>
      <c r="T188" s="13"/>
      <c r="X188" s="14"/>
      <c r="Z188" s="4"/>
      <c r="AH188" s="5"/>
    </row>
    <row r="189">
      <c r="E189" s="15"/>
      <c r="G189" s="16"/>
      <c r="I189" s="12"/>
      <c r="O189" s="7"/>
      <c r="T189" s="13"/>
      <c r="X189" s="14"/>
      <c r="Z189" s="4"/>
      <c r="AH189" s="5"/>
    </row>
    <row r="190">
      <c r="E190" s="15"/>
      <c r="G190" s="16"/>
      <c r="I190" s="12"/>
      <c r="O190" s="7"/>
      <c r="T190" s="13"/>
      <c r="X190" s="14"/>
      <c r="Z190" s="4"/>
      <c r="AH190" s="5"/>
    </row>
    <row r="191">
      <c r="E191" s="15"/>
      <c r="G191" s="16"/>
      <c r="I191" s="12"/>
      <c r="O191" s="7"/>
      <c r="T191" s="13"/>
      <c r="X191" s="14"/>
      <c r="Z191" s="4"/>
      <c r="AH191" s="5"/>
    </row>
    <row r="192">
      <c r="E192" s="15"/>
      <c r="G192" s="16"/>
      <c r="I192" s="12"/>
      <c r="O192" s="7"/>
      <c r="T192" s="13"/>
      <c r="X192" s="14"/>
      <c r="Z192" s="4"/>
      <c r="AH192" s="5"/>
    </row>
    <row r="193">
      <c r="E193" s="15"/>
      <c r="G193" s="16"/>
      <c r="I193" s="12"/>
      <c r="O193" s="7"/>
      <c r="T193" s="13"/>
      <c r="X193" s="14"/>
      <c r="Z193" s="4"/>
      <c r="AH193" s="5"/>
    </row>
    <row r="194">
      <c r="E194" s="15"/>
      <c r="G194" s="16"/>
      <c r="I194" s="12"/>
      <c r="O194" s="7"/>
      <c r="T194" s="13"/>
      <c r="X194" s="14"/>
      <c r="Z194" s="4"/>
      <c r="AH194" s="5"/>
    </row>
    <row r="195">
      <c r="E195" s="15"/>
      <c r="G195" s="16"/>
      <c r="I195" s="12"/>
      <c r="O195" s="7"/>
      <c r="T195" s="13"/>
      <c r="X195" s="14"/>
      <c r="Z195" s="4"/>
      <c r="AH195" s="5"/>
    </row>
    <row r="196">
      <c r="E196" s="15"/>
      <c r="G196" s="16"/>
      <c r="I196" s="12"/>
      <c r="O196" s="7"/>
      <c r="T196" s="13"/>
      <c r="X196" s="14"/>
      <c r="Z196" s="4"/>
      <c r="AH196" s="5"/>
    </row>
    <row r="197">
      <c r="E197" s="15"/>
      <c r="G197" s="16"/>
      <c r="I197" s="12"/>
      <c r="O197" s="7"/>
      <c r="T197" s="13"/>
      <c r="X197" s="14"/>
      <c r="Z197" s="4"/>
      <c r="AH197" s="5"/>
    </row>
    <row r="198">
      <c r="E198" s="15"/>
      <c r="G198" s="16"/>
      <c r="I198" s="12"/>
      <c r="O198" s="7"/>
      <c r="T198" s="13"/>
      <c r="X198" s="14"/>
      <c r="Z198" s="4"/>
      <c r="AH198" s="5"/>
    </row>
    <row r="199">
      <c r="E199" s="15"/>
      <c r="G199" s="16"/>
      <c r="I199" s="12"/>
      <c r="O199" s="7"/>
      <c r="T199" s="13"/>
      <c r="X199" s="14"/>
      <c r="Z199" s="4"/>
      <c r="AH199" s="5"/>
    </row>
    <row r="200">
      <c r="E200" s="15"/>
      <c r="G200" s="16"/>
      <c r="I200" s="12"/>
      <c r="O200" s="7"/>
      <c r="T200" s="13"/>
      <c r="X200" s="14"/>
      <c r="Z200" s="4"/>
      <c r="AH200" s="5"/>
    </row>
    <row r="201">
      <c r="E201" s="15"/>
      <c r="G201" s="16"/>
      <c r="I201" s="12"/>
      <c r="O201" s="7"/>
      <c r="T201" s="13"/>
      <c r="X201" s="14"/>
      <c r="Z201" s="4"/>
      <c r="AH201" s="5"/>
    </row>
  </sheetData>
  <mergeCells>
    <mergeCell ref="I1:I201"/>
    <mergeCell ref="A10:A11"/>
    <mergeCell ref="B10:B11"/>
    <mergeCell ref="A29:A30"/>
    <mergeCell ref="B29:B30"/>
    <mergeCell ref="B23:B24"/>
    <mergeCell ref="C23:C24"/>
    <mergeCell ref="A1:C3"/>
    <mergeCell ref="A4:B4"/>
    <mergeCell ref="Z1:AH1"/>
    <mergeCell ref="A14:B14"/>
    <mergeCell ref="C10:C11"/>
  </mergeCells>
  <conditionalFormatting sqref="Q1:Q1048576">
    <cfRule dxfId="0" priority="2" stopIfTrue="true" type="duplicateValues"/>
  </conditionalFormatting>
  <dataValidations count="1">
    <dataValidation allowBlank="true" errorStyle="stop" showErrorMessage="true" sqref="Z59:Z70" type="list">
      <formula1>"MA - Tematik,MA - Location Analytics,MA - WebGIS,MA - LMS,Personal License"</formula1>
    </dataValidation>
  </dataValidations>
  <hyperlinks>
    <hyperlink ref="X30" display="contact@mapid.co.id" r:id="rId1"/>
    <hyperlink ref="X19" display="contact@mapid.co.id" r:id="rId2"/>
    <hyperlink ref="X24" display="contact@mapid.co.id" r:id="rId3"/>
    <hyperlink ref="X49" display="contact@mapid.co.id" r:id="rId4"/>
    <hyperlink ref="X8" display="contact@mapid.co.id" r:id="rId5"/>
    <hyperlink ref="X29" display="fhiqhia@gmail.com" r:id="rId6"/>
    <hyperlink ref="X33" display="contact@mapid.co.id" r:id="rId7"/>
    <hyperlink ref="X9" display="nikmasupermap@gmail.com" r:id="rId8"/>
    <hyperlink ref="X32" display="contact@mapid.co.id" r:id="rId9"/>
    <hyperlink ref="X35" display="contact@mapid.co.id" r:id="rId10"/>
    <hyperlink ref="X13" display="contact@mapid.co.id" r:id="rId11"/>
    <hyperlink ref="X15" display="contact@mapid.co.id" r:id="rId12"/>
    <hyperlink ref="X14" display="contact@mapid.co.id" r:id="rId13"/>
    <hyperlink ref="X28" display="contact@mapid.co.id" r:id="rId14"/>
    <hyperlink ref="X47" display="contact@mapid.co.id" r:id="rId15"/>
    <hyperlink ref="X39" display="contact@mapid.co.id" r:id="rId16"/>
    <hyperlink ref="X46" display="contact@mapid.co.id" r:id="rId17"/>
    <hyperlink ref="X37" display="contact@mapid.co.id" r:id="rId18"/>
    <hyperlink ref="X44" display="contact@mapid.co.id" r:id="rId19"/>
    <hyperlink ref="X6" display="contact@mapid.co.id" r:id="rId20"/>
    <hyperlink ref="X45" display="fhiqhia@gmail.com" r:id="rId21"/>
    <hyperlink ref="X3" display="contact@mapid.co.id" r:id="rId22"/>
    <hyperlink ref="X27" display="contact@mapid.co.id" r:id="rId23"/>
    <hyperlink ref="X7" display="contact@mapid.co.id" r:id="rId24"/>
    <hyperlink ref="X38" display="contact@mapid.co.id" r:id="rId25"/>
    <hyperlink ref="X42" display="contact@mapid.co.id" r:id="rId26"/>
    <hyperlink ref="X21" display="contact@mapid.co.id" r:id="rId27"/>
    <hyperlink ref="X43" display="contact@mapid.co.id" r:id="rId28"/>
    <hyperlink ref="X12" display="contact@mapid.co.id" r:id="rId29"/>
    <hyperlink ref="X17" display="gptinaja@gmail.com" r:id="rId30"/>
    <hyperlink ref="X36" display="contact@mapid.co.id" r:id="rId31"/>
    <hyperlink ref="X4" display="contact@mapid.co.id" r:id="rId32"/>
    <hyperlink ref="X40" display="contact@mapid.co.id" r:id="rId33"/>
    <hyperlink ref="X11" display="contact@mapid.co.id" r:id="rId34"/>
    <hyperlink ref="X2" display="contact@mapid.co.id" r:id="rId35"/>
    <hyperlink ref="X5" display="contact@mapid.co.id" r:id="rId36"/>
    <hyperlink ref="X50" display="rea.qinthara@stickearn.com" r:id="rId37"/>
    <hyperlink ref="X34" display="contact@mapid.co.id" r:id="rId38"/>
    <hyperlink ref="X48" display="contact@mapid.co.id" r:id="rId39"/>
    <hyperlink ref="X31" display="contact@mapid.co.id" r:id="rId40"/>
    <hyperlink ref="X25" display="contact@mapid.co.id" r:id="rId41"/>
    <hyperlink ref="X23" display="contact@mapid.co.id" r:id="rId42"/>
    <hyperlink ref="X20" display="contact@mapid.co.id" r:id="rId43"/>
    <hyperlink ref="X16" display="contact@mapid.co.id" r:id="rId44"/>
    <hyperlink ref="X10" display="contact@mapid.co.id" r:id="rId45"/>
    <hyperlink ref="X18" display="ghinaa24putri@gmail.com" r:id="rId46"/>
    <hyperlink ref="X26" display="contact@mapid.co.id" r:id="rId47"/>
    <hyperlink ref="X22" display="contact@mapid.co.id" r:id="rId48"/>
    <hyperlink ref="X41" display="contact@mapid.co.id" r:id="rId49"/>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10"/>
    <col collapsed="false" customWidth="true" hidden="false" max="1" min="1" style="0" width="10"/>
    <col collapsed="false" customWidth="true" hidden="false" max="2" min="2" style="0" width="10"/>
    <col collapsed="false" customWidth="true" hidden="false" max="2" min="2" style="0" width="10"/>
    <col collapsed="false" customWidth="true" hidden="false" max="3" min="3" style="0" width="10"/>
    <col collapsed="false" customWidth="true" hidden="false" max="3" min="3" style="0" width="10"/>
    <col collapsed="false" customWidth="true" hidden="false" max="4" min="4" style="0" width="10"/>
    <col collapsed="false" customWidth="true" hidden="false" max="4" min="4" style="0" width="10"/>
    <col collapsed="false" customWidth="true" hidden="false" max="5" min="5" style="0" width="10"/>
    <col collapsed="false" customWidth="true" hidden="false" max="5" min="5" style="0" width="10"/>
    <col collapsed="false" customWidth="true" hidden="false" max="6" min="6" style="0" width="3"/>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3"/>
    <col collapsed="false" customWidth="true" hidden="false" max="13" min="13" style="0" width="12"/>
    <col collapsed="false" customWidth="true" hidden="false" max="14" min="14" style="0" width="12"/>
    <col collapsed="false" customWidth="true" hidden="false" max="15" min="15" style="0" width="12"/>
    <col collapsed="false" customWidth="true" hidden="false" max="16" min="16" style="0" width="12"/>
    <col collapsed="false" customWidth="true" hidden="false" max="17" min="17" style="0" width="12"/>
    <col collapsed="false" customWidth="true" hidden="false" max="18" min="18" style="0" width="13"/>
    <col collapsed="false" customWidth="true" hidden="false" max="19" min="19" style="0" width="4"/>
    <col collapsed="false" customWidth="true" hidden="false" max="20" min="20" style="0" width="33"/>
    <col collapsed="false" customWidth="true" hidden="false" max="21" min="21" style="0" width="14"/>
    <col collapsed="false" customWidth="true" hidden="false" max="22" min="22" style="0" width="14"/>
    <col collapsed="false" customWidth="true" hidden="false" max="23" min="23" style="0" width="23"/>
    <col collapsed="false" customWidth="true" hidden="false" max="24" min="24" style="0" width="14"/>
    <col collapsed="false" customWidth="true" hidden="false" max="25" min="25" style="0" width="14"/>
    <col collapsed="false" customWidth="true" hidden="false" max="26" min="26" style="0" width="3"/>
    <col collapsed="false" customWidth="true" hidden="false" max="27" min="27" style="0" width="14"/>
    <col collapsed="false" customWidth="true" hidden="false" max="28" min="28" style="0" width="9"/>
    <col collapsed="false" customWidth="true" hidden="false" max="29" min="29" style="0" width="14"/>
    <col collapsed="false" customWidth="true" hidden="false" max="30" min="30" style="0" width="14"/>
    <col collapsed="false" customWidth="true" hidden="false" max="31" min="31" style="0" width="14"/>
    <col collapsed="false" customWidth="true" hidden="false" max="32" min="32" style="0" width="14"/>
    <col collapsed="false" customWidth="true" hidden="false" max="33" min="33" style="0" width="16"/>
    <col collapsed="false" customWidth="true" hidden="false" max="34" min="34" style="0" width="18"/>
    <col collapsed="false" customWidth="true" hidden="false" max="35" min="35" style="0" width="14"/>
    <col collapsed="false" customWidth="true" hidden="false" max="36" min="36" style="0" width="4"/>
    <col collapsed="false" customWidth="true" hidden="false" max="37" min="37" style="0" width="26"/>
    <col collapsed="false" customWidth="true" hidden="false" max="38" min="38" style="0" width="14"/>
    <col collapsed="false" customWidth="true" hidden="false" max="39" min="39" style="0" width="23"/>
    <col collapsed="false" customWidth="true" hidden="false" max="40" min="40" style="0" width="17"/>
    <col collapsed="false" customWidth="true" hidden="false" max="41" min="41" style="0" width="14"/>
    <col collapsed="false" customWidth="true" hidden="false" max="42" min="42" style="0" width="14"/>
    <col collapsed="false" customWidth="true" hidden="false" max="43" min="43" style="0" width="3"/>
    <col collapsed="false" customWidth="true" hidden="false" max="44" min="44" style="0" width="25"/>
    <col collapsed="false" customWidth="true" hidden="false" max="45" min="45" style="0" width="14"/>
    <col collapsed="false" customWidth="true" hidden="false" max="46" min="46" style="0" width="4"/>
    <col collapsed="false" customWidth="true" hidden="false" max="47" min="47" style="0" width="14"/>
    <col collapsed="false" customWidth="true" hidden="false" max="48" min="48" style="0" width="14"/>
    <col collapsed="false" customWidth="true" hidden="false" max="49" min="49" style="0" width="14"/>
    <col collapsed="false" customWidth="true" hidden="false" max="50" min="50" style="0" width="25"/>
    <col collapsed="false" customWidth="true" hidden="false" max="53" min="53" style="0" width="23"/>
    <col collapsed="false" customWidth="true" hidden="false" max="54" min="54" style="0" width="34"/>
  </cols>
  <sheetData>
    <row customHeight="true" ht="33" r="1">
      <c r="A1" s="139" t="str">
        <v>DASHBOARD- THEMATIC CLASS</v>
      </c>
      <c r="B1" s="139"/>
      <c r="C1" s="139"/>
      <c r="D1" s="139"/>
      <c r="E1" s="139"/>
      <c r="F1" s="30"/>
      <c r="G1" s="143" t="str">
        <v>DASHBOARD MA - LOCATION ANALYTICS</v>
      </c>
      <c r="H1" s="143"/>
      <c r="I1" s="143"/>
      <c r="J1" s="143"/>
      <c r="K1" s="143"/>
      <c r="L1" s="30"/>
      <c r="M1" s="140" t="str">
        <v>DASHBOARD MA -WEBGIS DEVELOPMENT/CORPORATE</v>
      </c>
      <c r="N1" s="140"/>
      <c r="O1" s="140"/>
      <c r="P1" s="140"/>
      <c r="Q1" s="140"/>
      <c r="R1" s="30"/>
      <c r="S1" s="141" t="str">
        <v>Q4: MAPID Academy - Location Analytics (Pendataran GEO)</v>
      </c>
      <c r="T1" s="147"/>
      <c r="U1" s="141"/>
      <c r="V1" s="141"/>
      <c r="W1" s="141"/>
      <c r="X1" s="144"/>
      <c r="Y1" s="141"/>
      <c r="Z1" s="30"/>
      <c r="AA1" s="142" t="str">
        <v>MIDTRANS TRANSACTION MA - LOCATION ANALYTICS</v>
      </c>
      <c r="AB1" s="142"/>
      <c r="AC1" s="142"/>
      <c r="AD1" s="142"/>
      <c r="AE1" s="142"/>
      <c r="AF1" s="142"/>
      <c r="AG1" s="142"/>
      <c r="AH1" s="142"/>
      <c r="AI1" s="30"/>
      <c r="AJ1" s="145" t="str">
        <v>Q4: THEMATIC CLASS</v>
      </c>
      <c r="AK1" s="136"/>
      <c r="AL1" s="136"/>
      <c r="AM1" s="136"/>
      <c r="AN1" s="136"/>
      <c r="AO1" s="136"/>
      <c r="AP1" s="136"/>
      <c r="AQ1" s="87"/>
      <c r="AR1" s="146" t="str">
        <v>PEMBAYAR MIDTRANS</v>
      </c>
      <c r="AS1" s="87"/>
      <c r="AT1" s="137" t="str">
        <v>Q4: WebGIS Development</v>
      </c>
      <c r="AU1" s="137"/>
      <c r="AV1" s="137"/>
      <c r="AW1" s="137"/>
      <c r="AX1" s="137"/>
      <c r="AY1" s="137"/>
      <c r="AZ1" s="137"/>
      <c r="BA1" s="87"/>
      <c r="BB1" s="138" t="str">
        <v>PEMBAYAR MIDTRANS
ONLY JANUARI</v>
      </c>
    </row>
    <row r="2">
      <c r="A2" s="139"/>
      <c r="B2" s="139"/>
      <c r="C2" s="139"/>
      <c r="D2" s="139"/>
      <c r="E2" s="139"/>
      <c r="F2" s="30"/>
      <c r="G2" s="143"/>
      <c r="H2" s="143"/>
      <c r="I2" s="143"/>
      <c r="J2" s="143"/>
      <c r="K2" s="143"/>
      <c r="L2" s="30"/>
      <c r="M2" s="140"/>
      <c r="N2" s="140"/>
      <c r="O2" s="140"/>
      <c r="P2" s="140"/>
      <c r="Q2" s="140"/>
      <c r="R2" s="30"/>
      <c r="S2" s="151" t="str">
        <v>No</v>
      </c>
      <c r="T2" s="148" t="str">
        <v>Nama Lengkap</v>
      </c>
      <c r="U2" s="159" t="str">
        <v>No Whatsapp</v>
      </c>
      <c r="V2" s="156" t="str">
        <v>Email</v>
      </c>
      <c r="W2" s="156" t="str">
        <v>Pilihan Paket</v>
      </c>
      <c r="X2" s="155" t="str">
        <v>Harga</v>
      </c>
      <c r="Y2" s="154" t="str">
        <v>STATUS BAYAR</v>
      </c>
      <c r="Z2" s="30"/>
      <c r="AA2" s="149" t="str">
        <v>Customer Email</v>
      </c>
      <c r="AB2" s="149" t="str">
        <v>Channel</v>
      </c>
      <c r="AC2" s="149" t="str">
        <v>Transaction type</v>
      </c>
      <c r="AD2" s="149" t="str">
        <v>Amount</v>
      </c>
      <c r="AE2" s="149" t="str">
        <v>Transaction status</v>
      </c>
      <c r="AF2" s="149" t="str">
        <v>Transaction ID</v>
      </c>
      <c r="AG2" s="149" t="str">
        <v>Transaction time</v>
      </c>
      <c r="AH2" s="149" t="str">
        <v>Date &amp; time</v>
      </c>
      <c r="AI2" s="30"/>
      <c r="AJ2" s="150" t="str">
        <v>No</v>
      </c>
      <c r="AK2" s="160" t="str">
        <v>Nama Lengkap</v>
      </c>
      <c r="AL2" s="158" t="str">
        <v>No Whatsapp</v>
      </c>
      <c r="AM2" s="150" t="str">
        <v>Email</v>
      </c>
      <c r="AN2" s="150" t="str">
        <v>Pilihan Paket</v>
      </c>
      <c r="AO2" s="150" t="str">
        <v>Harga</v>
      </c>
      <c r="AP2" s="153" t="str">
        <v>STATUS BAYAR</v>
      </c>
      <c r="AQ2" s="87"/>
      <c r="AR2" s="146"/>
      <c r="AS2" s="87"/>
      <c r="AT2" s="152" t="str">
        <v>No</v>
      </c>
      <c r="AU2" s="157" t="str">
        <v>Nama Lengkap</v>
      </c>
      <c r="AV2" s="152" t="str">
        <v>No Whatsapp</v>
      </c>
      <c r="AW2" s="152" t="str">
        <v>Email</v>
      </c>
      <c r="AX2" s="152" t="str">
        <v>Pilihan Paket</v>
      </c>
      <c r="AY2" s="152" t="str">
        <v>Harga</v>
      </c>
      <c r="AZ2" s="152" t="str">
        <v>STATUS BAYAR</v>
      </c>
      <c r="BA2" s="87"/>
      <c r="BB2" s="138"/>
    </row>
    <row r="3">
      <c r="A3" s="133"/>
      <c r="B3" s="133"/>
      <c r="C3" s="133"/>
      <c r="D3" s="133"/>
      <c r="E3" s="133"/>
      <c r="F3" s="30"/>
      <c r="G3" s="88"/>
      <c r="H3" s="88"/>
      <c r="I3" s="88"/>
      <c r="J3" s="88"/>
      <c r="K3" s="88"/>
      <c r="L3" s="30"/>
      <c r="M3" s="88"/>
      <c r="N3" s="88"/>
      <c r="O3" s="88"/>
      <c r="P3" s="88"/>
      <c r="Q3" s="88"/>
      <c r="R3" s="30"/>
      <c r="S3" s="84">
        <v>1</v>
      </c>
      <c r="T3" s="84"/>
      <c r="U3" s="84" t="str">
        <v>(+62) 81329771043</v>
      </c>
      <c r="V3" s="84"/>
      <c r="W3" s="84" t="str">
        <v>PROMO OPENING RUSH</v>
      </c>
      <c r="X3" s="93">
        <v>249000</v>
      </c>
      <c r="Y3" s="30">
        <f>IF(V3="","", IF( COUNTIF($AA$3:$AA$1101, V3) + SUMPRODUCT(--ISNUMBER(SEARCH(LOWER(REGEXEXTRACT(TRIM(V3),"^[^@]+")), LOWER(TRIM($AA$3:$AA$1101))))) &gt; 0, "SUDAH BAYAR","BELUM" ))</f>
      </c>
      <c r="Z3" s="30"/>
      <c r="AA3" s="91" t="s">
        <v>259</v>
      </c>
      <c r="AB3" s="3" t="str">
        <v>Bank Transfer</v>
      </c>
      <c r="AC3" s="3" t="str">
        <v>Payment</v>
      </c>
      <c r="AD3" s="3">
        <v>249000</v>
      </c>
      <c r="AE3" s="3" t="str">
        <v>settlement</v>
      </c>
      <c r="AF3" s="3" t="str">
        <v>3021e750-a362-4643-8342-7b81864291e1</v>
      </c>
      <c r="AG3" s="8" t="str">
        <v>#######</v>
      </c>
      <c r="AH3" s="9" t="str">
        <v>1/27/2026 17:18</v>
      </c>
      <c r="AI3" s="30"/>
      <c r="AJ3" s="135">
        <v>1</v>
      </c>
      <c r="AK3" s="131" t="str">
        <v>Siti Mustagimah</v>
      </c>
      <c r="AL3" s="131" t="str">
        <v>(+62) 85228109278</v>
      </c>
      <c r="AM3" s="131" t="s">
        <v>261</v>
      </c>
      <c r="AN3" s="131" t="str">
        <v>Class Only</v>
      </c>
      <c r="AO3" s="131">
        <v>69000</v>
      </c>
      <c r="AP3" s="88">
        <f>IF(AM3="","", IF(   COUNTIF($S$2:$S$176, AM3) +   SUMPRODUCT(--ISNUMBER(SEARCH(LOWER(REGEXEXTRACT(TRIM(AM3),"^[^@]+")), LOWER(TRIM($AR$2:$AR$86))))) &gt; 0,   "SUDAH BAYAR","BELUM" ))</f>
      </c>
      <c r="AQ3" s="87"/>
      <c r="AR3" s="3" t="s">
        <v>260</v>
      </c>
      <c r="AS3" s="87"/>
      <c r="AT3" s="30">
        <v>1</v>
      </c>
      <c r="AU3" s="30" t="str">
        <v>Ariel Setiawan Pirie</v>
      </c>
      <c r="AV3" s="30" t="str">
        <v>(+62) 895606195828</v>
      </c>
      <c r="AW3" s="30" t="s">
        <v>262</v>
      </c>
      <c r="AX3" s="30" t="str">
        <v>Waitlist- Umum</v>
      </c>
      <c r="AY3" s="30">
        <v>999000</v>
      </c>
      <c r="AZ3" s="30">
        <f>IF(AW3="","", IF(   COUNTIF($S$2:$S$176, AW3) +   SUMPRODUCT(--ISNUMBER(SEARCH(LOWER(REGEXEXTRACT(TRIM(AW3),"^[^@]+")), LOWER(TRIM($BB$2:$BB$86))))) &gt; 0,   "SUDAH BAYAR","BELUM" ))</f>
      </c>
      <c r="BA3" s="87"/>
      <c r="BB3" s="18" t="s">
        <v>205</v>
      </c>
      <c r="BC3" s="14" t="str">
        <v>After 1 Jan</v>
      </c>
      <c r="BF3" s="18"/>
      <c r="BG3" s="18"/>
    </row>
    <row customHeight="true" ht="22" r="4">
      <c r="A4" s="133"/>
      <c r="B4" s="133"/>
      <c r="C4" s="133"/>
      <c r="D4" s="133"/>
      <c r="E4" s="133"/>
      <c r="F4" s="30"/>
      <c r="G4" s="88"/>
      <c r="H4" s="88"/>
      <c r="I4" s="88"/>
      <c r="J4" s="88"/>
      <c r="K4" s="88"/>
      <c r="L4" s="30"/>
      <c r="M4" s="88"/>
      <c r="N4" s="88"/>
      <c r="O4" s="88"/>
      <c r="P4" s="88"/>
      <c r="Q4" s="88"/>
      <c r="R4" s="30"/>
      <c r="S4" s="84">
        <v>2</v>
      </c>
      <c r="T4" s="84" t="str">
        <v>Made Swabawa Sarwadhamana</v>
      </c>
      <c r="U4" s="84" t="str">
        <v>(+62) 85738666595</v>
      </c>
      <c r="V4" s="84" t="s">
        <v>259</v>
      </c>
      <c r="W4" s="84" t="str">
        <v>PROMO OPENING RUSH</v>
      </c>
      <c r="X4" s="93">
        <v>249000</v>
      </c>
      <c r="Y4" s="30">
        <f>IF(V4="","", IF( COUNTIF($AA$3:$AA$1101, V4) + SUMPRODUCT(--ISNUMBER(SEARCH(LOWER(REGEXEXTRACT(TRIM(V4),"^[^@]+")), LOWER(TRIM($AA$3:$AA$1101))))) &gt; 0, "SUDAH BAYAR","BELUM" ))</f>
      </c>
      <c r="Z4" s="30"/>
      <c r="AA4" s="91" t="s">
        <v>246</v>
      </c>
      <c r="AB4" s="3" t="str">
        <v>QRIS</v>
      </c>
      <c r="AC4" s="3" t="str">
        <v>Payment</v>
      </c>
      <c r="AD4" s="3">
        <v>249000</v>
      </c>
      <c r="AE4" s="3" t="str">
        <v>settlement</v>
      </c>
      <c r="AF4" s="3" t="str">
        <v>b34408bd-a45f-4a8d-bb96-2d79c7b6d748</v>
      </c>
      <c r="AG4" s="8" t="str">
        <v>#######</v>
      </c>
      <c r="AH4" s="9" t="str">
        <v>1/27/2026 18:06</v>
      </c>
      <c r="AI4" s="30"/>
      <c r="AJ4" s="135">
        <v>2</v>
      </c>
      <c r="AK4" s="131" t="str">
        <v>Rosye Villanova Christine0978</v>
      </c>
      <c r="AL4" s="131" t="str">
        <v>(+62) 87731313135</v>
      </c>
      <c r="AM4" s="131" t="s">
        <v>266</v>
      </c>
      <c r="AN4" s="131" t="str">
        <v>Class Only</v>
      </c>
      <c r="AO4" s="131">
        <v>69000</v>
      </c>
      <c r="AP4" s="88">
        <f>IF(AM4="","", IF(   COUNTIF($S$2:$S$176, AM4) +   SUMPRODUCT(--ISNUMBER(SEARCH(LOWER(REGEXEXTRACT(TRIM(AM4),"^[^@]+")), LOWER(TRIM($AR$2:$AR$86))))) &gt; 0,   "SUDAH BAYAR","BELUM" ))</f>
      </c>
      <c r="AQ4" s="87"/>
      <c r="AR4" s="3" t="s">
        <v>267</v>
      </c>
      <c r="AS4" s="87"/>
      <c r="AT4" s="30">
        <v>2</v>
      </c>
      <c r="AU4" s="30" t="str">
        <v>DAVID LEONARDO MOENTO</v>
      </c>
      <c r="AV4" s="30" t="str">
        <v>(+62) 82291016556</v>
      </c>
      <c r="AW4" s="30" t="s">
        <v>265</v>
      </c>
      <c r="AX4" s="30" t="str">
        <v>Waitlist - Mahasiswa</v>
      </c>
      <c r="AY4" s="30">
        <v>799000</v>
      </c>
      <c r="AZ4" s="30">
        <f>IF(AW4="","", IF(   COUNTIF($S$2:$S$176, AW4) +   SUMPRODUCT(--ISNUMBER(SEARCH(LOWER(REGEXEXTRACT(TRIM(AW4),"^[^@]+")), LOWER(TRIM($BB$2:$BB$86))))) &gt; 0,   "SUDAH BAYAR","BELUM" ))</f>
      </c>
      <c r="BA4" s="87"/>
      <c r="BB4" s="18" t="s">
        <v>209</v>
      </c>
      <c r="BC4" s="14"/>
      <c r="BF4" s="18"/>
      <c r="BG4" s="18"/>
    </row>
    <row r="5">
      <c r="A5" s="133"/>
      <c r="B5" s="133"/>
      <c r="C5" s="133"/>
      <c r="D5" s="133"/>
      <c r="E5" s="133"/>
      <c r="F5" s="30"/>
      <c r="G5" s="88"/>
      <c r="H5" s="88"/>
      <c r="I5" s="88"/>
      <c r="J5" s="88"/>
      <c r="K5" s="88"/>
      <c r="L5" s="30"/>
      <c r="M5" s="88"/>
      <c r="N5" s="88"/>
      <c r="O5" s="88"/>
      <c r="P5" s="88"/>
      <c r="Q5" s="88"/>
      <c r="R5" s="30"/>
      <c r="S5" s="84">
        <v>3</v>
      </c>
      <c r="T5" s="84" t="str">
        <v>Andrian Maulana MI</v>
      </c>
      <c r="U5" s="84" t="str">
        <v>(+62) 85846681126</v>
      </c>
      <c r="V5" s="84" t="s">
        <v>246</v>
      </c>
      <c r="W5" s="84" t="str">
        <v>PROMO OPENING RUSH</v>
      </c>
      <c r="X5" s="93">
        <v>249000</v>
      </c>
      <c r="Y5" s="30">
        <f>IF(V5="","", IF( COUNTIF($AA$3:$AA$1101, V5) + SUMPRODUCT(--ISNUMBER(SEARCH(LOWER(REGEXEXTRACT(TRIM(V5),"^[^@]+")), LOWER(TRIM($AA$3:$AA$1101))))) &gt; 0, "SUDAH BAYAR","BELUM" ))</f>
      </c>
      <c r="Z5" s="30"/>
      <c r="AA5" s="91" t="s">
        <v>230</v>
      </c>
      <c r="AB5" s="3" t="str">
        <v>QRIS</v>
      </c>
      <c r="AC5" s="3" t="str">
        <v>Payment</v>
      </c>
      <c r="AD5" s="3">
        <v>249000</v>
      </c>
      <c r="AE5" s="3" t="str">
        <v>settlement</v>
      </c>
      <c r="AF5" s="3" t="str">
        <v>6e776fde-9194-4329-ba59-ed0f00cbd1b3</v>
      </c>
      <c r="AG5" s="8" t="str">
        <v>#######</v>
      </c>
      <c r="AH5" s="9" t="str">
        <v>1/27/2026 19:11</v>
      </c>
      <c r="AI5" s="30"/>
      <c r="AJ5" s="88">
        <v>3</v>
      </c>
      <c r="AK5" s="84" t="str">
        <v>Ahmad Zulfadli</v>
      </c>
      <c r="AL5" s="84" t="str">
        <v>(+62) 81324011024</v>
      </c>
      <c r="AM5" s="84" t="s">
        <v>247</v>
      </c>
      <c r="AN5" s="84" t="str">
        <v>Class + License</v>
      </c>
      <c r="AO5" s="84">
        <v>149000</v>
      </c>
      <c r="AP5" s="88">
        <f>IF(AM5="","", IF(   COUNTIF($S$2:$S$176, AM5) +   SUMPRODUCT(--ISNUMBER(SEARCH(LOWER(REGEXEXTRACT(TRIM(AM5),"^[^@]+")), LOWER(TRIM($AR$2:$AR$86))))) &gt; 0,   "SUDAH BAYAR","BELUM" ))</f>
      </c>
      <c r="AQ5" s="87"/>
      <c r="AR5" s="3" t="s">
        <v>245</v>
      </c>
      <c r="AS5" s="87"/>
      <c r="AT5" s="30">
        <v>3</v>
      </c>
      <c r="AU5" s="30" t="str">
        <v>MUHAMMAD DIVAIO SAPUTRA</v>
      </c>
      <c r="AV5" s="30" t="str">
        <v>(+62) 8122753927</v>
      </c>
      <c r="AW5" s="30" t="s">
        <v>249</v>
      </c>
      <c r="AX5" s="30" t="str">
        <v>Waitlist- Umum</v>
      </c>
      <c r="AY5" s="30">
        <v>999000</v>
      </c>
      <c r="AZ5" s="30">
        <f>IF(AW5="","", IF(   COUNTIF($S$2:$S$176, AW5) +   SUMPRODUCT(--ISNUMBER(SEARCH(LOWER(REGEXEXTRACT(TRIM(AW5),"^[^@]+")), LOWER(TRIM($BB$2:$BB$86))))) &gt; 0,   "SUDAH BAYAR","BELUM" ))</f>
      </c>
      <c r="BA5" s="87"/>
      <c r="BB5" s="18" t="s">
        <v>248</v>
      </c>
      <c r="BC5" s="14"/>
      <c r="BF5" s="18"/>
      <c r="BG5" s="18"/>
    </row>
    <row r="6">
      <c r="A6" s="133"/>
      <c r="B6" s="133"/>
      <c r="C6" s="133"/>
      <c r="D6" s="133"/>
      <c r="E6" s="133"/>
      <c r="F6" s="30"/>
      <c r="G6" s="88"/>
      <c r="H6" s="88"/>
      <c r="I6" s="88"/>
      <c r="J6" s="88"/>
      <c r="K6" s="88"/>
      <c r="L6" s="30"/>
      <c r="M6" s="88"/>
      <c r="N6" s="88"/>
      <c r="O6" s="88"/>
      <c r="P6" s="88"/>
      <c r="Q6" s="88"/>
      <c r="R6" s="30"/>
      <c r="S6" s="84">
        <v>4</v>
      </c>
      <c r="T6" s="84"/>
      <c r="U6" s="84" t="str">
        <v>(+62) 81370394443</v>
      </c>
      <c r="V6" s="84" t="str">
        <v>asadsa</v>
      </c>
      <c r="W6" s="84" t="str">
        <v>PAKET BUNDLING</v>
      </c>
      <c r="X6" s="93">
        <v>379000</v>
      </c>
      <c r="Y6" s="30">
        <f>IF(V6="","", IF( COUNTIF($AA$3:$AA$1101, V6) + SUMPRODUCT(--ISNUMBER(SEARCH(LOWER(REGEXEXTRACT(TRIM(V6),"^[^@]+")), LOWER(TRIM($AA$3:$AA$1101))))) &gt; 0, "SUDAH BAYAR","BELUM" ))</f>
      </c>
      <c r="Z6" s="30"/>
      <c r="AA6" s="91" t="s">
        <v>254</v>
      </c>
      <c r="AB6" s="3" t="str">
        <v>QRIS</v>
      </c>
      <c r="AC6" s="3" t="str">
        <v>Payment</v>
      </c>
      <c r="AD6" s="3">
        <v>249000</v>
      </c>
      <c r="AE6" s="3" t="str">
        <v>settlement</v>
      </c>
      <c r="AF6" s="3" t="str">
        <v>37355052-4f64-43aa-8bdf-1bbee212fd7d</v>
      </c>
      <c r="AG6" s="8" t="str">
        <v>#######</v>
      </c>
      <c r="AH6" s="9" t="str">
        <v>1/27/2026 19:15</v>
      </c>
      <c r="AI6" s="30"/>
      <c r="AJ6" s="88">
        <v>4</v>
      </c>
      <c r="AK6" s="84" t="str">
        <v>Agustinus Dani D K</v>
      </c>
      <c r="AL6" s="84" t="str">
        <v>(+62) 85700370560</v>
      </c>
      <c r="AM6" s="84" t="s">
        <v>252</v>
      </c>
      <c r="AN6" s="84" t="str">
        <v>Class + License</v>
      </c>
      <c r="AO6" s="84">
        <v>149000</v>
      </c>
      <c r="AP6" s="88">
        <f>IF(AM6="","", IF(   COUNTIF($S$2:$S$176, AM6) +   SUMPRODUCT(--ISNUMBER(SEARCH(LOWER(REGEXEXTRACT(TRIM(AM6),"^[^@]+")), LOWER(TRIM($AR$2:$AR$86))))) &gt; 0,   "SUDAH BAYAR","BELUM" ))</f>
      </c>
      <c r="AQ6" s="87"/>
      <c r="AR6" s="3" t="s">
        <v>255</v>
      </c>
      <c r="AS6" s="87"/>
      <c r="AT6" s="30">
        <v>4</v>
      </c>
      <c r="AU6" s="30" t="str">
        <v>Muhammad Abdul Aroffi</v>
      </c>
      <c r="AV6" s="30" t="str">
        <v>(+62) 85190000535</v>
      </c>
      <c r="AW6" s="30" t="s">
        <v>253</v>
      </c>
      <c r="AX6" s="30" t="str">
        <v>Waitlist - Mahasiswa</v>
      </c>
      <c r="AY6" s="30">
        <v>799000</v>
      </c>
      <c r="AZ6" s="30">
        <f>IF(AW6="","", IF(   COUNTIF($S$2:$S$176, AW6) +   SUMPRODUCT(--ISNUMBER(SEARCH(LOWER(REGEXEXTRACT(TRIM(AW6),"^[^@]+")), LOWER(TRIM($BB$2:$BB$86))))) &gt; 0,   "SUDAH BAYAR","BELUM" ))</f>
      </c>
      <c r="BA6" s="87"/>
      <c r="BB6" s="30" t="s">
        <v>236</v>
      </c>
      <c r="BC6" s="14"/>
      <c r="BF6" s="18"/>
      <c r="BG6" s="18"/>
    </row>
    <row r="7">
      <c r="A7" s="133"/>
      <c r="B7" s="133"/>
      <c r="C7" s="133"/>
      <c r="D7" s="133"/>
      <c r="E7" s="133"/>
      <c r="F7" s="30"/>
      <c r="G7" s="88"/>
      <c r="H7" s="88"/>
      <c r="I7" s="88"/>
      <c r="J7" s="88"/>
      <c r="K7" s="88"/>
      <c r="L7" s="30"/>
      <c r="M7" s="88"/>
      <c r="N7" s="88"/>
      <c r="O7" s="88"/>
      <c r="P7" s="88"/>
      <c r="Q7" s="88"/>
      <c r="R7" s="30"/>
      <c r="S7" s="84">
        <v>5</v>
      </c>
      <c r="T7" s="84" t="str">
        <v>Faradiba Salsabilla Puteri Santosa</v>
      </c>
      <c r="U7" s="84" t="str">
        <v>(+62) 82127346576</v>
      </c>
      <c r="V7" s="84" t="s">
        <v>230</v>
      </c>
      <c r="W7" s="84" t="str">
        <v>PROMO OPENING RUSH</v>
      </c>
      <c r="X7" s="93">
        <v>249000</v>
      </c>
      <c r="Y7" s="30">
        <f>IF(V7="","", IF( COUNTIF($AA$3:$AA$1101, V7) + SUMPRODUCT(--ISNUMBER(SEARCH(LOWER(REGEXEXTRACT(TRIM(V7),"^[^@]+")), LOWER(TRIM($AA$3:$AA$1101))))) &gt; 0, "SUDAH BAYAR","BELUM" ))</f>
      </c>
      <c r="Z7" s="30"/>
      <c r="AA7" s="91" t="s">
        <v>186</v>
      </c>
      <c r="AB7" s="3" t="str">
        <v>QRIS</v>
      </c>
      <c r="AC7" s="3" t="str">
        <v>Payment</v>
      </c>
      <c r="AD7" s="3">
        <v>249000</v>
      </c>
      <c r="AE7" s="3" t="str">
        <v>settlement</v>
      </c>
      <c r="AF7" s="3" t="str">
        <v>23b081d5-71e9-4fd3-8f25-0cd857c995c4</v>
      </c>
      <c r="AG7" s="8" t="str">
        <v>#######</v>
      </c>
      <c r="AH7" s="9" t="str">
        <v>1/27/2026 19:20</v>
      </c>
      <c r="AI7" s="30"/>
      <c r="AJ7" s="88">
        <v>5</v>
      </c>
      <c r="AK7" s="84" t="str">
        <v>Daga Adza Ramdani</v>
      </c>
      <c r="AL7" s="84" t="str">
        <v>(+62) 85369658080</v>
      </c>
      <c r="AM7" s="84" t="s">
        <v>234</v>
      </c>
      <c r="AN7" s="84" t="str">
        <v>Class + License</v>
      </c>
      <c r="AO7" s="84">
        <v>149000</v>
      </c>
      <c r="AP7" s="88">
        <f>IF(AM7="","", IF(   COUNTIF($S$2:$S$176, AM7) +   SUMPRODUCT(--ISNUMBER(SEARCH(LOWER(REGEXEXTRACT(TRIM(AM7),"^[^@]+")), LOWER(TRIM($AR$2:$AR$86))))) &gt; 0,   "SUDAH BAYAR","BELUM" ))</f>
      </c>
      <c r="AQ7" s="87"/>
      <c r="AR7" s="3" t="s">
        <v>233</v>
      </c>
      <c r="AS7" s="87"/>
      <c r="AT7" s="30">
        <v>5</v>
      </c>
      <c r="AU7" s="30" t="str">
        <v>Muhamad Dandi Juandi</v>
      </c>
      <c r="AV7" s="30" t="str">
        <v>(+62) 8997207972</v>
      </c>
      <c r="AW7" s="30" t="s">
        <v>232</v>
      </c>
      <c r="AX7" s="30" t="str">
        <v>EARLY BIRD UMUM</v>
      </c>
      <c r="AY7" s="30">
        <v>1099000</v>
      </c>
      <c r="AZ7" s="30">
        <f>IF(AW7="","", IF(   COUNTIF($S$2:$S$176, AW7) +   SUMPRODUCT(--ISNUMBER(SEARCH(LOWER(REGEXEXTRACT(TRIM(AW7),"^[^@]+")), LOWER(TRIM($BB$2:$BB$86))))) &gt; 0,   "SUDAH BAYAR","BELUM" ))</f>
      </c>
      <c r="BA7" s="87"/>
      <c r="BB7" s="18" t="s">
        <v>231</v>
      </c>
      <c r="BC7" s="14"/>
      <c r="BF7" s="18"/>
      <c r="BG7" s="18"/>
    </row>
    <row r="8">
      <c r="A8" s="133"/>
      <c r="B8" s="133"/>
      <c r="C8" s="133"/>
      <c r="D8" s="133"/>
      <c r="E8" s="133"/>
      <c r="F8" s="30"/>
      <c r="G8" s="88"/>
      <c r="H8" s="88"/>
      <c r="I8" s="88"/>
      <c r="J8" s="88"/>
      <c r="K8" s="88"/>
      <c r="L8" s="30"/>
      <c r="M8" s="88"/>
      <c r="N8" s="88"/>
      <c r="O8" s="88"/>
      <c r="P8" s="88"/>
      <c r="Q8" s="88"/>
      <c r="R8" s="30"/>
      <c r="S8" s="84">
        <v>6</v>
      </c>
      <c r="T8" s="84" t="str">
        <v>Tiara Alda Megapratiwi</v>
      </c>
      <c r="U8" s="84" t="str">
        <v>(+62) 87888646064</v>
      </c>
      <c r="V8" s="84" t="s">
        <v>186</v>
      </c>
      <c r="W8" s="84" t="str">
        <v>PROMO OPENING RUSH</v>
      </c>
      <c r="X8" s="93">
        <v>249000</v>
      </c>
      <c r="Y8" s="30">
        <f>IF(V8="","", IF( COUNTIF($AA$3:$AA$1101, V8) + SUMPRODUCT(--ISNUMBER(SEARCH(LOWER(REGEXEXTRACT(TRIM(V8),"^[^@]+")), LOWER(TRIM($AA$3:$AA$1101))))) &gt; 0, "SUDAH BAYAR","BELUM" ))</f>
      </c>
      <c r="Z8" s="30"/>
      <c r="AA8" s="91" t="s">
        <v>87</v>
      </c>
      <c r="AB8" s="3" t="str">
        <v>Mandiri Bill</v>
      </c>
      <c r="AC8" s="3" t="str">
        <v>Payment</v>
      </c>
      <c r="AD8" s="3">
        <v>249000</v>
      </c>
      <c r="AE8" s="3" t="str">
        <v>settlement</v>
      </c>
      <c r="AF8" s="3" t="str">
        <v>246f1366-8a24-4bfd-8366-7b5d9ea72e44</v>
      </c>
      <c r="AG8" s="8" t="str">
        <v>#######</v>
      </c>
      <c r="AH8" s="9" t="str">
        <v>1/27/2026 19:58</v>
      </c>
      <c r="AI8" s="30"/>
      <c r="AJ8" s="88">
        <v>6</v>
      </c>
      <c r="AK8" s="84" t="str">
        <v>Bimo Aji Widyantoro</v>
      </c>
      <c r="AL8" s="84" t="str">
        <v>(+62) 85156312938</v>
      </c>
      <c r="AM8" s="84" t="s">
        <v>240</v>
      </c>
      <c r="AN8" s="84" t="str">
        <v>Class Only</v>
      </c>
      <c r="AO8" s="84">
        <v>79000</v>
      </c>
      <c r="AP8" s="88">
        <f>IF(AM8="","", IF(   COUNTIF($S$2:$S$176, AM8) +   SUMPRODUCT(--ISNUMBER(SEARCH(LOWER(REGEXEXTRACT(TRIM(AM8),"^[^@]+")), LOWER(TRIM($AR$2:$AR$86))))) &gt; 0,   "SUDAH BAYAR","BELUM" ))</f>
      </c>
      <c r="AQ8" s="87"/>
      <c r="AR8" s="3" t="s">
        <v>238</v>
      </c>
      <c r="AS8" s="87"/>
      <c r="AT8" s="30">
        <v>6</v>
      </c>
      <c r="AU8" s="30" t="str">
        <v>Noviandry</v>
      </c>
      <c r="AV8" s="30" t="str">
        <v>(+62) 081288111987</v>
      </c>
      <c r="AW8" s="30" t="s">
        <v>241</v>
      </c>
      <c r="AX8" s="30" t="str">
        <v>EARLY BIRD UMUM</v>
      </c>
      <c r="AY8" s="30">
        <v>1099000</v>
      </c>
      <c r="AZ8" s="30">
        <f>IF(AW8="","", IF(   COUNTIF($S$2:$S$176, AW8) +   SUMPRODUCT(--ISNUMBER(SEARCH(LOWER(REGEXEXTRACT(TRIM(AW8),"^[^@]+")), LOWER(TRIM($BB$2:$BB$86))))) &gt; 0,   "SUDAH BAYAR","BELUM" ))</f>
      </c>
      <c r="BA8" s="87"/>
      <c r="BB8" s="18" t="s">
        <v>239</v>
      </c>
      <c r="BC8" s="14"/>
      <c r="BF8" s="18"/>
      <c r="BG8" s="18"/>
    </row>
    <row r="9">
      <c r="A9" s="133"/>
      <c r="B9" s="133"/>
      <c r="C9" s="133"/>
      <c r="D9" s="133"/>
      <c r="E9" s="133"/>
      <c r="F9" s="30"/>
      <c r="G9" s="88"/>
      <c r="H9" s="88"/>
      <c r="I9" s="88"/>
      <c r="J9" s="88"/>
      <c r="K9" s="88"/>
      <c r="L9" s="30"/>
      <c r="M9" s="88"/>
      <c r="N9" s="88"/>
      <c r="O9" s="88"/>
      <c r="P9" s="88"/>
      <c r="Q9" s="88"/>
      <c r="R9" s="30"/>
      <c r="S9" s="84">
        <v>7</v>
      </c>
      <c r="T9" s="84" t="str">
        <v>Dede Suhendar</v>
      </c>
      <c r="U9" s="84" t="str">
        <v>(+62) 85945092571</v>
      </c>
      <c r="V9" s="84" t="s">
        <v>254</v>
      </c>
      <c r="W9" s="84" t="str">
        <v>PROMO OPENING RUSH</v>
      </c>
      <c r="X9" s="93">
        <v>249000</v>
      </c>
      <c r="Y9" s="30">
        <f>IF(V9="","", IF( COUNTIF($AA$3:$AA$1101, V9) + SUMPRODUCT(--ISNUMBER(SEARCH(LOWER(REGEXEXTRACT(TRIM(V9),"^[^@]+")), LOWER(TRIM($AA$3:$AA$1101))))) &gt; 0, "SUDAH BAYAR","BELUM" ))</f>
      </c>
      <c r="Z9" s="30"/>
      <c r="AA9" s="91" t="s">
        <v>313</v>
      </c>
      <c r="AB9" s="3" t="str">
        <v>QRIS</v>
      </c>
      <c r="AC9" s="3" t="str">
        <v>Payment</v>
      </c>
      <c r="AD9" s="3">
        <v>379000</v>
      </c>
      <c r="AE9" s="3" t="str">
        <v>settlement</v>
      </c>
      <c r="AF9" s="3" t="str">
        <v>15923f1e-0686-4142-886b-35f8b35b3e74</v>
      </c>
      <c r="AG9" s="8" t="str">
        <v>#######</v>
      </c>
      <c r="AH9" s="9" t="str">
        <v>1/27/2026 20:28</v>
      </c>
      <c r="AI9" s="30"/>
      <c r="AJ9" s="88">
        <v>7</v>
      </c>
      <c r="AK9" s="84" t="str">
        <v>Haris Junaidi</v>
      </c>
      <c r="AL9" s="84" t="str">
        <v>(+62) 81336301059</v>
      </c>
      <c r="AM9" s="84" t="s">
        <v>314</v>
      </c>
      <c r="AN9" s="84" t="str">
        <v>Class Only</v>
      </c>
      <c r="AO9" s="84">
        <v>79000</v>
      </c>
      <c r="AP9" s="88">
        <f>IF(AM9="","", IF(   COUNTIF($S$2:$S$176, AM9) +   SUMPRODUCT(--ISNUMBER(SEARCH(LOWER(REGEXEXTRACT(TRIM(AM9),"^[^@]+")), LOWER(TRIM($AR$2:$AR$86))))) &gt; 0,   "SUDAH BAYAR","BELUM" ))</f>
      </c>
      <c r="AQ9" s="87"/>
      <c r="AR9" s="3" t="s">
        <v>312</v>
      </c>
      <c r="AS9" s="87"/>
      <c r="AT9" s="30">
        <v>7</v>
      </c>
      <c r="AU9" s="30" t="str">
        <v>Agung Ade Aryadi</v>
      </c>
      <c r="AV9" s="30" t="str">
        <v>(+62) 81368854105</v>
      </c>
      <c r="AW9" s="30" t="s">
        <v>315</v>
      </c>
      <c r="AX9" s="30" t="str">
        <v>EARLY BIRD MAHASISWA</v>
      </c>
      <c r="AY9" s="30">
        <v>849000</v>
      </c>
      <c r="AZ9" s="30">
        <f>IF(AW9="","", IF(   COUNTIF($S$2:$S$176, AW9) +   SUMPRODUCT(--ISNUMBER(SEARCH(LOWER(REGEXEXTRACT(TRIM(AW9),"^[^@]+")), LOWER(TRIM($BB$2:$BB$86))))) &gt; 0,   "SUDAH BAYAR","BELUM" ))</f>
      </c>
      <c r="BA9" s="87"/>
      <c r="BB9" s="18" t="s">
        <v>304</v>
      </c>
      <c r="BC9" s="14"/>
      <c r="BF9" s="18"/>
      <c r="BG9" s="18"/>
    </row>
    <row r="10">
      <c r="A10" s="164" t="str">
        <v>REVENUE</v>
      </c>
      <c r="B10" s="164"/>
      <c r="C10" s="164"/>
      <c r="D10" s="164"/>
      <c r="E10" s="164"/>
      <c r="F10" s="30"/>
      <c r="G10" s="164" t="str">
        <v>REVENUE</v>
      </c>
      <c r="H10" s="164"/>
      <c r="I10" s="164"/>
      <c r="J10" s="164"/>
      <c r="K10" s="164"/>
      <c r="L10" s="30"/>
      <c r="M10" s="164" t="str">
        <v>REVENUE</v>
      </c>
      <c r="N10" s="164"/>
      <c r="O10" s="164"/>
      <c r="P10" s="164"/>
      <c r="Q10" s="164"/>
      <c r="R10" s="30"/>
      <c r="S10" s="84">
        <v>8</v>
      </c>
      <c r="T10" s="84" t="str">
        <v>Yosi Andhika</v>
      </c>
      <c r="U10" s="84" t="str">
        <v>(+62) 8563740410</v>
      </c>
      <c r="V10" s="84" t="s">
        <v>313</v>
      </c>
      <c r="W10" s="84" t="str">
        <v>PAKET BUNDLING</v>
      </c>
      <c r="X10" s="93">
        <v>379000</v>
      </c>
      <c r="Y10" s="30">
        <f>IF(V10="","", IF( COUNTIF($AA$3:$AA$1101, V10) + SUMPRODUCT(--ISNUMBER(SEARCH(LOWER(REGEXEXTRACT(TRIM(V10),"^[^@]+")), LOWER(TRIM($AA$3:$AA$1101))))) &gt; 0, "SUDAH BAYAR","BELUM" ))</f>
      </c>
      <c r="Z10" s="30"/>
      <c r="AA10" s="91" t="s">
        <v>306</v>
      </c>
      <c r="AB10" s="3" t="str">
        <v>QRIS</v>
      </c>
      <c r="AC10" s="3" t="str">
        <v>Payment</v>
      </c>
      <c r="AD10" s="3">
        <v>249000</v>
      </c>
      <c r="AE10" s="3" t="str">
        <v>settlement</v>
      </c>
      <c r="AF10" s="3" t="str">
        <v>07d1c4ed-ae3f-4fbd-bd6b-d534d348b049</v>
      </c>
      <c r="AG10" s="8" t="str">
        <v>#######</v>
      </c>
      <c r="AH10" s="9" t="str">
        <v>1/27/2026 21:46</v>
      </c>
      <c r="AI10" s="30"/>
      <c r="AJ10" s="88">
        <v>8</v>
      </c>
      <c r="AK10" s="84" t="str">
        <v>Ahmad Taufiq ridho</v>
      </c>
      <c r="AL10" s="84" t="str">
        <v>(+62) 83857203897</v>
      </c>
      <c r="AM10" s="84" t="s">
        <v>319</v>
      </c>
      <c r="AN10" s="84" t="str">
        <v>Class + License</v>
      </c>
      <c r="AO10" s="84">
        <v>149000</v>
      </c>
      <c r="AP10" s="88">
        <f>IF(AM10="","", IF(   COUNTIF($S$2:$S$176, AM10) +   SUMPRODUCT(--ISNUMBER(SEARCH(LOWER(REGEXEXTRACT(TRIM(AM10),"^[^@]+")), LOWER(TRIM($AR$2:$AR$86))))) &gt; 0,   "SUDAH BAYAR","BELUM" ))</f>
      </c>
      <c r="AQ10" s="87"/>
      <c r="AR10" s="3"/>
      <c r="AS10" s="87"/>
      <c r="AT10" s="30">
        <v>8</v>
      </c>
      <c r="AU10" s="30" t="str">
        <v>MUHAMMAD ADNAN ASYAM</v>
      </c>
      <c r="AV10" s="30" t="str">
        <v>(+62) 82218950676</v>
      </c>
      <c r="AW10" s="30" t="s">
        <v>318</v>
      </c>
      <c r="AX10" s="30" t="str">
        <v>EARLY BIRD MAHASISWA</v>
      </c>
      <c r="AY10" s="30">
        <v>849000</v>
      </c>
      <c r="AZ10" s="30">
        <f>IF(AW10="","", IF(   COUNTIF($S$2:$S$176, AW10) +   SUMPRODUCT(--ISNUMBER(SEARCH(LOWER(REGEXEXTRACT(TRIM(AW10),"^[^@]+")), LOWER(TRIM($BB$2:$BB$86))))) &gt; 0,   "SUDAH BAYAR","BELUM" ))</f>
      </c>
      <c r="BA10" s="87"/>
      <c r="BB10" s="18" t="s">
        <v>275</v>
      </c>
      <c r="BC10" s="14"/>
      <c r="BF10" s="18"/>
      <c r="BG10" s="18"/>
    </row>
    <row customHeight="true" ht="17" r="11">
      <c r="A11" s="162" cm="1">
        <f t="array" ref="A11:A11">SUMPRODUCT( (AP3:AP400="SUDAH BAYAR")* IFERROR(VALUE(SUBSTITUTE(SUBSTITUTE(AO3:AO400,"Rp",""),",","")),0))</f>
      </c>
      <c r="B11" s="162"/>
      <c r="C11" s="162"/>
      <c r="D11" s="162"/>
      <c r="E11" s="162"/>
      <c r="F11" s="30"/>
      <c r="G11" s="161" cm="1">
        <f t="array" ref="G11:G11">SUMPRODUCT( (Y3:Y400="SUDAH BAYAR")* IFERROR(VALUE(SUBSTITUTE(SUBSTITUTE(X3:X400,"Rp",""),",","")),0))</f>
      </c>
      <c r="H11" s="161"/>
      <c r="I11" s="161"/>
      <c r="J11" s="161"/>
      <c r="K11" s="161"/>
      <c r="L11" s="30"/>
      <c r="M11" s="161" cm="1">
        <f t="array" ref="M11:M11">SUMPRODUCT( (AZ3:AZ400="SUDAH BAYAR")* IFERROR(VALUE(SUBSTITUTE(SUBSTITUTE(AY3:AY400,"Rp",""),",","")),0))</f>
      </c>
      <c r="N11" s="161"/>
      <c r="O11" s="161"/>
      <c r="P11" s="161"/>
      <c r="Q11" s="161"/>
      <c r="R11" s="30"/>
      <c r="S11" s="84">
        <v>9</v>
      </c>
      <c r="T11" s="84" t="str">
        <v>Syaifuddin Nur Syamsi</v>
      </c>
      <c r="U11" s="84" t="str">
        <v>(+62) 85742784442</v>
      </c>
      <c r="V11" s="84" t="s">
        <v>302</v>
      </c>
      <c r="W11" s="84" t="str">
        <v>PROMO OPENING RUSH</v>
      </c>
      <c r="X11" s="93">
        <v>249000</v>
      </c>
      <c r="Y11" s="30">
        <f>IF(V11="","", IF( COUNTIF($AA$3:$AA$1101, V11) + SUMPRODUCT(--ISNUMBER(SEARCH(LOWER(REGEXEXTRACT(TRIM(V11),"^[^@]+")), LOWER(TRIM($AA$3:$AA$1101))))) &gt; 0, "SUDAH BAYAR","BELUM" ))</f>
      </c>
      <c r="Z11" s="30"/>
      <c r="AA11" s="91" t="s">
        <v>293</v>
      </c>
      <c r="AB11" s="3" t="str">
        <v>Bank Transfer</v>
      </c>
      <c r="AC11" s="3" t="str">
        <v>Payment</v>
      </c>
      <c r="AD11" s="3">
        <v>249000</v>
      </c>
      <c r="AE11" s="3" t="str">
        <v>settlement</v>
      </c>
      <c r="AF11" s="3" t="str">
        <v>d079a3da-7b63-488e-a8ac-df24fb8e91ef</v>
      </c>
      <c r="AG11" s="8" t="str">
        <v>#######</v>
      </c>
      <c r="AH11" s="9" t="str">
        <v>1/27/2026 22:27</v>
      </c>
      <c r="AI11" s="30"/>
      <c r="AJ11" s="88">
        <v>9</v>
      </c>
      <c r="AK11" s="84" t="str">
        <v>Luky Sutansyah</v>
      </c>
      <c r="AL11" s="84" t="str">
        <v>(+62) 82295275664</v>
      </c>
      <c r="AM11" s="84" t="s">
        <v>301</v>
      </c>
      <c r="AN11" s="84" t="str">
        <v>Class Only</v>
      </c>
      <c r="AO11" s="84">
        <v>79000</v>
      </c>
      <c r="AP11" s="88">
        <f>IF(AM11="","", IF(   COUNTIF($S$2:$S$176, AM11) +   SUMPRODUCT(--ISNUMBER(SEARCH(LOWER(REGEXEXTRACT(TRIM(AM11),"^[^@]+")), LOWER(TRIM($AR$2:$AR$86))))) &gt; 0,   "SUDAH BAYAR","BELUM" ))</f>
      </c>
      <c r="AQ11" s="87"/>
      <c r="AS11" s="87"/>
      <c r="AT11" s="30">
        <v>9</v>
      </c>
      <c r="AU11" s="30" t="str">
        <v>Rakhmat Senoaji</v>
      </c>
      <c r="AV11" s="30" t="str">
        <v>(+62) 81229579526</v>
      </c>
      <c r="AW11" s="30" t="s">
        <v>300</v>
      </c>
      <c r="AX11" s="30" t="str">
        <v>EARLY BIRD MAHASISWA</v>
      </c>
      <c r="AY11" s="30">
        <v>849000</v>
      </c>
      <c r="AZ11" s="30">
        <f>IF(AW11="","", IF(   COUNTIF($S$2:$S$176, AW11) +   SUMPRODUCT(--ISNUMBER(SEARCH(LOWER(REGEXEXTRACT(TRIM(AW11),"^[^@]+")), LOWER(TRIM($BB$2:$BB$86))))) &gt; 0,   "SUDAH BAYAR","BELUM" ))</f>
      </c>
      <c r="BA11" s="87"/>
      <c r="BB11" s="18" t="s">
        <v>279</v>
      </c>
      <c r="BC11" s="14"/>
      <c r="BF11" s="18"/>
      <c r="BG11" s="18"/>
    </row>
    <row r="12">
      <c r="A12" s="162"/>
      <c r="B12" s="162"/>
      <c r="C12" s="162"/>
      <c r="D12" s="162"/>
      <c r="E12" s="162"/>
      <c r="F12" s="30"/>
      <c r="G12" s="161"/>
      <c r="H12" s="161"/>
      <c r="I12" s="161"/>
      <c r="J12" s="161"/>
      <c r="K12" s="161"/>
      <c r="L12" s="113"/>
      <c r="M12" s="161"/>
      <c r="N12" s="161"/>
      <c r="O12" s="161"/>
      <c r="P12" s="161"/>
      <c r="Q12" s="161"/>
      <c r="R12" s="30"/>
      <c r="S12" s="84">
        <v>10</v>
      </c>
      <c r="T12" s="84" t="str">
        <v>Adinda Vania Adella</v>
      </c>
      <c r="U12" s="84" t="str">
        <v>(+62) 89517313771</v>
      </c>
      <c r="V12" s="84" t="s">
        <v>306</v>
      </c>
      <c r="W12" s="84" t="str">
        <v>PROMO OPENING RUSH</v>
      </c>
      <c r="X12" s="93">
        <v>249000</v>
      </c>
      <c r="Y12" s="30">
        <f>IF(V12="","", IF( COUNTIF($AA$3:$AA$1101, V12) + SUMPRODUCT(--ISNUMBER(SEARCH(LOWER(REGEXEXTRACT(TRIM(V12),"^[^@]+")), LOWER(TRIM($AA$3:$AA$1101))))) &gt; 0, "SUDAH BAYAR","BELUM" ))</f>
      </c>
      <c r="Z12" s="30"/>
      <c r="AA12" s="91" t="s">
        <v>296</v>
      </c>
      <c r="AB12" s="3" t="str">
        <v>QRIS</v>
      </c>
      <c r="AC12" s="3" t="str">
        <v>Payment</v>
      </c>
      <c r="AD12" s="3">
        <v>249000</v>
      </c>
      <c r="AE12" s="3" t="str">
        <v>settlement</v>
      </c>
      <c r="AF12" s="3" t="str">
        <v>21b5c31d-b8e7-4cd2-9e76-26abf3f81d16</v>
      </c>
      <c r="AG12" s="8" t="str">
        <v>#######</v>
      </c>
      <c r="AH12" s="9" t="str">
        <v>1/27/2026 22:34</v>
      </c>
      <c r="AI12" s="30"/>
      <c r="AJ12" s="88">
        <v>10</v>
      </c>
      <c r="AK12" s="84" t="str">
        <v>Atikah Raihanah Farcha</v>
      </c>
      <c r="AL12" s="84" t="str">
        <v>(+62) 82151837491</v>
      </c>
      <c r="AM12" s="84" t="s">
        <v>308</v>
      </c>
      <c r="AN12" s="84" t="str">
        <v>Class + License</v>
      </c>
      <c r="AO12" s="84">
        <v>149000</v>
      </c>
      <c r="AP12" s="88">
        <f>IF(AM12="","", IF(   COUNTIF($S$2:$S$176, AM12) +   SUMPRODUCT(--ISNUMBER(SEARCH(LOWER(REGEXEXTRACT(TRIM(AM12),"^[^@]+")), LOWER(TRIM($AR$2:$AR$86))))) &gt; 0,   "SUDAH BAYAR","BELUM" ))</f>
      </c>
      <c r="AQ12" s="87"/>
      <c r="AR12" s="3"/>
      <c r="AS12" s="87"/>
      <c r="AT12" s="30">
        <v>10</v>
      </c>
      <c r="AU12" s="30" t="str">
        <v>Khamelia Belvazaria</v>
      </c>
      <c r="AV12" s="30" t="str">
        <v>(+62) 82335409864</v>
      </c>
      <c r="AW12" s="30" t="s">
        <v>307</v>
      </c>
      <c r="AX12" s="30" t="str">
        <v>EARLY BIRD MAHASISWA</v>
      </c>
      <c r="AY12" s="30">
        <v>849000</v>
      </c>
      <c r="AZ12" s="30">
        <f>IF(AW12="","", IF(   COUNTIF($S$2:$S$176, AW12) +   SUMPRODUCT(--ISNUMBER(SEARCH(LOWER(REGEXEXTRACT(TRIM(AW12),"^[^@]+")), LOWER(TRIM($BB$2:$BB$86))))) &gt; 0,   "SUDAH BAYAR","BELUM" ))</f>
      </c>
      <c r="BA12" s="87"/>
      <c r="BB12" s="18" t="s">
        <v>35</v>
      </c>
      <c r="BC12" s="14"/>
      <c r="BF12" s="18"/>
      <c r="BG12" s="18"/>
    </row>
    <row r="13">
      <c r="A13" s="162"/>
      <c r="B13" s="162"/>
      <c r="C13" s="162"/>
      <c r="D13" s="162"/>
      <c r="E13" s="162"/>
      <c r="F13" s="30"/>
      <c r="G13" s="163"/>
      <c r="H13" s="163"/>
      <c r="I13" s="163"/>
      <c r="J13" s="163"/>
      <c r="K13" s="163"/>
      <c r="L13" s="30"/>
      <c r="M13" s="161"/>
      <c r="N13" s="161"/>
      <c r="O13" s="161"/>
      <c r="P13" s="161"/>
      <c r="Q13" s="161"/>
      <c r="R13" s="30"/>
      <c r="S13" s="84">
        <v>11</v>
      </c>
      <c r="T13" s="84" t="str">
        <v>Ferry Russel Kurniawan</v>
      </c>
      <c r="U13" s="84" t="str">
        <v>(+62) 81342176925</v>
      </c>
      <c r="V13" s="84" t="s">
        <v>293</v>
      </c>
      <c r="W13" s="84" t="str">
        <v>PROMO OPENING RUSH</v>
      </c>
      <c r="X13" s="93">
        <v>249000</v>
      </c>
      <c r="Y13" s="30">
        <f>IF(V13="","", IF( COUNTIF($AA$3:$AA$1101, V13) + SUMPRODUCT(--ISNUMBER(SEARCH(LOWER(REGEXEXTRACT(TRIM(V13),"^[^@]+")), LOWER(TRIM($AA$3:$AA$1101))))) &gt; 0, "SUDAH BAYAR","BELUM" ))</f>
      </c>
      <c r="Z13" s="30"/>
      <c r="AA13" s="91" t="s">
        <v>287</v>
      </c>
      <c r="AB13" s="3" t="str">
        <v>Bank Transfer</v>
      </c>
      <c r="AC13" s="3" t="str">
        <v>Payment</v>
      </c>
      <c r="AD13" s="3">
        <v>379000</v>
      </c>
      <c r="AE13" s="3" t="str">
        <v>settlement</v>
      </c>
      <c r="AF13" s="3" t="str">
        <v>dcb1396c-1b23-4956-85dd-a575335ecc86</v>
      </c>
      <c r="AG13" s="8" t="str">
        <v>#######</v>
      </c>
      <c r="AH13" s="9" t="str">
        <v>1/27/2026 22:59</v>
      </c>
      <c r="AI13" s="30"/>
      <c r="AJ13" s="88">
        <v>11</v>
      </c>
      <c r="AK13" s="84" t="str">
        <v>Fahmi Aulia</v>
      </c>
      <c r="AL13" s="84" t="str">
        <v>(+62) 8116813103</v>
      </c>
      <c r="AM13" s="84" t="s">
        <v>294</v>
      </c>
      <c r="AN13" s="84" t="str">
        <v>Class Only</v>
      </c>
      <c r="AO13" s="84">
        <v>79000</v>
      </c>
      <c r="AP13" s="88">
        <f>IF(AM13="","", IF(   COUNTIF($S$2:$S$176, AM13) +   SUMPRODUCT(--ISNUMBER(SEARCH(LOWER(REGEXEXTRACT(TRIM(AM13),"^[^@]+")), LOWER(TRIM($AR$2:$AR$86))))) &gt; 0,   "SUDAH BAYAR","BELUM" ))</f>
      </c>
      <c r="AQ13" s="87"/>
      <c r="AR13" s="90"/>
      <c r="AS13" s="87"/>
      <c r="AT13" s="30">
        <v>11</v>
      </c>
      <c r="AU13" s="30" t="str">
        <v>Fitri Ulvianti</v>
      </c>
      <c r="AV13" s="30" t="str">
        <v>(+62) 81586030690</v>
      </c>
      <c r="AW13" s="30" t="s">
        <v>292</v>
      </c>
      <c r="AX13" s="30" t="str">
        <v>EARLY BIRD UMUM</v>
      </c>
      <c r="AY13" s="30">
        <v>1099000</v>
      </c>
      <c r="AZ13" s="30">
        <f>IF(AW13="","", IF(   COUNTIF($S$2:$S$176, AW13) +   SUMPRODUCT(--ISNUMBER(SEARCH(LOWER(REGEXEXTRACT(TRIM(AW13),"^[^@]+")), LOWER(TRIM($BB$2:$BB$86))))) &gt; 0,   "SUDAH BAYAR","BELUM" ))</f>
      </c>
      <c r="BA13" s="87"/>
      <c r="BB13" s="18" t="s">
        <v>36</v>
      </c>
      <c r="BC13" s="14"/>
      <c r="BF13" s="18"/>
      <c r="BG13" s="18"/>
    </row>
    <row r="14">
      <c r="A14" s="105" t="str">
        <v>TARGET PESIMISTIC</v>
      </c>
      <c r="B14" s="105"/>
      <c r="C14" s="105"/>
      <c r="D14" s="105"/>
      <c r="E14" s="105"/>
      <c r="F14" s="85"/>
      <c r="G14" s="105" t="str">
        <v>TARGET PESIMISTIC</v>
      </c>
      <c r="H14" s="105"/>
      <c r="I14" s="105"/>
      <c r="J14" s="105"/>
      <c r="K14" s="105"/>
      <c r="L14" s="85"/>
      <c r="M14" s="105" t="str">
        <v>TARGET PESIMISTIC</v>
      </c>
      <c r="N14" s="105"/>
      <c r="O14" s="105"/>
      <c r="P14" s="105"/>
      <c r="Q14" s="105"/>
      <c r="R14" s="30"/>
      <c r="S14" s="84">
        <v>12</v>
      </c>
      <c r="T14" s="84" t="str">
        <v>Muhammad Farhan</v>
      </c>
      <c r="U14" s="84" t="str">
        <v>(+62) 81365272285</v>
      </c>
      <c r="V14" s="84" t="s">
        <v>296</v>
      </c>
      <c r="W14" s="84" t="str">
        <v>PROMO OPENING RUSH</v>
      </c>
      <c r="X14" s="93">
        <v>249000</v>
      </c>
      <c r="Y14" s="30">
        <f>IF(V14="","", IF( COUNTIF($AA$3:$AA$1101, V14) + SUMPRODUCT(--ISNUMBER(SEARCH(LOWER(REGEXEXTRACT(TRIM(V14),"^[^@]+")), LOWER(TRIM($AA$3:$AA$1101))))) &gt; 0, "SUDAH BAYAR","BELUM" ))</f>
      </c>
      <c r="Z14" s="30"/>
      <c r="AA14" s="91" t="s">
        <v>25</v>
      </c>
      <c r="AB14" s="3" t="str">
        <v>QRIS</v>
      </c>
      <c r="AC14" s="3" t="str">
        <v>Payment</v>
      </c>
      <c r="AD14" s="3">
        <v>249000</v>
      </c>
      <c r="AE14" s="3" t="str">
        <v>settlement</v>
      </c>
      <c r="AF14" s="3" t="str">
        <v>197069fb-0d44-46a5-ad19-2e0b291c7849</v>
      </c>
      <c r="AG14" s="8" t="str">
        <v>#######</v>
      </c>
      <c r="AH14" s="9" t="str">
        <v>1/28/2026 11:00</v>
      </c>
      <c r="AI14" s="30"/>
      <c r="AJ14" s="88">
        <v>12</v>
      </c>
      <c r="AK14" s="84" t="str">
        <v>Rangga Adi Nugraha</v>
      </c>
      <c r="AL14" s="84" t="str">
        <v>(+62) 85173178466</v>
      </c>
      <c r="AM14" s="84" t="s">
        <v>295</v>
      </c>
      <c r="AN14" s="84" t="str">
        <v>Class + License</v>
      </c>
      <c r="AO14" s="84">
        <v>149000</v>
      </c>
      <c r="AP14" s="88">
        <f>IF(AM14="","", IF(   COUNTIF($S$2:$S$176, AM14) +   SUMPRODUCT(--ISNUMBER(SEARCH(LOWER(REGEXEXTRACT(TRIM(AM14),"^[^@]+")), LOWER(TRIM($AR$2:$AR$86))))) &gt; 0,   "SUDAH BAYAR","BELUM" ))</f>
      </c>
      <c r="AQ14" s="87"/>
      <c r="AR14" s="94"/>
      <c r="AS14" s="87"/>
      <c r="AT14" s="30">
        <v>12</v>
      </c>
      <c r="AU14" s="30" t="str">
        <v>Indah Arum Cahyaningtias</v>
      </c>
      <c r="AV14" s="30" t="str">
        <v>(+62) 89682371560</v>
      </c>
      <c r="AW14" s="30" t="s">
        <v>297</v>
      </c>
      <c r="AX14" s="30" t="str">
        <v>EARLY BIRD UMUM</v>
      </c>
      <c r="AY14" s="30">
        <v>1099000</v>
      </c>
      <c r="AZ14" s="30">
        <f>IF(AW14="","", IF(   COUNTIF($S$2:$S$176, AW14) +   SUMPRODUCT(--ISNUMBER(SEARCH(LOWER(REGEXEXTRACT(TRIM(AW14),"^[^@]+")), LOWER(TRIM($BB$2:$BB$86))))) &gt; 0,   "SUDAH BAYAR","BELUM" ))</f>
      </c>
      <c r="BA14" s="87"/>
      <c r="BB14" s="18" t="s">
        <v>285</v>
      </c>
      <c r="BC14" s="14"/>
      <c r="BF14" s="18"/>
      <c r="BG14" s="18"/>
    </row>
    <row r="15">
      <c r="A15" s="109">
        <v>3000000</v>
      </c>
      <c r="B15" s="109"/>
      <c r="C15" s="109"/>
      <c r="D15" s="109"/>
      <c r="E15" s="109"/>
      <c r="F15" s="85"/>
      <c r="G15" s="110">
        <v>7000000</v>
      </c>
      <c r="H15" s="110"/>
      <c r="I15" s="110"/>
      <c r="J15" s="110"/>
      <c r="K15" s="110"/>
      <c r="L15" s="85"/>
      <c r="M15" s="110">
        <v>10000000</v>
      </c>
      <c r="N15" s="110"/>
      <c r="O15" s="110"/>
      <c r="P15" s="110"/>
      <c r="Q15" s="110"/>
      <c r="R15" s="30"/>
      <c r="S15" s="84">
        <v>13</v>
      </c>
      <c r="T15" s="84" t="str">
        <v>Semeru Al Ghazali Yusup</v>
      </c>
      <c r="U15" s="84" t="str">
        <v>(+62) 81295200280</v>
      </c>
      <c r="V15" s="84" t="s">
        <v>283</v>
      </c>
      <c r="W15" s="84" t="str">
        <v>PROMO OPENING RUSH</v>
      </c>
      <c r="X15" s="93">
        <v>249000</v>
      </c>
      <c r="Y15" s="30">
        <f>IF(V15="","", IF( COUNTIF($AA$3:$AA$1101, V15) + SUMPRODUCT(--ISNUMBER(SEARCH(LOWER(REGEXEXTRACT(TRIM(V15),"^[^@]+")), LOWER(TRIM($AA$3:$AA$1101))))) &gt; 0, "SUDAH BAYAR","BELUM" ))</f>
      </c>
      <c r="Z15" s="30"/>
      <c r="AA15" s="91" t="s">
        <v>31</v>
      </c>
      <c r="AB15" s="3" t="str">
        <v>Bank Transfer</v>
      </c>
      <c r="AC15" s="3" t="str">
        <v>Payment</v>
      </c>
      <c r="AD15" s="3">
        <v>249000</v>
      </c>
      <c r="AE15" s="3" t="str">
        <v>settlement</v>
      </c>
      <c r="AF15" s="3" t="str">
        <v>49a6289b-5c5d-44d7-9a60-b40a14ebbc3f</v>
      </c>
      <c r="AG15" s="8" t="str">
        <v>#######</v>
      </c>
      <c r="AH15" s="9" t="str">
        <v>1/28/2026 12:08</v>
      </c>
      <c r="AI15" s="30"/>
      <c r="AJ15" s="88">
        <v>13</v>
      </c>
      <c r="AK15" s="84" t="str">
        <v>Annisa Amanda Putri</v>
      </c>
      <c r="AL15" s="84" t="str">
        <v>(+62) 895620041121</v>
      </c>
      <c r="AM15" s="84" t="s">
        <v>282</v>
      </c>
      <c r="AN15" s="84" t="str">
        <v>Class + License</v>
      </c>
      <c r="AO15" s="84">
        <v>149000</v>
      </c>
      <c r="AP15" s="88">
        <f>IF(AM15="","", IF(   COUNTIF($S$2:$S$176, AM15) +   SUMPRODUCT(--ISNUMBER(SEARCH(LOWER(REGEXEXTRACT(TRIM(AM15),"^[^@]+")), LOWER(TRIM($AR$2:$AR$86))))) &gt; 0,   "SUDAH BAYAR","BELUM" ))</f>
      </c>
      <c r="AQ15" s="87"/>
      <c r="AR15" s="90"/>
      <c r="AS15" s="87"/>
      <c r="AT15" s="30">
        <v>13</v>
      </c>
      <c r="AU15" s="30" t="str">
        <v>Dwi Susanto</v>
      </c>
      <c r="AV15" s="30" t="str">
        <v>(+62) 81296248371</v>
      </c>
      <c r="AW15" s="30" t="s">
        <v>281</v>
      </c>
      <c r="AX15" s="30" t="str">
        <v>EARLY BIRD UMUM</v>
      </c>
      <c r="AY15" s="30">
        <v>1099000</v>
      </c>
      <c r="AZ15" s="30">
        <f>IF(AW15="","", IF(   COUNTIF($S$2:$S$176, AW15) +   SUMPRODUCT(--ISNUMBER(SEARCH(LOWER(REGEXEXTRACT(TRIM(AW15),"^[^@]+")), LOWER(TRIM($BB$2:$BB$86))))) &gt; 0,   "SUDAH BAYAR","BELUM" ))</f>
      </c>
      <c r="BA15" s="87"/>
      <c r="BB15" s="18" t="s">
        <v>75</v>
      </c>
      <c r="BC15" s="14"/>
      <c r="BF15" s="108"/>
      <c r="BG15" s="107"/>
    </row>
    <row customHeight="true" ht="31" r="16">
      <c r="A16" s="109"/>
      <c r="B16" s="109"/>
      <c r="C16" s="109"/>
      <c r="D16" s="109"/>
      <c r="E16" s="109"/>
      <c r="F16" s="85"/>
      <c r="G16" s="110"/>
      <c r="H16" s="110"/>
      <c r="I16" s="110"/>
      <c r="J16" s="110"/>
      <c r="K16" s="110"/>
      <c r="L16" s="85"/>
      <c r="M16" s="110"/>
      <c r="N16" s="110"/>
      <c r="O16" s="110"/>
      <c r="P16" s="110"/>
      <c r="Q16" s="110"/>
      <c r="R16" s="30"/>
      <c r="S16" s="84">
        <v>14</v>
      </c>
      <c r="T16" s="84" t="str">
        <v>Jasmine Khairani</v>
      </c>
      <c r="U16" s="84" t="str">
        <v>(+62) 85814942120</v>
      </c>
      <c r="V16" s="84" t="s">
        <v>287</v>
      </c>
      <c r="W16" s="84" t="str">
        <v>PAKET BUNDLING</v>
      </c>
      <c r="X16" s="93">
        <v>379000</v>
      </c>
      <c r="Y16" s="30">
        <f>IF(V16="","", IF( COUNTIF($AA$3:$AA$1101, V16) + SUMPRODUCT(--ISNUMBER(SEARCH(LOWER(REGEXEXTRACT(TRIM(V16),"^[^@]+")), LOWER(TRIM($AA$3:$AA$1101))))) &gt; 0, "SUDAH BAYAR","BELUM" ))</f>
      </c>
      <c r="Z16" s="30"/>
      <c r="AA16" s="91" t="s">
        <v>9</v>
      </c>
      <c r="AB16" s="3" t="str">
        <v>QRIS</v>
      </c>
      <c r="AC16" s="3" t="str">
        <v>Payment</v>
      </c>
      <c r="AD16" s="3">
        <v>249000</v>
      </c>
      <c r="AE16" s="3" t="str">
        <v>settlement</v>
      </c>
      <c r="AF16" s="3" t="str">
        <v>2d27f5ed-ad1e-4b66-82db-580ab153479f</v>
      </c>
      <c r="AG16" s="8" t="str">
        <v>#######</v>
      </c>
      <c r="AH16" s="9" t="str">
        <v>1/28/2026 12:09</v>
      </c>
      <c r="AI16" s="30"/>
      <c r="AJ16" s="88">
        <v>14</v>
      </c>
      <c r="AK16" s="84" t="str">
        <v>Muhammad Amien Rais Wanggai</v>
      </c>
      <c r="AL16" s="84" t="str">
        <v>(+62) 85155321765</v>
      </c>
      <c r="AM16" s="84" t="s">
        <v>288</v>
      </c>
      <c r="AN16" s="84" t="str">
        <v>Class + License</v>
      </c>
      <c r="AO16" s="84">
        <v>149000</v>
      </c>
      <c r="AP16" s="88">
        <f>IF(AM16="","", IF(   COUNTIF($S$2:$S$176, AM16) +   SUMPRODUCT(--ISNUMBER(SEARCH(LOWER(REGEXEXTRACT(TRIM(AM16),"^[^@]+")), LOWER(TRIM($AR$2:$AR$86))))) &gt; 0,   "SUDAH BAYAR","BELUM" ))</f>
      </c>
      <c r="AQ16" s="87"/>
      <c r="AR16" s="90"/>
      <c r="AS16" s="87"/>
      <c r="AT16" s="30">
        <v>14</v>
      </c>
      <c r="AU16" s="30" t="str">
        <v>Mahendra Yusuf Kurniawan</v>
      </c>
      <c r="AV16" s="30" t="str">
        <v>(+62) 82138654911</v>
      </c>
      <c r="AW16" s="30" t="s">
        <v>289</v>
      </c>
      <c r="AX16" s="30" t="str">
        <v>EARLY BIRD MAHASISWA</v>
      </c>
      <c r="AY16" s="30">
        <v>849000</v>
      </c>
      <c r="AZ16" s="30">
        <f>IF(AW16="","", IF(   COUNTIF($S$2:$S$176, AW16) +   SUMPRODUCT(--ISNUMBER(SEARCH(LOWER(REGEXEXTRACT(TRIM(AW16),"^[^@]+")), LOWER(TRIM($BB$2:$BB$86))))) &gt; 0,   "SUDAH BAYAR","BELUM" ))</f>
      </c>
      <c r="BA16" s="87"/>
      <c r="BB16" s="18" t="s">
        <v>27</v>
      </c>
      <c r="BC16" s="14"/>
      <c r="BF16" s="108"/>
      <c r="BG16" s="107"/>
    </row>
    <row r="17">
      <c r="A17" s="109"/>
      <c r="B17" s="109"/>
      <c r="C17" s="109"/>
      <c r="D17" s="109"/>
      <c r="E17" s="109"/>
      <c r="F17" s="85"/>
      <c r="G17" s="110"/>
      <c r="H17" s="110"/>
      <c r="I17" s="110"/>
      <c r="J17" s="110"/>
      <c r="K17" s="110"/>
      <c r="L17" s="85"/>
      <c r="M17" s="110"/>
      <c r="N17" s="110"/>
      <c r="O17" s="110"/>
      <c r="P17" s="110"/>
      <c r="Q17" s="110"/>
      <c r="R17" s="30"/>
      <c r="S17" s="84">
        <v>15</v>
      </c>
      <c r="T17" s="84" t="str">
        <v>Dhanang Ajiono</v>
      </c>
      <c r="U17" s="84" t="str">
        <v>(+62) 88221742953</v>
      </c>
      <c r="V17" s="84" t="s">
        <v>40</v>
      </c>
      <c r="W17" s="84" t="str">
        <v>PROMO OPENING RUSH</v>
      </c>
      <c r="X17" s="93">
        <v>249000</v>
      </c>
      <c r="Y17" s="30">
        <f>IF(V17="","", IF( COUNTIF($AA$3:$AA$1101, V17) + SUMPRODUCT(--ISNUMBER(SEARCH(LOWER(REGEXEXTRACT(TRIM(V17),"^[^@]+")), LOWER(TRIM($AA$3:$AA$1101))))) &gt; 0, "SUDAH BAYAR","BELUM" ))</f>
      </c>
      <c r="Z17" s="30"/>
      <c r="AA17" s="91" t="s">
        <v>16</v>
      </c>
      <c r="AB17" s="3" t="str">
        <v>QRIS</v>
      </c>
      <c r="AC17" s="3" t="str">
        <v>Payment</v>
      </c>
      <c r="AD17" s="3">
        <v>249000</v>
      </c>
      <c r="AE17" s="3" t="str">
        <v>settlement</v>
      </c>
      <c r="AF17" s="3" t="str">
        <v>1192accf-1d49-4cd5-bea4-82f77b1c431f</v>
      </c>
      <c r="AG17" s="8" t="str">
        <v>#######</v>
      </c>
      <c r="AH17" s="9" t="str">
        <v>1/28/2026 16:31</v>
      </c>
      <c r="AI17" s="30"/>
      <c r="AJ17" s="88">
        <v>15</v>
      </c>
      <c r="AK17" s="84" t="str">
        <v>Fahri</v>
      </c>
      <c r="AL17" s="84" t="str">
        <v>(+62) 81336173499</v>
      </c>
      <c r="AM17" s="84" t="s">
        <v>39</v>
      </c>
      <c r="AN17" s="84" t="str">
        <v>Class Only</v>
      </c>
      <c r="AO17" s="84">
        <v>79000</v>
      </c>
      <c r="AP17" s="88">
        <f>IF(AM17="","", IF(   COUNTIF($S$2:$S$176, AM17) +   SUMPRODUCT(--ISNUMBER(SEARCH(LOWER(REGEXEXTRACT(TRIM(AM17),"^[^@]+")), LOWER(TRIM($AR$2:$AR$86))))) &gt; 0,   "SUDAH BAYAR","BELUM" ))</f>
      </c>
      <c r="AQ17" s="87"/>
      <c r="AR17" s="90"/>
      <c r="AS17" s="87"/>
      <c r="AT17" s="30">
        <v>15</v>
      </c>
      <c r="AU17" s="30" t="str">
        <v>Samira Febrita</v>
      </c>
      <c r="AV17" s="30" t="str">
        <v>(+62) 85718304413</v>
      </c>
      <c r="AW17" s="30" t="s">
        <v>38</v>
      </c>
      <c r="AX17" s="30" t="str">
        <v>EARLY BIRD MAHASISWA</v>
      </c>
      <c r="AY17" s="30">
        <v>849000</v>
      </c>
      <c r="AZ17" s="30">
        <f>IF(AW17="","", IF(   COUNTIF($S$2:$S$176, AW17) +   SUMPRODUCT(--ISNUMBER(SEARCH(LOWER(REGEXEXTRACT(TRIM(AW17),"^[^@]+")), LOWER(TRIM($BB$2:$BB$86))))) &gt; 0,   "SUDAH BAYAR","BELUM" ))</f>
      </c>
      <c r="BA17" s="87"/>
      <c r="BB17" s="18" t="s">
        <v>13</v>
      </c>
      <c r="BC17" s="14"/>
      <c r="BF17" s="108"/>
      <c r="BG17" s="107"/>
    </row>
    <row r="18">
      <c r="A18" s="105" t="str">
        <v>TARGET REALISTIC</v>
      </c>
      <c r="B18" s="105"/>
      <c r="C18" s="105"/>
      <c r="D18" s="105"/>
      <c r="E18" s="105"/>
      <c r="F18" s="85"/>
      <c r="G18" s="105" t="str">
        <v>TARGET REALISTIC</v>
      </c>
      <c r="H18" s="105"/>
      <c r="I18" s="105"/>
      <c r="J18" s="105"/>
      <c r="K18" s="105"/>
      <c r="L18" s="85"/>
      <c r="M18" s="105" t="str">
        <v>TARGET REALISTIC</v>
      </c>
      <c r="N18" s="105"/>
      <c r="O18" s="105"/>
      <c r="P18" s="105"/>
      <c r="Q18" s="105"/>
      <c r="R18" s="30"/>
      <c r="S18" s="84">
        <v>16</v>
      </c>
      <c r="T18" s="84" t="str">
        <v>Agung Wibowo</v>
      </c>
      <c r="U18" s="84" t="str">
        <v>(+62) 82287972487</v>
      </c>
      <c r="V18" s="84" t="s">
        <v>21</v>
      </c>
      <c r="W18" s="84" t="str">
        <v>PROMO OPENING RUSH</v>
      </c>
      <c r="X18" s="93">
        <v>249000</v>
      </c>
      <c r="Y18" s="30">
        <f>IF(V18="","", IF( COUNTIF($AA$3:$AA$1101, V18) + SUMPRODUCT(--ISNUMBER(SEARCH(LOWER(REGEXEXTRACT(TRIM(V18),"^[^@]+")), LOWER(TRIM($AA$3:$AA$1101))))) &gt; 0, "SUDAH BAYAR","BELUM" ))</f>
      </c>
      <c r="Z18" s="30"/>
      <c r="AA18" s="91" t="s">
        <v>47</v>
      </c>
      <c r="AB18" s="3" t="str">
        <v>Bank Transfer</v>
      </c>
      <c r="AC18" s="3" t="str">
        <v>Payment</v>
      </c>
      <c r="AD18" s="3">
        <v>249000</v>
      </c>
      <c r="AE18" s="3" t="str">
        <v>settlement</v>
      </c>
      <c r="AF18" s="3" t="str">
        <v>8827876f-097e-4d8f-baa2-30df8f7bc842</v>
      </c>
      <c r="AG18" s="8" t="str">
        <v>#######</v>
      </c>
      <c r="AH18" s="9" t="str">
        <v>1/28/2026 19:33</v>
      </c>
      <c r="AI18" s="30"/>
      <c r="AJ18" s="88">
        <v>16</v>
      </c>
      <c r="AK18" s="84" t="str">
        <v>NADHIA FERLIA FARA</v>
      </c>
      <c r="AL18" s="84" t="str">
        <v>(+62) 81229101571</v>
      </c>
      <c r="AM18" s="84" t="s">
        <v>46</v>
      </c>
      <c r="AN18" s="84" t="str">
        <v>Class Only</v>
      </c>
      <c r="AO18" s="84">
        <v>79000</v>
      </c>
      <c r="AP18" s="88">
        <f>IF(AM18="","", IF(   COUNTIF($S$2:$S$176, AM18) +   SUMPRODUCT(--ISNUMBER(SEARCH(LOWER(REGEXEXTRACT(TRIM(AM18),"^[^@]+")), LOWER(TRIM($AR$2:$AR$86))))) &gt; 0,   "SUDAH BAYAR","BELUM" ))</f>
      </c>
      <c r="AQ18" s="87"/>
      <c r="AR18" s="90"/>
      <c r="AS18" s="87"/>
      <c r="AT18" s="30">
        <v>16</v>
      </c>
      <c r="AU18" s="30" t="str">
        <v>Ichfan Maulana</v>
      </c>
      <c r="AV18" s="30" t="str">
        <v>(+62) 8125831593</v>
      </c>
      <c r="AW18" s="30" t="s">
        <v>44</v>
      </c>
      <c r="AX18" s="30" t="str">
        <v>EARLY BIRD UMUM</v>
      </c>
      <c r="AY18" s="30">
        <v>1099000</v>
      </c>
      <c r="AZ18" s="30">
        <f>IF(AW18="","", IF(   COUNTIF($S$2:$S$176, AW18) +   SUMPRODUCT(--ISNUMBER(SEARCH(LOWER(REGEXEXTRACT(TRIM(AW18),"^[^@]+")), LOWER(TRIM($BB$2:$BB$86))))) &gt; 0,   "SUDAH BAYAR","BELUM" ))</f>
      </c>
      <c r="BA18" s="87"/>
      <c r="BB18" s="18" t="s">
        <v>45</v>
      </c>
      <c r="BC18" s="14"/>
      <c r="BF18" s="108"/>
      <c r="BG18" s="107"/>
    </row>
    <row r="19">
      <c r="A19" s="86">
        <v>4000000</v>
      </c>
      <c r="B19" s="86"/>
      <c r="C19" s="86"/>
      <c r="D19" s="86"/>
      <c r="E19" s="86"/>
      <c r="F19" s="85"/>
      <c r="G19" s="89">
        <v>8500000</v>
      </c>
      <c r="H19" s="89"/>
      <c r="I19" s="89"/>
      <c r="J19" s="89"/>
      <c r="K19" s="89"/>
      <c r="L19" s="85"/>
      <c r="M19" s="89">
        <v>26000000</v>
      </c>
      <c r="N19" s="89"/>
      <c r="O19" s="89"/>
      <c r="P19" s="89"/>
      <c r="Q19" s="89"/>
      <c r="R19" s="30"/>
      <c r="S19" s="84">
        <v>17</v>
      </c>
      <c r="T19" s="84" t="str">
        <v>Teguh Christianto Simbolon</v>
      </c>
      <c r="U19" s="84" t="str">
        <v>(+62) 87861647001</v>
      </c>
      <c r="V19" s="84" t="s">
        <v>25</v>
      </c>
      <c r="W19" s="84" t="str">
        <v>PROMO OPENING RUSH</v>
      </c>
      <c r="X19" s="93">
        <v>249000</v>
      </c>
      <c r="Y19" s="30">
        <f>IF(V19="","", IF( COUNTIF($AA$3:$AA$1101, V19) + SUMPRODUCT(--ISNUMBER(SEARCH(LOWER(REGEXEXTRACT(TRIM(V19),"^[^@]+")), LOWER(TRIM($AA$3:$AA$1101))))) &gt; 0, "SUDAH BAYAR","BELUM" ))</f>
      </c>
      <c r="Z19" s="30"/>
      <c r="AA19" s="91" t="s">
        <v>21</v>
      </c>
      <c r="AB19" s="3" t="str">
        <v>Bank Transfer</v>
      </c>
      <c r="AC19" s="3" t="str">
        <v>Payment</v>
      </c>
      <c r="AD19" s="3">
        <v>249000</v>
      </c>
      <c r="AE19" s="3" t="str">
        <v>settlement</v>
      </c>
      <c r="AF19" s="3" t="str">
        <v>84fb82f1-8768-4cec-ad83-f689b8061bf7</v>
      </c>
      <c r="AG19" s="8" t="str">
        <v>#######</v>
      </c>
      <c r="AH19" s="9" t="str">
        <v>1/28/2026 20:38</v>
      </c>
      <c r="AI19" s="30"/>
      <c r="AJ19" s="88">
        <v>17</v>
      </c>
      <c r="AK19" s="84" t="str">
        <v>Naomi Angelia</v>
      </c>
      <c r="AL19" s="84" t="str">
        <v>(+62) 81386715390</v>
      </c>
      <c r="AM19" s="84" t="s">
        <v>23</v>
      </c>
      <c r="AN19" s="84" t="str">
        <v>Class Only</v>
      </c>
      <c r="AO19" s="84">
        <v>79000</v>
      </c>
      <c r="AP19" s="88">
        <f>IF(AM19="","", IF(   COUNTIF($S$2:$S$176, AM19) +   SUMPRODUCT(--ISNUMBER(SEARCH(LOWER(REGEXEXTRACT(TRIM(AM19),"^[^@]+")), LOWER(TRIM($AR$2:$AR$86))))) &gt; 0,   "SUDAH BAYAR","BELUM" ))</f>
      </c>
      <c r="AS19" s="87"/>
      <c r="AT19" s="30">
        <v>17</v>
      </c>
      <c r="AU19" s="30" t="str">
        <v>Yasser Taufiq</v>
      </c>
      <c r="AV19" s="30" t="str">
        <v>(+62) 81320423798</v>
      </c>
      <c r="AW19" s="30" t="s">
        <v>22</v>
      </c>
      <c r="AX19" s="30" t="str">
        <v>EARLY BIRD UMUM</v>
      </c>
      <c r="AY19" s="30">
        <v>1099000</v>
      </c>
      <c r="AZ19" s="30">
        <f>IF(AW19="","", IF(   COUNTIF($S$2:$S$176, AW19) +   SUMPRODUCT(--ISNUMBER(SEARCH(LOWER(REGEXEXTRACT(TRIM(AW19),"^[^@]+")), LOWER(TRIM($BB$2:$BB$86))))) &gt; 0,   "SUDAH BAYAR","BELUM" ))</f>
      </c>
      <c r="BB19" s="18" t="s">
        <v>24</v>
      </c>
      <c r="BC19" s="14"/>
      <c r="BF19" s="108"/>
      <c r="BG19" s="107"/>
    </row>
    <row r="20">
      <c r="A20" s="86"/>
      <c r="B20" s="86"/>
      <c r="C20" s="86"/>
      <c r="D20" s="86"/>
      <c r="E20" s="86"/>
      <c r="F20" s="85"/>
      <c r="G20" s="89"/>
      <c r="H20" s="89"/>
      <c r="I20" s="89"/>
      <c r="J20" s="89"/>
      <c r="K20" s="89"/>
      <c r="L20" s="85"/>
      <c r="M20" s="89"/>
      <c r="N20" s="89"/>
      <c r="O20" s="89"/>
      <c r="P20" s="89"/>
      <c r="Q20" s="89"/>
      <c r="R20" s="30"/>
      <c r="S20" s="84">
        <v>18</v>
      </c>
      <c r="T20" s="84" t="str">
        <v>Fauziah Shali</v>
      </c>
      <c r="U20" s="84" t="str">
        <v>(+62) 81585933124</v>
      </c>
      <c r="V20" s="84" t="s">
        <v>31</v>
      </c>
      <c r="W20" s="84" t="str">
        <v>PROMO OPENING RUSH</v>
      </c>
      <c r="X20" s="93">
        <v>249000</v>
      </c>
      <c r="Y20" s="30">
        <f>IF(V20="","", IF( COUNTIF($AA$3:$AA$1101, V20) + SUMPRODUCT(--ISNUMBER(SEARCH(LOWER(REGEXEXTRACT(TRIM(V20),"^[^@]+")), LOWER(TRIM($AA$3:$AA$1101))))) &gt; 0, "SUDAH BAYAR","BELUM" ))</f>
      </c>
      <c r="Z20" s="30"/>
      <c r="AA20" s="91" t="s">
        <v>32</v>
      </c>
      <c r="AB20" s="3" t="str">
        <v>Bank Transfer</v>
      </c>
      <c r="AC20" s="3" t="str">
        <v>Payment</v>
      </c>
      <c r="AD20" s="3">
        <v>249000</v>
      </c>
      <c r="AE20" s="3" t="str">
        <v>settlement</v>
      </c>
      <c r="AF20" s="3" t="str">
        <v>180e4d11-7775-4fa5-972d-7fe4071cfcf4</v>
      </c>
      <c r="AG20" s="8" t="str">
        <v>#######</v>
      </c>
      <c r="AH20" s="9" t="str">
        <v>1/29/2026 9:10</v>
      </c>
      <c r="AI20" s="30"/>
      <c r="AJ20" s="88">
        <v>18</v>
      </c>
      <c r="AK20" s="84" t="str">
        <v>Daga Adza Ramdani</v>
      </c>
      <c r="AL20" s="84" t="str">
        <v>(+62) 85369658080</v>
      </c>
      <c r="AM20" s="84" t="s">
        <v>30</v>
      </c>
      <c r="AN20" s="84" t="str">
        <v>Class + License</v>
      </c>
      <c r="AO20" s="84">
        <v>149000</v>
      </c>
      <c r="AP20" s="88">
        <f>IF(AM20="","", IF(   COUNTIF($S$2:$S$176, AM20) +   SUMPRODUCT(--ISNUMBER(SEARCH(LOWER(REGEXEXTRACT(TRIM(AM20),"^[^@]+")), LOWER(TRIM($AR$2:$AR$86))))) &gt; 0,   "SUDAH BAYAR","BELUM" ))</f>
      </c>
      <c r="AQ20" s="87"/>
      <c r="AR20" s="90"/>
      <c r="AS20" s="87"/>
      <c r="AT20" s="30">
        <v>18</v>
      </c>
      <c r="AU20" s="30" t="str">
        <v>Gilang Aditia</v>
      </c>
      <c r="AV20" s="30" t="str">
        <v>(+62) 87732886254</v>
      </c>
      <c r="AW20" s="30" t="s">
        <v>29</v>
      </c>
      <c r="AX20" s="30" t="str">
        <v>EARLY BIRD UMUM</v>
      </c>
      <c r="AY20" s="30">
        <v>1099000</v>
      </c>
      <c r="AZ20" s="30">
        <f>IF(AW20="","", IF(   COUNTIF($S$2:$S$176, AW20) +   SUMPRODUCT(--ISNUMBER(SEARCH(LOWER(REGEXEXTRACT(TRIM(AW20),"^[^@]+")), LOWER(TRIM($BB$2:$BB$86))))) &gt; 0,   "SUDAH BAYAR","BELUM" ))</f>
      </c>
      <c r="BA20" s="87"/>
      <c r="BB20" s="18" t="s">
        <v>33</v>
      </c>
      <c r="BC20" s="14"/>
      <c r="BF20" s="18"/>
      <c r="BG20" s="18"/>
    </row>
    <row r="21">
      <c r="A21" s="86"/>
      <c r="B21" s="86"/>
      <c r="C21" s="86"/>
      <c r="D21" s="86"/>
      <c r="E21" s="86"/>
      <c r="F21" s="85"/>
      <c r="G21" s="89"/>
      <c r="H21" s="89"/>
      <c r="I21" s="89"/>
      <c r="J21" s="89"/>
      <c r="K21" s="89"/>
      <c r="L21" s="85"/>
      <c r="M21" s="89"/>
      <c r="N21" s="89"/>
      <c r="O21" s="89"/>
      <c r="P21" s="89"/>
      <c r="Q21" s="89"/>
      <c r="R21" s="30"/>
      <c r="S21" s="84">
        <v>19</v>
      </c>
      <c r="T21" s="84" t="str">
        <v>MUH. SOFYAN SAUGANI</v>
      </c>
      <c r="U21" s="84" t="str">
        <v>(+62) 87739190321</v>
      </c>
      <c r="V21" s="84" t="s">
        <v>9</v>
      </c>
      <c r="W21" s="84" t="str">
        <v>PROMO OPENING RUSH</v>
      </c>
      <c r="X21" s="93">
        <v>249000</v>
      </c>
      <c r="Y21" s="30">
        <f>IF(V21="","", IF( COUNTIF($AA$3:$AA$1101, V21) + SUMPRODUCT(--ISNUMBER(SEARCH(LOWER(REGEXEXTRACT(TRIM(V21),"^[^@]+")), LOWER(TRIM($AA$3:$AA$1101))))) &gt; 0, "SUDAH BAYAR","BELUM" ))</f>
      </c>
      <c r="Z21" s="30"/>
      <c r="AA21" s="91" t="s">
        <v>11</v>
      </c>
      <c r="AB21" s="3" t="str">
        <v>QRIS</v>
      </c>
      <c r="AC21" s="3" t="str">
        <v>Payment</v>
      </c>
      <c r="AD21" s="3">
        <v>249000</v>
      </c>
      <c r="AE21" s="3" t="str">
        <v>settlement</v>
      </c>
      <c r="AF21" s="3" t="str">
        <v>a0973299-f6c8-4994-8a82-32f83a513b6c</v>
      </c>
      <c r="AG21" s="8" t="str">
        <v>#######</v>
      </c>
      <c r="AH21" s="9" t="str">
        <v>1/29/2026 14:01</v>
      </c>
      <c r="AI21" s="30"/>
      <c r="AJ21" s="88"/>
      <c r="AK21" s="84"/>
      <c r="AL21" s="84"/>
      <c r="AM21" s="84"/>
      <c r="AN21" s="84"/>
      <c r="AO21" s="84"/>
      <c r="AP21" s="92"/>
      <c r="AQ21" s="87"/>
      <c r="AR21" s="90"/>
      <c r="AS21" s="87"/>
      <c r="AT21" s="30">
        <v>19</v>
      </c>
      <c r="AU21" s="30" t="str">
        <v>Ibadurrahman</v>
      </c>
      <c r="AV21" s="30" t="str">
        <v>(+62) 82288358718</v>
      </c>
      <c r="AW21" s="30" t="s">
        <v>10</v>
      </c>
      <c r="AX21" s="30" t="str">
        <v>EARLY BIRD UMUM</v>
      </c>
      <c r="AY21" s="30">
        <v>1099000</v>
      </c>
      <c r="AZ21" s="30">
        <f>IF(AW21="","", IF(   COUNTIF($S$2:$S$176, AW21) +   SUMPRODUCT(--ISNUMBER(SEARCH(LOWER(REGEXEXTRACT(TRIM(AW21),"^[^@]+")), LOWER(TRIM($BB$2:$BB$86))))) &gt; 0,   "SUDAH BAYAR","BELUM" ))</f>
      </c>
      <c r="BA21" s="87"/>
      <c r="BB21" s="18" t="s">
        <v>8</v>
      </c>
      <c r="BC21" s="14"/>
      <c r="BF21" s="28"/>
      <c r="BG21" s="18"/>
    </row>
    <row r="22">
      <c r="A22" s="105" t="str">
        <v>TARGET OPTIMISTIC</v>
      </c>
      <c r="B22" s="105"/>
      <c r="C22" s="105"/>
      <c r="D22" s="105"/>
      <c r="E22" s="105"/>
      <c r="F22" s="85"/>
      <c r="G22" s="105" t="str">
        <v>TARGET OPTIMISTIC</v>
      </c>
      <c r="H22" s="105"/>
      <c r="I22" s="105"/>
      <c r="J22" s="105"/>
      <c r="K22" s="105"/>
      <c r="L22" s="85"/>
      <c r="M22" s="105" t="str">
        <v>TARGET OPTIMISTIC</v>
      </c>
      <c r="N22" s="105"/>
      <c r="O22" s="105"/>
      <c r="P22" s="105"/>
      <c r="Q22" s="105"/>
      <c r="R22" s="30"/>
      <c r="S22" s="84">
        <v>20</v>
      </c>
      <c r="T22" s="84" t="str">
        <v>Nur Maghfiroh Adita Arifin</v>
      </c>
      <c r="U22" s="84" t="str">
        <v>(+62) 895328530307</v>
      </c>
      <c r="V22" s="84" t="s">
        <v>16</v>
      </c>
      <c r="W22" s="84" t="str">
        <v>PROMO OPENING RUSH</v>
      </c>
      <c r="X22" s="93">
        <v>249000</v>
      </c>
      <c r="Y22" s="30">
        <f>IF(V22="","", IF( COUNTIF($AA$3:$AA$1101, V22) + SUMPRODUCT(--ISNUMBER(SEARCH(LOWER(REGEXEXTRACT(TRIM(V22),"^[^@]+")), LOWER(TRIM($AA$3:$AA$1101))))) &gt; 0, "SUDAH BAYAR","BELUM" ))</f>
      </c>
      <c r="Z22" s="30"/>
      <c r="AA22" s="91" t="s">
        <v>17</v>
      </c>
      <c r="AB22" s="3" t="str">
        <v>QRIS</v>
      </c>
      <c r="AC22" s="3" t="str">
        <v>Payment</v>
      </c>
      <c r="AD22" s="3">
        <v>249000</v>
      </c>
      <c r="AE22" s="3" t="str">
        <v>settlement</v>
      </c>
      <c r="AF22" s="3" t="str">
        <v>1f93e7fb-51dc-4279-b0ed-b5b96ffb3f3a</v>
      </c>
      <c r="AG22" s="8" t="str">
        <v>#######</v>
      </c>
      <c r="AH22" s="9" t="str">
        <v>1/29/2026 14:02</v>
      </c>
      <c r="AI22" s="30"/>
      <c r="AJ22" s="88"/>
      <c r="AK22" s="84"/>
      <c r="AL22" s="84"/>
      <c r="AM22" s="84"/>
      <c r="AN22" s="84"/>
      <c r="AO22" s="84"/>
      <c r="AP22" s="88"/>
      <c r="AQ22" s="87"/>
      <c r="AR22" s="90"/>
      <c r="AS22" s="87"/>
      <c r="AT22" s="30">
        <v>20</v>
      </c>
      <c r="AU22" s="30" t="str">
        <v>Aisha Rajwa</v>
      </c>
      <c r="AV22" s="30" t="str">
        <v>(+62) 08111453271</v>
      </c>
      <c r="AW22" s="30" t="s">
        <v>14</v>
      </c>
      <c r="AX22" s="30" t="str">
        <v>EARLY BIRD MAHASISWA</v>
      </c>
      <c r="AY22" s="30">
        <v>849000</v>
      </c>
      <c r="AZ22" s="30">
        <f>IF(AW22="","", IF(   COUNTIF($S$2:$S$176, AW22) +   SUMPRODUCT(--ISNUMBER(SEARCH(LOWER(REGEXEXTRACT(TRIM(AW22),"^[^@]+")), LOWER(TRIM($BB$2:$BB$86))))) &gt; 0,   "SUDAH BAYAR","BELUM" ))</f>
      </c>
      <c r="BA22" s="87"/>
      <c r="BB22" s="3" t="s">
        <v>15</v>
      </c>
      <c r="BC22" s="14"/>
      <c r="BF22" s="28"/>
      <c r="BG22" s="18"/>
    </row>
    <row r="23">
      <c r="A23" s="115">
        <v>5000000</v>
      </c>
      <c r="B23" s="115"/>
      <c r="C23" s="115"/>
      <c r="D23" s="115"/>
      <c r="E23" s="115"/>
      <c r="F23" s="85"/>
      <c r="G23" s="116">
        <v>10000000</v>
      </c>
      <c r="H23" s="116"/>
      <c r="I23" s="116"/>
      <c r="J23" s="116"/>
      <c r="K23" s="116"/>
      <c r="L23" s="85"/>
      <c r="M23" s="116">
        <v>49200000</v>
      </c>
      <c r="N23" s="116"/>
      <c r="O23" s="116"/>
      <c r="P23" s="116"/>
      <c r="Q23" s="116"/>
      <c r="R23" s="30"/>
      <c r="S23" s="84">
        <v>21</v>
      </c>
      <c r="T23" s="84" t="str">
        <v>Gabriel Saud Sihombing</v>
      </c>
      <c r="U23" s="84" t="str">
        <v>(+62) 82287507329</v>
      </c>
      <c r="V23" s="84" t="s">
        <v>47</v>
      </c>
      <c r="W23" s="84" t="str">
        <v>PROMO OPENING RUSH</v>
      </c>
      <c r="X23" s="93">
        <v>249000</v>
      </c>
      <c r="Y23" s="30">
        <f>IF(V23="","", IF( COUNTIF($AA$3:$AA$1101, V23) + SUMPRODUCT(--ISNUMBER(SEARCH(LOWER(REGEXEXTRACT(TRIM(V23),"^[^@]+")), LOWER(TRIM($AA$3:$AA$1101))))) &gt; 0, "SUDAH BAYAR","BELUM" ))</f>
      </c>
      <c r="Z23" s="30"/>
      <c r="AA23" s="91" t="s">
        <v>61</v>
      </c>
      <c r="AB23" s="3" t="str">
        <v>QRIS</v>
      </c>
      <c r="AC23" s="3" t="str">
        <v>Payment</v>
      </c>
      <c r="AD23" s="3">
        <v>379000</v>
      </c>
      <c r="AE23" s="3" t="str">
        <v>settlement</v>
      </c>
      <c r="AF23" s="3" t="str">
        <v>de93520b-dcbb-44ce-9aa2-7baa91b66358</v>
      </c>
      <c r="AG23" s="8" t="str">
        <v>#######</v>
      </c>
      <c r="AH23" s="9" t="str">
        <v>1/29/2026 22:31</v>
      </c>
      <c r="AI23" s="30"/>
      <c r="AJ23" s="88"/>
      <c r="AK23" s="84"/>
      <c r="AL23" s="84"/>
      <c r="AM23" s="84"/>
      <c r="AN23" s="84"/>
      <c r="AO23" s="84"/>
      <c r="AP23" s="88"/>
      <c r="AQ23" s="87"/>
      <c r="AR23" s="90"/>
      <c r="AS23" s="87"/>
      <c r="AT23" s="30">
        <v>21</v>
      </c>
      <c r="AU23" s="30" t="str">
        <v>Ramadhina Nurdianti</v>
      </c>
      <c r="AV23" s="30" t="str">
        <v>(+62) 82241683225</v>
      </c>
      <c r="AW23" s="30" t="s">
        <v>322</v>
      </c>
      <c r="AX23" s="30" t="str">
        <v>EARLY BIRD UMUM</v>
      </c>
      <c r="AY23" s="30">
        <v>1099000</v>
      </c>
      <c r="AZ23" s="30">
        <f>IF(AW23="","", IF(   COUNTIF($S$2:$S$176, AW23) +   SUMPRODUCT(--ISNUMBER(SEARCH(LOWER(REGEXEXTRACT(TRIM(AW23),"^[^@]+")), LOWER(TRIM($BB$2:$BB$86))))) &gt; 0,   "SUDAH BAYAR","BELUM" ))</f>
      </c>
      <c r="BA23" s="87"/>
      <c r="BB23" s="3" t="s">
        <v>323</v>
      </c>
      <c r="BC23" s="14"/>
      <c r="BF23" s="28"/>
      <c r="BG23" s="18"/>
    </row>
    <row r="24">
      <c r="A24" s="115"/>
      <c r="B24" s="115"/>
      <c r="C24" s="115"/>
      <c r="D24" s="115"/>
      <c r="E24" s="115"/>
      <c r="F24" s="85"/>
      <c r="G24" s="116"/>
      <c r="H24" s="116"/>
      <c r="I24" s="116"/>
      <c r="J24" s="116"/>
      <c r="K24" s="116"/>
      <c r="L24" s="85"/>
      <c r="M24" s="116"/>
      <c r="N24" s="116"/>
      <c r="O24" s="116"/>
      <c r="P24" s="116"/>
      <c r="Q24" s="116"/>
      <c r="R24" s="30"/>
      <c r="S24" s="84">
        <v>22</v>
      </c>
      <c r="T24" s="84" t="str">
        <v>Salsabila Atalieani Andiana</v>
      </c>
      <c r="U24" s="84" t="str">
        <v>(+62) 85713119569</v>
      </c>
      <c r="V24" s="84" t="s">
        <v>32</v>
      </c>
      <c r="W24" s="84" t="str">
        <v>PROMO OPENING RUSH</v>
      </c>
      <c r="X24" s="93">
        <v>249000</v>
      </c>
      <c r="Y24" s="30">
        <f>IF(V24="","", IF( COUNTIF($AA$3:$AA$1101, V24) + SUMPRODUCT(--ISNUMBER(SEARCH(LOWER(REGEXEXTRACT(TRIM(V24),"^[^@]+")), LOWER(TRIM($AA$3:$AA$1101))))) &gt; 0, "SUDAH BAYAR","BELUM" ))</f>
      </c>
      <c r="Z24" s="94"/>
      <c r="AA24" s="91" t="s">
        <v>161</v>
      </c>
      <c r="AB24" s="3" t="str">
        <v>QRIS</v>
      </c>
      <c r="AC24" s="3" t="str">
        <v>Payment</v>
      </c>
      <c r="AD24" s="3">
        <v>249000</v>
      </c>
      <c r="AE24" s="3" t="str">
        <v>settlement</v>
      </c>
      <c r="AF24" s="3" t="str">
        <v>41049699-bc7e-43e9-ab94-a21747bd2a3f</v>
      </c>
      <c r="AG24" s="8" t="str">
        <v>#######</v>
      </c>
      <c r="AH24" s="9" t="str">
        <v>1/30/2026 13:24</v>
      </c>
      <c r="AI24" s="30"/>
      <c r="AJ24" s="92"/>
      <c r="AK24" s="84"/>
      <c r="AL24" s="84"/>
      <c r="AM24" s="84"/>
      <c r="AN24" s="84"/>
      <c r="AO24" s="84"/>
      <c r="AP24" s="88"/>
      <c r="AQ24" s="87"/>
      <c r="AR24" s="90"/>
      <c r="AS24" s="87"/>
      <c r="AT24" s="30">
        <v>22</v>
      </c>
      <c r="AU24" s="30" t="str">
        <v>Dede Yoalna</v>
      </c>
      <c r="AV24" s="30" t="str">
        <v>(+62) 85184395752</v>
      </c>
      <c r="AW24" s="30" t="s">
        <v>326</v>
      </c>
      <c r="AX24" s="30" t="str">
        <v>EARLY BIRD UMUM</v>
      </c>
      <c r="AY24" s="30">
        <v>1099000</v>
      </c>
      <c r="AZ24" s="30">
        <f>IF(AW24="","", IF(   COUNTIF($S$2:$S$176, AW24) +   SUMPRODUCT(--ISNUMBER(SEARCH(LOWER(REGEXEXTRACT(TRIM(AW24),"^[^@]+")), LOWER(TRIM($BB$2:$BB$86))))) &gt; 0,   "SUDAH BAYAR","BELUM" ))</f>
      </c>
      <c r="BA24" s="87"/>
      <c r="BB24" s="18" t="s">
        <v>193</v>
      </c>
      <c r="BC24" s="14"/>
      <c r="BF24" s="28"/>
      <c r="BG24" s="18"/>
    </row>
    <row r="25">
      <c r="A25" s="115"/>
      <c r="B25" s="115"/>
      <c r="C25" s="115"/>
      <c r="D25" s="115"/>
      <c r="E25" s="115"/>
      <c r="F25" s="85"/>
      <c r="G25" s="116"/>
      <c r="H25" s="116"/>
      <c r="I25" s="116"/>
      <c r="J25" s="116"/>
      <c r="K25" s="116"/>
      <c r="L25" s="85"/>
      <c r="M25" s="116"/>
      <c r="N25" s="116"/>
      <c r="O25" s="116"/>
      <c r="P25" s="116"/>
      <c r="Q25" s="116"/>
      <c r="R25" s="30"/>
      <c r="S25" s="84">
        <v>23</v>
      </c>
      <c r="T25" s="84" t="str">
        <v>Nadhia Ferlia Faraa</v>
      </c>
      <c r="U25" s="84" t="str">
        <v>(+62) 81229101571</v>
      </c>
      <c r="V25" s="84" t="str">
        <v>asdasdasda</v>
      </c>
      <c r="W25" s="84" t="str">
        <v>PROMO OPENING RUSH</v>
      </c>
      <c r="X25" s="93">
        <v>249000</v>
      </c>
      <c r="Y25" s="30">
        <f>IF(V25="","", IF( COUNTIF($AA$3:$AA$1101, V25) + SUMPRODUCT(--ISNUMBER(SEARCH(LOWER(REGEXEXTRACT(TRIM(V25),"^[^@]+")), LOWER(TRIM($AA$3:$AA$1101))))) &gt; 0, "SUDAH BAYAR","BELUM" ))</f>
      </c>
      <c r="Z25" s="94"/>
      <c r="AA25" s="91" t="s">
        <v>78</v>
      </c>
      <c r="AB25" s="3" t="str">
        <v>QRIS</v>
      </c>
      <c r="AC25" s="3" t="str">
        <v>Payment</v>
      </c>
      <c r="AD25" s="3">
        <v>299000</v>
      </c>
      <c r="AE25" s="3" t="str">
        <v>settlement</v>
      </c>
      <c r="AF25" s="3" t="str">
        <v>01aee865-6daf-4dbe-8b23-f7190bf0b9df</v>
      </c>
      <c r="AG25" s="8" t="str">
        <v>#######</v>
      </c>
      <c r="AH25" s="9" t="str">
        <v>1/31/2026 20:30</v>
      </c>
      <c r="AI25" s="30"/>
      <c r="AJ25" s="88"/>
      <c r="AK25" s="84"/>
      <c r="AL25" s="84"/>
      <c r="AM25" s="84"/>
      <c r="AN25" s="84"/>
      <c r="AO25" s="84"/>
      <c r="AP25" s="88"/>
      <c r="AQ25" s="87"/>
      <c r="AR25" s="90"/>
      <c r="AS25" s="87"/>
      <c r="AT25" s="30">
        <v>23</v>
      </c>
      <c r="AU25" s="30" t="str">
        <v>Hiqmal Alkhadafi</v>
      </c>
      <c r="AV25" s="30" t="str">
        <v>(+62) 82289693182</v>
      </c>
      <c r="AW25" s="30" t="s">
        <v>77</v>
      </c>
      <c r="AX25" s="30" t="str">
        <v>EARLY BIRD MAHASISWA</v>
      </c>
      <c r="AY25" s="30">
        <v>849000</v>
      </c>
      <c r="AZ25" s="30">
        <f>IF(AW25="","", IF(   COUNTIF($S$2:$S$176, AW25) +   SUMPRODUCT(--ISNUMBER(SEARCH(LOWER(REGEXEXTRACT(TRIM(AW25),"^[^@]+")), LOWER(TRIM($BB$2:$BB$86))))) &gt; 0,   "SUDAH BAYAR","BELUM" ))</f>
      </c>
      <c r="BA25" s="87"/>
      <c r="BB25" s="3" t="s">
        <v>76</v>
      </c>
      <c r="BC25" s="14"/>
      <c r="BF25" s="28"/>
      <c r="BG25" s="18"/>
    </row>
    <row r="26">
      <c r="F26" s="30"/>
      <c r="G26" s="30"/>
      <c r="H26" s="30"/>
      <c r="I26" s="30"/>
      <c r="J26" s="30"/>
      <c r="K26" s="30"/>
      <c r="L26" s="30"/>
      <c r="M26" s="30"/>
      <c r="N26" s="30"/>
      <c r="O26" s="30"/>
      <c r="P26" s="30"/>
      <c r="Q26" s="30"/>
      <c r="R26" s="30"/>
      <c r="S26" s="84">
        <v>24</v>
      </c>
      <c r="T26" s="84" t="str">
        <v>Salina Dhiya Zahrani</v>
      </c>
      <c r="U26" s="84" t="str">
        <v>(+62) 88232061270</v>
      </c>
      <c r="V26" s="84" t="s">
        <v>11</v>
      </c>
      <c r="W26" s="84" t="str">
        <v>PROMO OPENING RUSH</v>
      </c>
      <c r="X26" s="93">
        <v>249000</v>
      </c>
      <c r="Y26" s="30">
        <f>IF(V26="","", IF( COUNTIF($AA$3:$AA$1101, V26) + SUMPRODUCT(--ISNUMBER(SEARCH(LOWER(REGEXEXTRACT(TRIM(V26),"^[^@]+")), LOWER(TRIM($AA$3:$AA$1101))))) &gt; 0, "SUDAH BAYAR","BELUM" ))</f>
      </c>
      <c r="Z26" s="30"/>
      <c r="AA26" s="91" t="s">
        <v>80</v>
      </c>
      <c r="AB26" s="3" t="str">
        <v>Mandiri Bill</v>
      </c>
      <c r="AC26" s="3" t="str">
        <v>Payment</v>
      </c>
      <c r="AD26" s="3">
        <v>299000</v>
      </c>
      <c r="AE26" s="3" t="str">
        <v>settlement</v>
      </c>
      <c r="AF26" s="3" t="str">
        <v>d4f7d1b6-a813-40bb-b286-8a353006b83d</v>
      </c>
      <c r="AG26" s="8" t="str">
        <v>#######</v>
      </c>
      <c r="AH26" s="3" t="str">
        <v>#########</v>
      </c>
      <c r="AI26" s="30"/>
      <c r="AJ26" s="88"/>
      <c r="AK26" s="84"/>
      <c r="AL26" s="84"/>
      <c r="AM26" s="84"/>
      <c r="AN26" s="84"/>
      <c r="AO26" s="84"/>
      <c r="AP26" s="88"/>
      <c r="AQ26" s="87"/>
      <c r="AR26" s="90"/>
      <c r="AS26" s="87"/>
      <c r="AT26" s="30">
        <v>24</v>
      </c>
      <c r="AU26" s="30" t="str">
        <v>Antoni Madya Siahaan</v>
      </c>
      <c r="AV26" s="30" t="str">
        <v>(+62) 82164175690</v>
      </c>
      <c r="AW26" s="30" t="s">
        <v>81</v>
      </c>
      <c r="AX26" s="30" t="str">
        <v>EARLY BIRD UMUM</v>
      </c>
      <c r="AY26" s="30">
        <v>1099000</v>
      </c>
      <c r="AZ26" s="30">
        <f>IF(AW26="","", IF(   COUNTIF($S$2:$S$176, AW26) +   SUMPRODUCT(--ISNUMBER(SEARCH(LOWER(REGEXEXTRACT(TRIM(AW26),"^[^@]+")), LOWER(TRIM($BB$2:$BB$86))))) &gt; 0,   "SUDAH BAYAR","BELUM" ))</f>
      </c>
      <c r="BA26" s="87"/>
      <c r="BB26" s="3" t="s">
        <v>79</v>
      </c>
      <c r="BC26" s="14"/>
      <c r="BF26" s="28"/>
      <c r="BG26" s="18"/>
    </row>
    <row r="27">
      <c r="F27" s="30"/>
      <c r="G27" s="30"/>
      <c r="H27" s="113">
        <f>G11/G23</f>
      </c>
      <c r="I27" s="30"/>
      <c r="J27" s="30"/>
      <c r="K27" s="30"/>
      <c r="L27" s="30"/>
      <c r="M27" s="30"/>
      <c r="N27" s="30"/>
      <c r="O27" s="30"/>
      <c r="P27" s="30"/>
      <c r="Q27" s="30"/>
      <c r="R27" s="30"/>
      <c r="S27" s="84">
        <v>25</v>
      </c>
      <c r="T27" s="84" t="str">
        <v>Manda Amelia Rahmadani</v>
      </c>
      <c r="U27" s="84" t="str">
        <v>(+62) 82138105140</v>
      </c>
      <c r="V27" s="84" t="s">
        <v>17</v>
      </c>
      <c r="W27" s="84" t="str">
        <v>PROMO OPENING RUSH</v>
      </c>
      <c r="X27" s="93">
        <v>249000</v>
      </c>
      <c r="Y27" s="30">
        <f>IF(V27="","", IF( COUNTIF($AA$3:$AA$1101, V27) + SUMPRODUCT(--ISNUMBER(SEARCH(LOWER(REGEXEXTRACT(TRIM(V27),"^[^@]+")), LOWER(TRIM($AA$3:$AA$1101))))) &gt; 0, "SUDAH BAYAR","BELUM" ))</f>
      </c>
      <c r="Z27" s="30"/>
      <c r="AA27" s="91" t="s">
        <v>66</v>
      </c>
      <c r="AB27" s="3" t="str">
        <v>QRIS</v>
      </c>
      <c r="AC27" s="3" t="str">
        <v>Payment</v>
      </c>
      <c r="AD27" s="3">
        <v>379000</v>
      </c>
      <c r="AE27" s="3" t="str">
        <v>settlement</v>
      </c>
      <c r="AF27" s="3" t="str">
        <v>b35a0446-a8ed-4e1f-82a1-382a062c2652</v>
      </c>
      <c r="AG27" s="8" t="str">
        <v>#######</v>
      </c>
      <c r="AH27" s="9" t="str">
        <v>#########</v>
      </c>
      <c r="AI27" s="30"/>
      <c r="AJ27" s="92"/>
      <c r="AK27" s="84"/>
      <c r="AL27" s="84"/>
      <c r="AM27" s="84"/>
      <c r="AN27" s="84"/>
      <c r="AO27" s="84"/>
      <c r="AP27" s="88"/>
      <c r="AQ27" s="87"/>
      <c r="AR27" s="90"/>
      <c r="AS27" s="87"/>
      <c r="AT27" s="30">
        <v>25</v>
      </c>
      <c r="AU27" s="30"/>
      <c r="AV27" s="30"/>
      <c r="AW27" s="30"/>
      <c r="AX27" s="30"/>
      <c r="AY27" s="30"/>
      <c r="AZ27" s="30"/>
      <c r="BA27" s="87"/>
      <c r="BB27" s="3" t="s">
        <v>68</v>
      </c>
      <c r="BC27" s="14"/>
      <c r="BF27" s="28"/>
      <c r="BG27" s="18"/>
    </row>
    <row customHeight="true" ht="18" r="28">
      <c r="F28" s="30"/>
      <c r="G28" s="30"/>
      <c r="H28" s="30"/>
      <c r="I28" s="30"/>
      <c r="J28" s="30"/>
      <c r="K28" s="30"/>
      <c r="L28" s="30"/>
      <c r="M28" s="30"/>
      <c r="N28" s="30"/>
      <c r="O28" s="30"/>
      <c r="P28" s="30"/>
      <c r="Q28" s="30"/>
      <c r="R28" s="30"/>
      <c r="S28" s="84">
        <v>26</v>
      </c>
      <c r="T28" s="84" t="str">
        <v>Khoirul Rizqi</v>
      </c>
      <c r="U28" s="84" t="str">
        <v>(+62) 88291588065</v>
      </c>
      <c r="V28" s="84" t="s">
        <v>72</v>
      </c>
      <c r="W28" s="84" t="str">
        <v>PROMO OPENING RUSH</v>
      </c>
      <c r="X28" s="93">
        <v>249000</v>
      </c>
      <c r="Y28" s="30">
        <f>IF(V28="","", IF( COUNTIF($AA$3:$AA$1101, V28) + SUMPRODUCT(--ISNUMBER(SEARCH(LOWER(REGEXEXTRACT(TRIM(V28),"^[^@]+")), LOWER(TRIM($AA$3:$AA$1101))))) &gt; 0, "SUDAH BAYAR","BELUM" ))</f>
      </c>
      <c r="Z28" s="30"/>
      <c r="AA28" s="3" t="s">
        <v>73</v>
      </c>
      <c r="AB28" s="3" t="str">
        <v>QRIS</v>
      </c>
      <c r="AC28" s="3" t="str">
        <v>Payment</v>
      </c>
      <c r="AD28" s="3">
        <v>379000</v>
      </c>
      <c r="AE28" s="3" t="str">
        <v>settlement</v>
      </c>
      <c r="AF28" s="3" t="str">
        <v>57464211-2f0b-4a3d-9661-38b273d05129</v>
      </c>
      <c r="AG28" s="9">
        <v>46058.6875</v>
      </c>
      <c r="AH28" s="114"/>
      <c r="AI28" s="30"/>
      <c r="AJ28" s="88"/>
      <c r="AK28" s="84"/>
      <c r="AL28" s="84"/>
      <c r="AM28" s="84"/>
      <c r="AN28" s="84"/>
      <c r="AO28" s="84"/>
      <c r="AP28" s="88"/>
      <c r="AQ28" s="87"/>
      <c r="AR28" s="90"/>
      <c r="AS28" s="87"/>
      <c r="AT28" s="30">
        <v>26</v>
      </c>
      <c r="AU28" s="30" t="str">
        <v>Alfin</v>
      </c>
      <c r="AV28" s="30" t="str">
        <v>(+62) 85810089555</v>
      </c>
      <c r="AW28" s="30" t="str">
        <v>Alfin</v>
      </c>
      <c r="AX28" s="30" t="str">
        <v>EARLY BIRD MAHASISWA</v>
      </c>
      <c r="AY28" s="30">
        <v>849000</v>
      </c>
      <c r="AZ28" s="30">
        <f>IF(AW28="","", IF(   COUNTIF($S$2:$S$176, AW28) +   SUMPRODUCT(--ISNUMBER(SEARCH(LOWER(REGEXEXTRACT(TRIM(AW28),"^[^@]+")), LOWER(TRIM($BB$2:$BB$86))))) &gt; 0,   "SUDAH BAYAR","BELUM" ))</f>
      </c>
      <c r="BA28" s="87"/>
      <c r="BB28" s="3" t="s">
        <v>71</v>
      </c>
      <c r="BC28" s="14"/>
      <c r="BF28" s="28"/>
      <c r="BG28" s="18"/>
    </row>
    <row r="29">
      <c r="F29" s="30"/>
      <c r="G29" s="30"/>
      <c r="H29" s="30"/>
      <c r="I29" s="30"/>
      <c r="J29" s="30"/>
      <c r="K29" s="30"/>
      <c r="L29" s="30"/>
      <c r="M29" s="30"/>
      <c r="N29" s="30"/>
      <c r="O29" s="30"/>
      <c r="P29" s="30"/>
      <c r="Q29" s="30"/>
      <c r="R29" s="30"/>
      <c r="S29" s="84">
        <v>27</v>
      </c>
      <c r="T29" s="84" t="str">
        <v>Alan Afrizal Hakiim</v>
      </c>
      <c r="U29" s="84" t="str">
        <v>(+62) 81393088481</v>
      </c>
      <c r="V29" s="84" t="s">
        <v>61</v>
      </c>
      <c r="W29" s="84" t="str">
        <v>PAKET BUNDLING</v>
      </c>
      <c r="X29" s="93">
        <v>379000</v>
      </c>
      <c r="Y29" s="30">
        <f>IF(V29="","", IF( COUNTIF($AA$3:$AA$1101, V29) + SUMPRODUCT(--ISNUMBER(SEARCH(LOWER(REGEXEXTRACT(TRIM(V29),"^[^@]+")), LOWER(TRIM($AA$3:$AA$1101))))) &gt; 0, "SUDAH BAYAR","BELUM" ))</f>
      </c>
      <c r="Z29" s="30"/>
      <c r="AA29" s="3" t="s">
        <v>63</v>
      </c>
      <c r="AB29" s="3" t="str">
        <v>Mandiri Bill</v>
      </c>
      <c r="AC29" s="3" t="str">
        <v>Payment</v>
      </c>
      <c r="AD29" s="3">
        <v>379000</v>
      </c>
      <c r="AE29" s="3" t="str">
        <v>settlement</v>
      </c>
      <c r="AF29" s="3" t="str">
        <v>e168a7fe-cba5-4723-adda-a39282923a8b</v>
      </c>
      <c r="AG29" s="9">
        <v>46060.675</v>
      </c>
      <c r="AH29" s="94"/>
      <c r="AI29" s="30"/>
      <c r="AJ29" s="88"/>
      <c r="AK29" s="88"/>
      <c r="AL29" s="88"/>
      <c r="AM29" s="88"/>
      <c r="AN29" s="88"/>
      <c r="AO29" s="88"/>
      <c r="AP29" s="88"/>
      <c r="AQ29" s="87"/>
      <c r="AR29" s="90"/>
      <c r="AS29" s="87"/>
      <c r="AT29" s="30">
        <v>27</v>
      </c>
      <c r="AU29" s="30" t="str">
        <v>Muhammad Farid Rizqi</v>
      </c>
      <c r="AV29" s="30" t="str">
        <v>(+62) 82386715387</v>
      </c>
      <c r="AW29" s="30" t="s">
        <v>60</v>
      </c>
      <c r="AX29" s="30" t="str">
        <v>EARLY BIRD MAHASISWA</v>
      </c>
      <c r="AY29" s="30">
        <v>849000</v>
      </c>
      <c r="AZ29" s="30">
        <f>IF(AW29="","", IF(   COUNTIF($S$2:$S$176, AW29) +   SUMPRODUCT(--ISNUMBER(SEARCH(LOWER(REGEXEXTRACT(TRIM(AW29),"^[^@]+")), LOWER(TRIM($BB$2:$BB$86))))) &gt; 0,   "SUDAH BAYAR","BELUM" ))</f>
      </c>
      <c r="BA29" s="87"/>
      <c r="BB29" s="3" t="s">
        <v>62</v>
      </c>
      <c r="BC29" s="14"/>
      <c r="BF29" s="28"/>
      <c r="BG29" s="18"/>
    </row>
    <row r="30">
      <c r="F30" s="30"/>
      <c r="G30" s="30"/>
      <c r="H30" s="30"/>
      <c r="I30" s="30"/>
      <c r="J30" s="30"/>
      <c r="K30" s="30"/>
      <c r="L30" s="30"/>
      <c r="M30" s="30"/>
      <c r="N30" s="30"/>
      <c r="O30" s="30"/>
      <c r="P30" s="30"/>
      <c r="Q30" s="30"/>
      <c r="R30" s="30"/>
      <c r="S30" s="84">
        <v>28</v>
      </c>
      <c r="T30" s="84" t="str">
        <v>Faza Muhammad Faris</v>
      </c>
      <c r="U30" s="84" t="str">
        <v>(+62) 82143857418</v>
      </c>
      <c r="V30" s="84" t="s">
        <v>66</v>
      </c>
      <c r="W30" s="84" t="str">
        <v>PAKET BUNDLING</v>
      </c>
      <c r="X30" s="93">
        <v>379000</v>
      </c>
      <c r="Y30" s="30">
        <f>IF(V30="","", IF( COUNTIF($AA$3:$AA$1101, V30) + SUMPRODUCT(--ISNUMBER(SEARCH(LOWER(REGEXEXTRACT(TRIM(V30),"^[^@]+")), LOWER(TRIM($AA$3:$AA$1101))))) &gt; 0, "SUDAH BAYAR","BELUM" ))</f>
      </c>
      <c r="Z30" s="30"/>
      <c r="AA30" s="3" t="s">
        <v>65</v>
      </c>
      <c r="AB30" s="3" t="str">
        <v>QRIS</v>
      </c>
      <c r="AC30" s="3" t="str">
        <v>Payment</v>
      </c>
      <c r="AD30" s="3">
        <v>299000</v>
      </c>
      <c r="AE30" s="3" t="str">
        <v>settlement</v>
      </c>
      <c r="AF30" s="3" t="str">
        <v>539f3fe5-056c-4111-9397-29d0532788c1</v>
      </c>
      <c r="AG30" s="8" t="str">
        <v>#######</v>
      </c>
      <c r="AH30" s="8"/>
      <c r="AJ30" s="92"/>
      <c r="AK30" s="88"/>
      <c r="AL30" s="88"/>
      <c r="AM30" s="88"/>
      <c r="AN30" s="88"/>
      <c r="AO30" s="88"/>
      <c r="AP30" s="88"/>
      <c r="AQ30" s="87"/>
      <c r="AR30" s="90"/>
      <c r="AS30" s="87"/>
      <c r="AT30" s="30">
        <v>28</v>
      </c>
      <c r="AU30" s="30"/>
      <c r="AV30" s="30"/>
      <c r="AW30" s="30"/>
      <c r="AX30" s="30"/>
      <c r="AY30" s="30"/>
      <c r="AZ30" s="30"/>
      <c r="BA30" s="87"/>
      <c r="BB30" s="3" t="s">
        <v>64</v>
      </c>
      <c r="BC30" s="14"/>
      <c r="BF30" s="28"/>
      <c r="BG30" s="18"/>
    </row>
    <row r="31">
      <c r="F31" s="30"/>
      <c r="G31" s="30"/>
      <c r="H31" s="30"/>
      <c r="I31" s="30"/>
      <c r="J31" s="30"/>
      <c r="K31" s="30"/>
      <c r="L31" s="30"/>
      <c r="M31" s="30"/>
      <c r="N31" s="30"/>
      <c r="O31" s="30"/>
      <c r="P31" s="30"/>
      <c r="Q31" s="30"/>
      <c r="R31" s="30"/>
      <c r="S31" s="84">
        <v>29</v>
      </c>
      <c r="T31" s="84" t="str">
        <v>dimas prasetyo ajie wibowo</v>
      </c>
      <c r="U31" s="84" t="str">
        <v>(+62) 81317705925</v>
      </c>
      <c r="V31" s="84" t="s">
        <v>49</v>
      </c>
      <c r="W31" s="84" t="str">
        <v>ESSENSIAL</v>
      </c>
      <c r="X31" s="93">
        <v>299000</v>
      </c>
      <c r="Y31" s="30">
        <f>IF(V31="","", IF( COUNTIF($AA$3:$AA$1101, V31) + SUMPRODUCT(--ISNUMBER(SEARCH(LOWER(REGEXEXTRACT(TRIM(V31),"^[^@]+")), LOWER(TRIM($AA$3:$AA$1101))))) &gt; 0, "SUDAH BAYAR","BELUM" ))</f>
      </c>
      <c r="Z31" s="30"/>
      <c r="AA31" s="3" t="s">
        <v>51</v>
      </c>
      <c r="AB31" s="3" t="str">
        <v>Bank Transfer</v>
      </c>
      <c r="AC31" s="3" t="str">
        <v>Payment</v>
      </c>
      <c r="AD31" s="3">
        <v>279000</v>
      </c>
      <c r="AE31" s="3" t="str">
        <v>settlement</v>
      </c>
      <c r="AF31" s="3" t="str">
        <v>93b78e39-c672-498f-be2a-63b7338f1d33</v>
      </c>
      <c r="AG31" s="8" t="str">
        <v>#######</v>
      </c>
      <c r="AH31" s="8"/>
      <c r="AJ31" s="88"/>
      <c r="AK31" s="88"/>
      <c r="AL31" s="88"/>
      <c r="AM31" s="88"/>
      <c r="AN31" s="88"/>
      <c r="AO31" s="88"/>
      <c r="AP31" s="88"/>
      <c r="AQ31" s="87"/>
      <c r="AR31" s="90"/>
      <c r="AS31" s="87"/>
      <c r="AT31" s="30">
        <v>29</v>
      </c>
      <c r="AU31" s="30"/>
      <c r="AV31" s="30"/>
      <c r="AW31" s="30"/>
      <c r="AX31" s="30"/>
      <c r="AY31" s="30"/>
      <c r="AZ31" s="30"/>
      <c r="BA31" s="87"/>
      <c r="BB31" s="3" t="s">
        <v>50</v>
      </c>
      <c r="BC31" s="14"/>
      <c r="BF31" s="28"/>
      <c r="BG31" s="18"/>
    </row>
    <row r="32">
      <c r="F32" s="30"/>
      <c r="G32" s="30"/>
      <c r="H32" s="30"/>
      <c r="I32" s="30"/>
      <c r="J32" s="30"/>
      <c r="K32" s="30"/>
      <c r="L32" s="30"/>
      <c r="M32" s="30"/>
      <c r="N32" s="30"/>
      <c r="O32" s="30"/>
      <c r="P32" s="30"/>
      <c r="Q32" s="30"/>
      <c r="R32" s="30"/>
      <c r="S32" s="84">
        <v>30</v>
      </c>
      <c r="T32" s="84" t="str">
        <v>Aliiya danish lathifa</v>
      </c>
      <c r="U32" s="84" t="str">
        <v>(+62) 88809427418</v>
      </c>
      <c r="V32" s="84" t="s">
        <v>56</v>
      </c>
      <c r="W32" s="84" t="str">
        <v>ESSENSIAL</v>
      </c>
      <c r="X32" s="93">
        <v>299000</v>
      </c>
      <c r="Y32" s="30">
        <f>IF(V32="","", IF( COUNTIF($AA$3:$AA$1101, V32) + SUMPRODUCT(--ISNUMBER(SEARCH(LOWER(REGEXEXTRACT(TRIM(V32),"^[^@]+")), LOWER(TRIM($AA$3:$AA$1101))))) &gt; 0, "SUDAH BAYAR","BELUM" ))</f>
      </c>
      <c r="Z32" s="30"/>
      <c r="AA32" s="3" t="s">
        <v>55</v>
      </c>
      <c r="AB32" s="3" t="str">
        <v>GO-PAY</v>
      </c>
      <c r="AC32" s="3" t="str">
        <v>Payment</v>
      </c>
      <c r="AD32" s="3">
        <v>279000</v>
      </c>
      <c r="AE32" s="3" t="str">
        <v>settlement</v>
      </c>
      <c r="AF32" s="3" t="str">
        <v>a2923c26-2f7e-4d6c-9c82-8cce57052f8e</v>
      </c>
      <c r="AG32" s="8" t="str">
        <v>#######</v>
      </c>
      <c r="AH32" s="8"/>
      <c r="AJ32" s="88"/>
      <c r="AK32" s="88"/>
      <c r="AL32" s="88"/>
      <c r="AM32" s="88"/>
      <c r="AN32" s="88"/>
      <c r="AO32" s="88"/>
      <c r="AP32" s="88"/>
      <c r="AQ32" s="87"/>
      <c r="AR32" s="90"/>
      <c r="AS32" s="87"/>
      <c r="AT32" s="30">
        <v>30</v>
      </c>
      <c r="AU32" s="30" t="str">
        <v>Brandon Lim Santosa</v>
      </c>
      <c r="AV32" s="30" t="str">
        <v>(+62) 81285257776</v>
      </c>
      <c r="AW32" s="30" t="s">
        <v>54</v>
      </c>
      <c r="AX32" s="30" t="str">
        <v>EARLY BIRD MAHASISWA</v>
      </c>
      <c r="AY32" s="30">
        <v>849000</v>
      </c>
      <c r="AZ32" s="30">
        <f>IF(AW32="","", IF(   COUNTIF($S$2:$S$176, AW32) +   SUMPRODUCT(--ISNUMBER(SEARCH(LOWER(REGEXEXTRACT(TRIM(AW32),"^[^@]+")), LOWER(TRIM($BB$2:$BB$86))))) &gt; 0,   "SUDAH BAYAR","BELUM" ))</f>
      </c>
      <c r="BA32" s="87"/>
      <c r="BB32" s="3" t="s">
        <v>57</v>
      </c>
      <c r="BC32" s="14"/>
      <c r="BF32" s="28"/>
      <c r="BG32" s="18"/>
    </row>
    <row customHeight="true" ht="20" r="33">
      <c r="F33" s="30"/>
      <c r="G33" s="30"/>
      <c r="H33" s="30"/>
      <c r="I33" s="30"/>
      <c r="J33" s="30"/>
      <c r="K33" s="30"/>
      <c r="L33" s="30"/>
      <c r="M33" s="30"/>
      <c r="N33" s="30"/>
      <c r="O33" s="30"/>
      <c r="P33" s="30"/>
      <c r="Q33" s="30"/>
      <c r="R33" s="30"/>
      <c r="S33" s="84">
        <v>31</v>
      </c>
      <c r="T33" s="84" t="str">
        <v>Resy Meilani</v>
      </c>
      <c r="U33" s="84" t="str">
        <v>(+62) 83843548525</v>
      </c>
      <c r="V33" s="84" t="s">
        <v>119</v>
      </c>
      <c r="W33" s="84" t="str">
        <v>PAKET BUNDLING</v>
      </c>
      <c r="X33" s="93">
        <v>379000</v>
      </c>
      <c r="Y33" s="30">
        <f>IF(V33="","", IF( COUNTIF($AA$3:$AA$1101, V33) + SUMPRODUCT(--ISNUMBER(SEARCH(LOWER(REGEXEXTRACT(TRIM(V33),"^[^@]+")), LOWER(TRIM($AA$3:$AA$1101))))) &gt; 0, "SUDAH BAYAR","BELUM" ))</f>
      </c>
      <c r="Z33" s="30"/>
      <c r="AA33" s="3" t="s">
        <v>117</v>
      </c>
      <c r="AB33" s="3" t="str">
        <v>QRIS</v>
      </c>
      <c r="AC33" s="3" t="str">
        <v>Payment</v>
      </c>
      <c r="AD33" s="3">
        <v>299000</v>
      </c>
      <c r="AE33" s="3" t="str">
        <v>settlement</v>
      </c>
      <c r="AF33" s="3" t="str">
        <v>09727ae6-7b1c-4eee-8bca-aa589d192691</v>
      </c>
      <c r="AG33" s="8" t="str">
        <v>#######</v>
      </c>
      <c r="AH33" s="8"/>
      <c r="AJ33" s="92"/>
      <c r="AK33" s="88"/>
      <c r="AL33" s="88"/>
      <c r="AM33" s="88"/>
      <c r="AN33" s="88"/>
      <c r="AO33" s="88"/>
      <c r="AP33" s="88"/>
      <c r="AQ33" s="87"/>
      <c r="AR33" s="90"/>
      <c r="AS33" s="87"/>
      <c r="AT33" s="30">
        <v>31</v>
      </c>
      <c r="AU33" s="30" t="str">
        <v>Zahran Sofya Falahuddin</v>
      </c>
      <c r="AV33" s="30" t="str">
        <v>(+62) 8118748410</v>
      </c>
      <c r="AW33" s="30" t="s">
        <v>118</v>
      </c>
      <c r="AX33" s="30" t="str">
        <v>EARLY BIRD MAHASISWA</v>
      </c>
      <c r="AY33" s="30">
        <v>849000</v>
      </c>
      <c r="AZ33" s="30">
        <f>IF(AW33="","", IF(   COUNTIF($S$2:$S$176, AW33) +   SUMPRODUCT(--ISNUMBER(SEARCH(LOWER(REGEXEXTRACT(TRIM(AW33),"^[^@]+")), LOWER(TRIM($BB$2:$BB$86))))) &gt; 0,   "SUDAH BAYAR","BELUM" ))</f>
      </c>
      <c r="BA33" s="87"/>
      <c r="BB33" s="3" t="s">
        <v>120</v>
      </c>
      <c r="BC33" s="14"/>
      <c r="BF33" s="28"/>
      <c r="BG33" s="18"/>
    </row>
    <row r="34">
      <c r="F34" s="30"/>
      <c r="G34" s="30"/>
      <c r="H34" s="30"/>
      <c r="I34" s="30"/>
      <c r="J34" s="30"/>
      <c r="K34" s="30"/>
      <c r="L34" s="30"/>
      <c r="M34" s="30"/>
      <c r="N34" s="30"/>
      <c r="O34" s="30"/>
      <c r="P34" s="30"/>
      <c r="Q34" s="30"/>
      <c r="R34" s="30"/>
      <c r="S34" s="84">
        <v>32</v>
      </c>
      <c r="T34" s="84" t="str">
        <v>Jochie Phu Elkana Asia Sihite</v>
      </c>
      <c r="U34" s="84" t="str">
        <v>(+62) 85836064681</v>
      </c>
      <c r="V34" s="84" t="s">
        <v>78</v>
      </c>
      <c r="W34" s="84" t="str">
        <v>ESSENSIAL</v>
      </c>
      <c r="X34" s="93">
        <v>299000</v>
      </c>
      <c r="Y34" s="30">
        <f>IF(V34="","", IF( COUNTIF($AA$3:$AA$1101, V34) + SUMPRODUCT(--ISNUMBER(SEARCH(LOWER(REGEXEXTRACT(TRIM(V34),"^[^@]+")), LOWER(TRIM($AA$3:$AA$1101))))) &gt; 0, "SUDAH BAYAR","BELUM" ))</f>
      </c>
      <c r="Z34" s="30"/>
      <c r="AA34" s="3" t="s">
        <v>123</v>
      </c>
      <c r="AB34" s="3" t="str">
        <v>QRIS</v>
      </c>
      <c r="AC34" s="3" t="str">
        <v>Payment</v>
      </c>
      <c r="AD34" s="3">
        <v>279000</v>
      </c>
      <c r="AE34" s="3" t="str">
        <v>settlement</v>
      </c>
      <c r="AF34" s="3" t="str">
        <v>c0652824-cc36-48a6-b3d5-9ac515177aa4</v>
      </c>
      <c r="AG34" s="8" t="str">
        <v>#######</v>
      </c>
      <c r="AH34" s="8"/>
      <c r="AJ34" s="88"/>
      <c r="AK34" s="88"/>
      <c r="AL34" s="88"/>
      <c r="AM34" s="88"/>
      <c r="AN34" s="88"/>
      <c r="AO34" s="88"/>
      <c r="AP34" s="88"/>
      <c r="AQ34" s="87"/>
      <c r="AR34" s="90"/>
      <c r="AS34" s="87"/>
      <c r="AT34" s="30">
        <v>32</v>
      </c>
      <c r="AU34" s="30" t="str">
        <v>Ray Gerraldo S. Tambunan</v>
      </c>
      <c r="AV34" s="30" t="str">
        <v>(+62) 87778681438</v>
      </c>
      <c r="AW34" s="30" t="s">
        <v>124</v>
      </c>
      <c r="AX34" s="30" t="str">
        <v>EARLY BIRD MAHASISWA</v>
      </c>
      <c r="AY34" s="30">
        <v>849000</v>
      </c>
      <c r="AZ34" s="30">
        <f>IF(AW34="","", IF(   COUNTIF($S$2:$S$176, AW34) +   SUMPRODUCT(--ISNUMBER(SEARCH(LOWER(REGEXEXTRACT(TRIM(AW34),"^[^@]+")), LOWER(TRIM($BB$2:$BB$86))))) &gt; 0,   "SUDAH BAYAR","BELUM" ))</f>
      </c>
      <c r="BA34" s="87"/>
      <c r="BB34" s="3" t="s">
        <v>122</v>
      </c>
      <c r="BC34" s="14"/>
      <c r="BF34" s="28"/>
      <c r="BG34" s="18"/>
    </row>
    <row r="35">
      <c r="F35" s="30"/>
      <c r="G35" s="30"/>
      <c r="H35" s="30"/>
      <c r="I35" s="30"/>
      <c r="J35" s="30"/>
      <c r="K35" s="30"/>
      <c r="L35" s="30"/>
      <c r="M35" s="30"/>
      <c r="N35" s="30"/>
      <c r="O35" s="30"/>
      <c r="P35" s="30"/>
      <c r="Q35" s="30"/>
      <c r="R35" s="30"/>
      <c r="S35" s="84">
        <v>33</v>
      </c>
      <c r="T35" s="84" t="str">
        <v>Farouq Matondang</v>
      </c>
      <c r="U35" s="84" t="str">
        <v>(+62) 81396764522</v>
      </c>
      <c r="V35" s="84" t="s">
        <v>83</v>
      </c>
      <c r="W35" s="84" t="str">
        <v>PAKET BUNDLING</v>
      </c>
      <c r="X35" s="93">
        <v>379000</v>
      </c>
      <c r="Y35" s="30">
        <f>IF(V35="","", IF( COUNTIF($AA$3:$AA$1101, V35) + SUMPRODUCT(--ISNUMBER(SEARCH(LOWER(REGEXEXTRACT(TRIM(V35),"^[^@]+")), LOWER(TRIM($AA$3:$AA$1101))))) &gt; 0, "SUDAH BAYAR","BELUM" ))</f>
      </c>
      <c r="Z35" s="30"/>
      <c r="AA35" s="3" t="s">
        <v>110</v>
      </c>
      <c r="AB35" s="3" t="str">
        <v>Bank Transfer</v>
      </c>
      <c r="AC35" s="3" t="str">
        <v>Payment</v>
      </c>
      <c r="AD35" s="3">
        <v>359000</v>
      </c>
      <c r="AE35" s="3" t="str">
        <v>settlement</v>
      </c>
      <c r="AF35" s="3" t="str">
        <v>03d67a1b-7813-4670-a00f-bc06f5488ae6</v>
      </c>
      <c r="AG35" s="8" t="str">
        <v>#######</v>
      </c>
      <c r="AH35" s="8"/>
      <c r="AJ35" s="125"/>
      <c r="AK35" s="125"/>
      <c r="AL35" s="125"/>
      <c r="AM35" s="125"/>
      <c r="AN35" s="125"/>
      <c r="AO35" s="125"/>
      <c r="AP35" s="88"/>
      <c r="AQ35" s="87"/>
      <c r="AR35" s="90"/>
      <c r="AS35" s="87"/>
      <c r="AT35" s="30">
        <v>33</v>
      </c>
      <c r="AU35" s="30" t="str">
        <v>Rizka Anastasya Nur Islam</v>
      </c>
      <c r="AV35" s="30" t="str">
        <v>(+62) 82121706619</v>
      </c>
      <c r="AW35" s="30" t="s">
        <v>108</v>
      </c>
      <c r="AX35" s="30" t="str">
        <v>EARLY BIRD UMUM</v>
      </c>
      <c r="AY35" s="30">
        <v>1099000</v>
      </c>
      <c r="AZ35" s="30">
        <f>IF(AW35="","", IF(   COUNTIF($S$2:$S$176, AW35) +   SUMPRODUCT(--ISNUMBER(SEARCH(LOWER(REGEXEXTRACT(TRIM(AW35),"^[^@]+")), LOWER(TRIM($BB$2:$BB$86))))) &gt; 0,   "SUDAH BAYAR","BELUM" ))</f>
      </c>
      <c r="BA35" s="87"/>
      <c r="BB35" s="3" t="s">
        <v>109</v>
      </c>
      <c r="BC35" s="14"/>
      <c r="BF35" s="28"/>
      <c r="BG35" s="18"/>
    </row>
    <row r="36">
      <c r="F36" s="30"/>
      <c r="G36" s="30"/>
      <c r="H36" s="30"/>
      <c r="I36" s="30"/>
      <c r="J36" s="30"/>
      <c r="K36" s="30"/>
      <c r="L36" s="30"/>
      <c r="M36" s="30"/>
      <c r="N36" s="30"/>
      <c r="O36" s="30"/>
      <c r="P36" s="30"/>
      <c r="Q36" s="30"/>
      <c r="R36" s="30"/>
      <c r="S36" s="84">
        <v>34</v>
      </c>
      <c r="T36" s="84" t="str">
        <v>Ida Bagus Made Khrisna Dharma Laksana</v>
      </c>
      <c r="U36" s="84" t="str">
        <v>(+62) 81139619881</v>
      </c>
      <c r="V36" s="84" t="s">
        <v>80</v>
      </c>
      <c r="W36" s="84" t="str">
        <v>ESSENSIAL</v>
      </c>
      <c r="X36" s="93">
        <v>299000</v>
      </c>
      <c r="Y36" s="30">
        <f>IF(V36="","", IF( COUNTIF($AA$3:$AA$1101, V36) + SUMPRODUCT(--ISNUMBER(SEARCH(LOWER(REGEXEXTRACT(TRIM(V36),"^[^@]+")), LOWER(TRIM($AA$3:$AA$1101))))) &gt; 0, "SUDAH BAYAR","BELUM" ))</f>
      </c>
      <c r="Z36" s="30"/>
      <c r="AA36" s="3" t="s">
        <v>114</v>
      </c>
      <c r="AB36" s="3" t="str">
        <v>Bank Transfer</v>
      </c>
      <c r="AC36" s="3" t="str">
        <v>Payment</v>
      </c>
      <c r="AD36" s="3">
        <v>299000</v>
      </c>
      <c r="AE36" s="3" t="str">
        <v>settlement</v>
      </c>
      <c r="AF36" s="3" t="str">
        <v>9b2b5dfa-2d5a-4d87-8328-45563ed84cb5</v>
      </c>
      <c r="AG36" s="8" t="str">
        <v>#######</v>
      </c>
      <c r="AH36" s="8"/>
      <c r="AJ36" s="88"/>
      <c r="AK36" s="118"/>
      <c r="AL36" s="118"/>
      <c r="AM36" s="118"/>
      <c r="AN36" s="118"/>
      <c r="AO36" s="117"/>
      <c r="AP36" s="123"/>
      <c r="AQ36" s="87"/>
      <c r="AR36" s="90"/>
      <c r="AS36" s="87"/>
      <c r="AT36" s="30">
        <v>34</v>
      </c>
      <c r="AU36" s="30" t="str">
        <v>Reza Dwi Pranata</v>
      </c>
      <c r="AV36" s="30" t="str">
        <v>(+62) 82123086664</v>
      </c>
      <c r="AW36" s="30" t="s">
        <v>112</v>
      </c>
      <c r="AX36" s="30" t="str">
        <v>EARLY BIRD MAHASISWA</v>
      </c>
      <c r="AY36" s="30">
        <v>849000</v>
      </c>
      <c r="AZ36" s="30">
        <f>IF(AW36="","", IF(   COUNTIF($S$2:$S$176, AW36) +   SUMPRODUCT(--ISNUMBER(SEARCH(LOWER(REGEXEXTRACT(TRIM(AW36),"^[^@]+")), LOWER(TRIM($BB$2:$BB$86))))) &gt; 0,   "SUDAH BAYAR","BELUM" ))</f>
      </c>
      <c r="BA36" s="87"/>
      <c r="BB36" s="3" t="s">
        <v>113</v>
      </c>
      <c r="BC36" s="14"/>
      <c r="BF36" s="28"/>
      <c r="BG36" s="18"/>
    </row>
    <row r="37">
      <c r="F37" s="30"/>
      <c r="G37" s="30"/>
      <c r="H37" s="30"/>
      <c r="I37" s="30"/>
      <c r="J37" s="30"/>
      <c r="K37" s="30"/>
      <c r="L37" s="30"/>
      <c r="M37" s="30"/>
      <c r="N37" s="30"/>
      <c r="O37" s="30"/>
      <c r="P37" s="30"/>
      <c r="Q37" s="30"/>
      <c r="R37" s="30"/>
      <c r="S37" s="84">
        <v>35</v>
      </c>
      <c r="T37" s="84" t="str">
        <v>Christina</v>
      </c>
      <c r="U37" s="84" t="str">
        <v>(+62) 82131172407</v>
      </c>
      <c r="V37" s="84" t="s">
        <v>100</v>
      </c>
      <c r="W37" s="84" t="str">
        <v>ESSENSIAL</v>
      </c>
      <c r="X37" s="93">
        <v>299000</v>
      </c>
      <c r="Y37" s="30">
        <f>IF(V37="","", IF( COUNTIF($AA$3:$AA$1101, V37) + SUMPRODUCT(--ISNUMBER(SEARCH(LOWER(REGEXEXTRACT(TRIM(V37),"^[^@]+")), LOWER(TRIM($AA$3:$AA$1101))))) &gt; 0, "SUDAH BAYAR","BELUM" ))</f>
      </c>
      <c r="Z37" s="30"/>
      <c r="AA37" s="3" t="s">
        <v>98</v>
      </c>
      <c r="AB37" s="3" t="str">
        <v>GO-PAY</v>
      </c>
      <c r="AC37" s="3" t="str">
        <v>Payment</v>
      </c>
      <c r="AD37" s="3">
        <v>359000</v>
      </c>
      <c r="AE37" s="3" t="str">
        <v>settlement</v>
      </c>
      <c r="AF37" s="3" t="str">
        <v>f356f9de-c695-4e1c-974f-291a53cf3620</v>
      </c>
      <c r="AG37" s="8" t="str">
        <v>2026-02-16 16:39:33+07:00</v>
      </c>
      <c r="AH37" s="3"/>
      <c r="AI37" s="30"/>
      <c r="AJ37" s="88"/>
      <c r="AK37" s="118"/>
      <c r="AL37" s="118"/>
      <c r="AM37" s="118"/>
      <c r="AN37" s="118"/>
      <c r="AO37" s="117"/>
      <c r="AP37" s="123"/>
      <c r="AQ37" s="87"/>
      <c r="AR37" s="90"/>
      <c r="AS37" s="87"/>
      <c r="AT37" s="30">
        <v>35</v>
      </c>
      <c r="AU37" s="30" t="str">
        <v>Reva Aulia</v>
      </c>
      <c r="AV37" s="30" t="str">
        <v>(+62) 85771244981</v>
      </c>
      <c r="AW37" s="30" t="s">
        <v>97</v>
      </c>
      <c r="AX37" s="30" t="str">
        <v>EARLY BIRD MAHASISWA</v>
      </c>
      <c r="AY37" s="30">
        <v>849000</v>
      </c>
      <c r="AZ37" s="30">
        <f>IF(AW37="","", IF(   COUNTIF($S$2:$S$176, AW37) +   SUMPRODUCT(--ISNUMBER(SEARCH(LOWER(REGEXEXTRACT(TRIM(AW37),"^[^@]+")), LOWER(TRIM($BB$2:$BB$86))))) &gt; 0,   "SUDAH BAYAR","BELUM" ))</f>
      </c>
      <c r="BA37" s="87"/>
      <c r="BB37" s="3" t="s">
        <v>99</v>
      </c>
      <c r="BC37" s="14"/>
      <c r="BF37" s="28"/>
      <c r="BG37" s="18"/>
    </row>
    <row r="38">
      <c r="F38" s="30"/>
      <c r="G38" s="30"/>
      <c r="H38" s="30"/>
      <c r="I38" s="30"/>
      <c r="J38" s="30"/>
      <c r="K38" s="30"/>
      <c r="L38" s="30"/>
      <c r="M38" s="30"/>
      <c r="N38" s="30"/>
      <c r="O38" s="30"/>
      <c r="P38" s="30"/>
      <c r="Q38" s="30"/>
      <c r="R38" s="30"/>
      <c r="S38" s="119">
        <v>36</v>
      </c>
      <c r="T38" s="84" t="str">
        <v>Faby Yudha Santoso</v>
      </c>
      <c r="U38" s="84" t="str">
        <v>(+62) 895364909032</v>
      </c>
      <c r="V38" s="84" t="s">
        <v>105</v>
      </c>
      <c r="W38" s="84" t="str">
        <v>PROMO OPENING RUSH</v>
      </c>
      <c r="X38" s="93">
        <v>249000</v>
      </c>
      <c r="Y38" s="30">
        <f>IF(V38="","", IF( COUNTIF($AA$3:$AA$1101, V38) + SUMPRODUCT(--ISNUMBER(SEARCH(LOWER(REGEXEXTRACT(TRIM(V38),"^[^@]+")), LOWER(TRIM($AA$3:$AA$1101))))) &gt; 0, "SUDAH BAYAR","BELUM" ))</f>
      </c>
      <c r="Z38" s="30"/>
      <c r="AA38" s="3" t="s">
        <v>103</v>
      </c>
      <c r="AB38" s="3" t="str">
        <v>Bank Transfer</v>
      </c>
      <c r="AC38" s="3" t="str">
        <v>Payment</v>
      </c>
      <c r="AD38" s="3">
        <v>379000</v>
      </c>
      <c r="AE38" s="3" t="str">
        <v>settlement</v>
      </c>
      <c r="AF38" s="3" t="str">
        <v>9faf0d79-16e2-48aa-b2e8-6e464224244b</v>
      </c>
      <c r="AG38" s="8" t="str">
        <v>2026-02-16 17:43:14+07:00</v>
      </c>
      <c r="AH38" s="3"/>
      <c r="AI38" s="30"/>
      <c r="AJ38" s="125"/>
      <c r="AK38" s="126"/>
      <c r="AL38" s="126"/>
      <c r="AM38" s="126"/>
      <c r="AN38" s="126"/>
      <c r="AO38" s="124"/>
      <c r="AP38" s="127"/>
      <c r="AQ38" s="87"/>
      <c r="AR38" s="90"/>
      <c r="AS38" s="87"/>
      <c r="AT38" s="30">
        <v>36</v>
      </c>
      <c r="AU38" s="30" t="str">
        <v>Al Ikhlas</v>
      </c>
      <c r="AV38" s="30" t="str">
        <v>(+62) 81347510631</v>
      </c>
      <c r="AW38" s="30" t="s">
        <v>102</v>
      </c>
      <c r="AX38" s="30" t="str">
        <v>EARLY BIRD UMUM</v>
      </c>
      <c r="AY38" s="30">
        <v>1099000</v>
      </c>
      <c r="AZ38" s="30">
        <f>IF(AW38="","", IF(   COUNTIF($S$2:$S$176, AW38) +   SUMPRODUCT(--ISNUMBER(SEARCH(LOWER(REGEXEXTRACT(TRIM(AW38),"^[^@]+")), LOWER(TRIM($BB$2:$BB$86))))) &gt; 0,   "SUDAH BAYAR","BELUM" ))</f>
      </c>
      <c r="BA38" s="87"/>
      <c r="BB38" s="3" t="s">
        <v>104</v>
      </c>
      <c r="BC38" s="14"/>
      <c r="BF38" s="28"/>
      <c r="BG38" s="18"/>
    </row>
    <row r="39">
      <c r="F39" s="30"/>
      <c r="G39" s="30"/>
      <c r="H39" s="30"/>
      <c r="I39" s="30"/>
      <c r="J39" s="30"/>
      <c r="K39" s="30"/>
      <c r="L39" s="30"/>
      <c r="M39" s="30"/>
      <c r="N39" s="30"/>
      <c r="O39" s="30"/>
      <c r="P39" s="30"/>
      <c r="Q39" s="30"/>
      <c r="R39" s="30"/>
      <c r="S39" s="119">
        <v>37</v>
      </c>
      <c r="T39" s="84" t="str">
        <v>Muhammad Salman Wilmart</v>
      </c>
      <c r="U39" s="84" t="str">
        <v>(+62) 87781964960</v>
      </c>
      <c r="V39" s="84" t="s">
        <v>87</v>
      </c>
      <c r="W39" s="84" t="str">
        <v>PROMO OPENING RUSH</v>
      </c>
      <c r="X39" s="93">
        <v>249000</v>
      </c>
      <c r="Y39" s="30">
        <f>IF(V39="","", IF( COUNTIF($AA$3:$AA$1101, V39) + SUMPRODUCT(--ISNUMBER(SEARCH(LOWER(REGEXEXTRACT(TRIM(V39),"^[^@]+")), LOWER(TRIM($AA$3:$AA$1101))))) &gt; 0, "SUDAH BAYAR","BELUM" ))</f>
      </c>
      <c r="Z39" s="30"/>
      <c r="AA39" s="3" t="s">
        <v>89</v>
      </c>
      <c r="AB39" s="3" t="str">
        <v>Bank Transfer</v>
      </c>
      <c r="AC39" s="3" t="str">
        <v>Payment</v>
      </c>
      <c r="AD39" s="3">
        <v>279000</v>
      </c>
      <c r="AE39" s="3" t="str">
        <v>settlement</v>
      </c>
      <c r="AF39" s="3" t="str">
        <v>9bd50ae7-e392-4dfb-8f06-11f1624ee569</v>
      </c>
      <c r="AG39" s="3" t="str">
        <v>2026-02-16 23:18:10+07:00</v>
      </c>
      <c r="AH39" s="3"/>
      <c r="AI39" s="30"/>
      <c r="AJ39" s="88"/>
      <c r="AK39" s="118"/>
      <c r="AL39" s="118"/>
      <c r="AM39" s="118"/>
      <c r="AN39" s="118"/>
      <c r="AO39" s="117"/>
      <c r="AP39" s="88"/>
      <c r="AQ39" s="87"/>
      <c r="AR39" s="94"/>
      <c r="AS39" s="87"/>
      <c r="AT39" s="30">
        <v>37</v>
      </c>
      <c r="AU39" s="30" t="str">
        <v>Muhammad Syarifuddin Nur Ramadhoni</v>
      </c>
      <c r="AV39" s="30" t="str">
        <v>(+62) 82229325633</v>
      </c>
      <c r="AW39" s="30" t="s">
        <v>86</v>
      </c>
      <c r="AX39" s="30" t="str">
        <v>EARLY BIRD MAHASISWA</v>
      </c>
      <c r="AY39" s="30">
        <v>849000</v>
      </c>
      <c r="AZ39" s="30">
        <f>IF(AW39="","", IF(   COUNTIF($S$2:$S$176, AW39) +   SUMPRODUCT(--ISNUMBER(SEARCH(LOWER(REGEXEXTRACT(TRIM(AW39),"^[^@]+")), LOWER(TRIM($BB$2:$BB$86))))) &gt; 0,   "SUDAH BAYAR","BELUM" ))</f>
      </c>
      <c r="BA39" s="87"/>
      <c r="BB39" s="3" t="s">
        <v>88</v>
      </c>
      <c r="BC39" s="14"/>
      <c r="BF39" s="28"/>
      <c r="BG39" s="18"/>
    </row>
    <row r="40">
      <c r="F40" s="30"/>
      <c r="G40" s="30"/>
      <c r="H40" s="30"/>
      <c r="I40" s="30"/>
      <c r="J40" s="30"/>
      <c r="K40" s="30"/>
      <c r="L40" s="30"/>
      <c r="M40" s="30"/>
      <c r="N40" s="30"/>
      <c r="O40" s="30"/>
      <c r="P40" s="30"/>
      <c r="Q40" s="30"/>
      <c r="R40" s="30"/>
      <c r="S40" s="119">
        <v>38</v>
      </c>
      <c r="T40" s="84" t="str">
        <v>Nasywa Azizah</v>
      </c>
      <c r="U40" s="84" t="str">
        <v>(+62) 881025593539</v>
      </c>
      <c r="V40" s="84" t="s">
        <v>92</v>
      </c>
      <c r="W40" s="84" t="str">
        <v>PAKET BUNDLING</v>
      </c>
      <c r="X40" s="93">
        <v>359000</v>
      </c>
      <c r="Y40" s="30">
        <f>IF(V40="","", IF( COUNTIF($AA$3:$AA$1101, V40) + SUMPRODUCT(--ISNUMBER(SEARCH(LOWER(REGEXEXTRACT(TRIM(V40),"^[^@]+")), LOWER(TRIM($AA$3:$AA$1101))))) &gt; 0, "SUDAH BAYAR","BELUM" ))</f>
      </c>
      <c r="Z40" s="30"/>
      <c r="AA40" s="3" t="s">
        <v>94</v>
      </c>
      <c r="AB40" s="3" t="str">
        <v>QRIS</v>
      </c>
      <c r="AC40" s="3" t="str">
        <v>Payment</v>
      </c>
      <c r="AD40" s="3">
        <v>379000</v>
      </c>
      <c r="AE40" s="3" t="str">
        <v>settlement</v>
      </c>
      <c r="AF40" s="3" t="str">
        <v>ff200fb6-ce1b-4165-8f44-e4d1617c2173</v>
      </c>
      <c r="AG40" s="3" t="str">
        <v>2026-02-17 20:46:23+07:00</v>
      </c>
      <c r="AH40" s="3"/>
      <c r="AI40" s="30"/>
      <c r="AJ40" s="88"/>
      <c r="AK40" s="121"/>
      <c r="AL40" s="122"/>
      <c r="AM40" s="88"/>
      <c r="AN40" s="88"/>
      <c r="AO40" s="117"/>
      <c r="AP40" s="88"/>
      <c r="AQ40" s="87"/>
      <c r="AR40" s="94"/>
      <c r="AS40" s="87"/>
      <c r="AT40" s="30">
        <v>38</v>
      </c>
      <c r="AU40" s="30" t="str">
        <v>Alfian Rizky Ramadhan</v>
      </c>
      <c r="AV40" s="30" t="str">
        <v>(+62) 82154163290</v>
      </c>
      <c r="AW40" s="30" t="s">
        <v>91</v>
      </c>
      <c r="AX40" s="30" t="str">
        <v>EARLY BIRD UMUM</v>
      </c>
      <c r="AY40" s="30">
        <v>1099000</v>
      </c>
      <c r="AZ40" s="30">
        <f>IF(AW40="","", IF(   COUNTIF($S$2:$S$176, AW40) +   SUMPRODUCT(--ISNUMBER(SEARCH(LOWER(REGEXEXTRACT(TRIM(AW40),"^[^@]+")), LOWER(TRIM($BB$2:$BB$86))))) &gt; 0,   "SUDAH BAYAR","BELUM" ))</f>
      </c>
      <c r="BA40" s="87"/>
      <c r="BB40" s="3" t="s">
        <v>93</v>
      </c>
      <c r="BC40" s="14"/>
      <c r="BF40" s="28"/>
      <c r="BG40" s="18"/>
    </row>
    <row r="41">
      <c r="F41" s="30"/>
      <c r="G41" s="30"/>
      <c r="H41" s="30"/>
      <c r="I41" s="30"/>
      <c r="J41" s="30"/>
      <c r="K41" s="30"/>
      <c r="L41" s="30"/>
      <c r="M41" s="30"/>
      <c r="N41" s="30"/>
      <c r="O41" s="30"/>
      <c r="P41" s="30"/>
      <c r="Q41" s="30"/>
      <c r="R41" s="30"/>
      <c r="S41" s="119">
        <v>39</v>
      </c>
      <c r="T41" s="84" t="str">
        <v>Fataya Tasya Donita</v>
      </c>
      <c r="U41" s="84" t="str">
        <v>(+62) 8811509353</v>
      </c>
      <c r="V41" s="84" t="s">
        <v>161</v>
      </c>
      <c r="W41" s="84" t="str">
        <v>PROMO OPENING RUSH</v>
      </c>
      <c r="X41" s="93">
        <v>249000</v>
      </c>
      <c r="Y41" s="30">
        <f>IF(V41="","", IF( COUNTIF($AA$3:$AA$1101, V41) + SUMPRODUCT(--ISNUMBER(SEARCH(LOWER(REGEXEXTRACT(TRIM(V41),"^[^@]+")), LOWER(TRIM($AA$3:$AA$1101))))) &gt; 0, "SUDAH BAYAR","BELUM" ))</f>
      </c>
      <c r="Z41" s="30"/>
      <c r="AA41" s="3" t="s">
        <v>163</v>
      </c>
      <c r="AB41" s="3" t="str">
        <v>QRIS</v>
      </c>
      <c r="AC41" s="3" t="str">
        <v>Payment</v>
      </c>
      <c r="AD41" s="3">
        <v>299000</v>
      </c>
      <c r="AE41" s="3" t="str">
        <v>settlement</v>
      </c>
      <c r="AF41" s="3" t="str">
        <v>be0f06f4-92ee-4f4e-9a48-eb92949868ae</v>
      </c>
      <c r="AG41" s="3" t="str">
        <v>2026-02-17 21:40:03+07:00</v>
      </c>
      <c r="AH41" s="3"/>
      <c r="AI41" s="30"/>
      <c r="AJ41" s="92"/>
      <c r="AK41" s="17"/>
      <c r="AL41" s="95"/>
      <c r="AM41" s="30"/>
      <c r="AN41" s="30"/>
      <c r="AO41" s="6"/>
      <c r="AP41" s="30"/>
      <c r="AQ41" s="87"/>
      <c r="AR41" s="94"/>
      <c r="AS41" s="87"/>
      <c r="AT41" s="30">
        <v>39</v>
      </c>
      <c r="AU41" s="30" t="str">
        <v>Romanna Friska Pricilia Manurung</v>
      </c>
      <c r="AV41" s="30" t="str">
        <v>(+62) 82187617402</v>
      </c>
      <c r="AW41" s="30" t="s">
        <v>162</v>
      </c>
      <c r="AX41" s="30" t="str">
        <v>EARLY BIRD MAHASISWA</v>
      </c>
      <c r="AY41" s="30">
        <v>849000</v>
      </c>
      <c r="AZ41" s="30">
        <f>IF(AW41="","", IF(   COUNTIF($S$2:$S$176, AW41) +   SUMPRODUCT(--ISNUMBER(SEARCH(LOWER(REGEXEXTRACT(TRIM(AW41),"^[^@]+")), LOWER(TRIM($BB$2:$BB$86))))) &gt; 0,   "SUDAH BAYAR","BELUM" ))</f>
      </c>
      <c r="BB41" s="3" t="s">
        <v>164</v>
      </c>
      <c r="BC41" s="14"/>
      <c r="BF41" s="28"/>
      <c r="BG41" s="18"/>
    </row>
    <row r="42">
      <c r="F42" s="30"/>
      <c r="G42" s="30"/>
      <c r="H42" s="30"/>
      <c r="I42" s="30"/>
      <c r="J42" s="30"/>
      <c r="K42" s="30"/>
      <c r="L42" s="30"/>
      <c r="M42" s="30"/>
      <c r="N42" s="30"/>
      <c r="O42" s="30"/>
      <c r="P42" s="30"/>
      <c r="Q42" s="30"/>
      <c r="R42" s="30"/>
      <c r="S42" s="84">
        <v>40</v>
      </c>
      <c r="T42" s="84" t="str">
        <v>Mutiara Debora Saragi</v>
      </c>
      <c r="U42" s="84" t="str">
        <v>(+62) 89526101900</v>
      </c>
      <c r="V42" s="84" t="s">
        <v>169</v>
      </c>
      <c r="W42" s="93" t="str">
        <v>PAKET BUNDLING</v>
      </c>
      <c r="X42" s="93">
        <v>379000</v>
      </c>
      <c r="Y42" s="30">
        <f>IF(V42="","", IF( COUNTIF($AA$3:$AA$1101, V42) + SUMPRODUCT(--ISNUMBER(SEARCH(LOWER(REGEXEXTRACT(TRIM(V42),"^[^@]+")), LOWER(TRIM($AA$3:$AA$1101))))) &gt; 0, "SUDAH BAYAR","BELUM" ))</f>
      </c>
      <c r="Z42" s="30"/>
      <c r="AA42" s="3" t="s">
        <v>167</v>
      </c>
      <c r="AB42" s="3" t="str">
        <v>QRIS</v>
      </c>
      <c r="AC42" s="3" t="str">
        <v>Payment</v>
      </c>
      <c r="AD42" s="3">
        <v>379000</v>
      </c>
      <c r="AE42" s="3" t="str">
        <v>settlement</v>
      </c>
      <c r="AF42" s="3" t="str">
        <v>dcb408a0-204f-49ef-9928-0525606d9398</v>
      </c>
      <c r="AG42" s="3" t="str">
        <v>2026-02-18 10:16:15+07:00</v>
      </c>
      <c r="AH42" s="3"/>
      <c r="AJ42" s="88"/>
      <c r="AK42" s="17"/>
      <c r="AL42" s="95"/>
      <c r="AM42" s="30"/>
      <c r="AN42" s="30"/>
      <c r="AO42" s="30"/>
      <c r="AP42" s="30"/>
      <c r="AQ42" s="87"/>
      <c r="AR42" s="94"/>
      <c r="AS42" s="87"/>
      <c r="AT42" s="30">
        <v>40</v>
      </c>
      <c r="AU42" s="30" t="str">
        <v>M Fauzan Akmal Hidayat</v>
      </c>
      <c r="AV42" s="30" t="str">
        <v>(+62) 89601945042</v>
      </c>
      <c r="AW42" s="30" t="s">
        <v>168</v>
      </c>
      <c r="AX42" s="30" t="str">
        <v>EARLY BIRD UMUM</v>
      </c>
      <c r="AY42" s="30">
        <v>1099000</v>
      </c>
      <c r="AZ42" s="30">
        <f>IF(AW42="","", IF(   COUNTIF($S$2:$S$176, AW42) +   SUMPRODUCT(--ISNUMBER(SEARCH(LOWER(REGEXEXTRACT(TRIM(AW42),"^[^@]+")), LOWER(TRIM($BB$2:$BB$86))))) &gt; 0,   "SUDAH BAYAR","BELUM" ))</f>
      </c>
      <c r="BB42" s="3" t="s">
        <v>170</v>
      </c>
      <c r="BC42" s="14"/>
      <c r="BF42" s="28"/>
      <c r="BG42" s="18"/>
    </row>
    <row r="43">
      <c r="F43" s="30"/>
      <c r="G43" s="30"/>
      <c r="H43" s="30"/>
      <c r="I43" s="30"/>
      <c r="J43" s="30"/>
      <c r="K43" s="30"/>
      <c r="L43" s="30"/>
      <c r="M43" s="30"/>
      <c r="N43" s="30"/>
      <c r="O43" s="30"/>
      <c r="P43" s="30"/>
      <c r="Q43" s="30"/>
      <c r="R43" s="30"/>
      <c r="S43" s="84">
        <v>41</v>
      </c>
      <c r="T43" s="84" t="str">
        <v>Radiwan Helmi</v>
      </c>
      <c r="U43" s="84" t="str">
        <v>(+62) 81349332408</v>
      </c>
      <c r="V43" s="84" t="s">
        <v>151</v>
      </c>
      <c r="W43" s="93" t="str">
        <v>ESSENSIAL</v>
      </c>
      <c r="X43" s="93">
        <v>299000</v>
      </c>
      <c r="Y43" s="30">
        <f>IF(V43="","", IF( COUNTIF($AA$3:$AA$1101, V43) + SUMPRODUCT(--ISNUMBER(SEARCH(LOWER(REGEXEXTRACT(TRIM(V43),"^[^@]+")), LOWER(TRIM($AA$3:$AA$1101))))) &gt; 0, "SUDAH BAYAR","BELUM" ))</f>
      </c>
      <c r="Z43" s="30"/>
      <c r="AA43" s="3" t="s">
        <v>152</v>
      </c>
      <c r="AB43" s="3" t="str">
        <v>Bank Transfer</v>
      </c>
      <c r="AC43" s="3" t="str">
        <v>Payment</v>
      </c>
      <c r="AD43" s="3">
        <v>299000</v>
      </c>
      <c r="AE43" s="3" t="str">
        <v>settlement</v>
      </c>
      <c r="AF43" s="3" t="str">
        <v>7f737ac6-aa31-4937-9c30-3cdf411624d2</v>
      </c>
      <c r="AG43" s="3" t="str">
        <v>2026-02-18 16:50:23+07:00</v>
      </c>
      <c r="AH43" s="3"/>
      <c r="AI43" s="30"/>
      <c r="AJ43" s="88"/>
      <c r="AK43" s="17"/>
      <c r="AL43" s="95"/>
      <c r="AM43" s="30"/>
      <c r="AN43" s="30"/>
      <c r="AO43" s="30"/>
      <c r="AP43" s="30"/>
      <c r="AQ43" s="87"/>
      <c r="AR43" s="94"/>
      <c r="AS43" s="87"/>
      <c r="AT43" s="30">
        <v>41</v>
      </c>
      <c r="AU43" s="30" t="str">
        <v>Nuki Aditya Pratama</v>
      </c>
      <c r="AV43" s="30" t="str">
        <v>(+62) 85693818599</v>
      </c>
      <c r="AW43" s="30" t="s">
        <v>153</v>
      </c>
      <c r="AX43" s="30" t="str">
        <v>EARLY BIRD UMUM</v>
      </c>
      <c r="AY43" s="30">
        <v>1099000</v>
      </c>
      <c r="AZ43" s="30">
        <f>IF(AW43="","", IF(   COUNTIF($S$2:$S$176, AW43) +   SUMPRODUCT(--ISNUMBER(SEARCH(LOWER(REGEXEXTRACT(TRIM(AW43),"^[^@]+")), LOWER(TRIM($BB$2:$BB$86))))) &gt; 0,   "SUDAH BAYAR","BELUM" ))</f>
      </c>
      <c r="BB43" s="3" t="s">
        <v>150</v>
      </c>
      <c r="BC43" s="14"/>
      <c r="BF43" s="28"/>
      <c r="BG43" s="129"/>
    </row>
    <row r="44">
      <c r="F44" s="30"/>
      <c r="G44" s="30"/>
      <c r="H44" s="30"/>
      <c r="I44" s="30"/>
      <c r="J44" s="30"/>
      <c r="K44" s="30"/>
      <c r="L44" s="30"/>
      <c r="M44" s="30"/>
      <c r="N44" s="30"/>
      <c r="O44" s="30"/>
      <c r="P44" s="30"/>
      <c r="Q44" s="30"/>
      <c r="R44" s="30"/>
      <c r="S44" s="84">
        <v>42</v>
      </c>
      <c r="T44" s="84" t="str">
        <v>Irfan Firdaus</v>
      </c>
      <c r="U44" s="84" t="str">
        <v>(+62) 87766923330</v>
      </c>
      <c r="V44" s="84" t="s">
        <v>158</v>
      </c>
      <c r="W44" s="93" t="str">
        <v>PAKET BUNDLING</v>
      </c>
      <c r="X44" s="93">
        <v>379000</v>
      </c>
      <c r="Y44" s="30">
        <f>IF(V44="","", IF( COUNTIF($AA$3:$AA$1101, V44) + SUMPRODUCT(--ISNUMBER(SEARCH(LOWER(REGEXEXTRACT(TRIM(V44),"^[^@]+")), LOWER(TRIM($AA$3:$AA$1101))))) &gt; 0, "SUDAH BAYAR","BELUM" ))</f>
      </c>
      <c r="Z44" s="30"/>
      <c r="AA44" s="3" t="s">
        <v>156</v>
      </c>
      <c r="AB44" s="3" t="str">
        <v>Bank Transfer</v>
      </c>
      <c r="AC44" s="3" t="str">
        <v>Payment</v>
      </c>
      <c r="AD44" s="3">
        <v>299000</v>
      </c>
      <c r="AE44" s="3" t="str">
        <v>settlement</v>
      </c>
      <c r="AF44" s="3" t="str">
        <v>cf60e3d4-cfec-422c-a7c6-707148610866</v>
      </c>
      <c r="AG44" s="3" t="str">
        <v>2026-02-19 14:59:30+07:00</v>
      </c>
      <c r="AH44" s="94"/>
      <c r="AI44" s="30"/>
      <c r="AJ44" s="88"/>
      <c r="AK44" s="17"/>
      <c r="AL44" s="95"/>
      <c r="AM44" s="30"/>
      <c r="AN44" s="30"/>
      <c r="AO44" s="30"/>
      <c r="AP44" s="30"/>
      <c r="AQ44" s="87"/>
      <c r="AR44" s="94"/>
      <c r="AS44" s="87"/>
      <c r="AT44" s="30">
        <v>42</v>
      </c>
      <c r="AU44" s="30"/>
      <c r="AV44" s="30"/>
      <c r="AW44" s="30"/>
      <c r="AX44" s="30"/>
      <c r="AY44" s="30"/>
      <c r="AZ44" s="30">
        <f>IF(AW44="","", IF(   COUNTIF($S$2:$S$176, AW44) +   SUMPRODUCT(--ISNUMBER(SEARCH(LOWER(REGEXEXTRACT(TRIM(AW44),"^[^@]+")), LOWER(TRIM($BB$2:$BB$86))))) &gt; 0,   "SUDAH BAYAR","BELUM" ))</f>
      </c>
      <c r="BB44" s="3" t="s">
        <v>157</v>
      </c>
      <c r="BC44" s="14"/>
      <c r="BF44" s="28"/>
      <c r="BG44" s="18"/>
    </row>
    <row r="45">
      <c r="F45" s="30"/>
      <c r="G45" s="30"/>
      <c r="H45" s="30"/>
      <c r="I45" s="30"/>
      <c r="J45" s="30"/>
      <c r="K45" s="30"/>
      <c r="L45" s="30"/>
      <c r="M45" s="30"/>
      <c r="N45" s="30"/>
      <c r="O45" s="30"/>
      <c r="P45" s="30"/>
      <c r="Q45" s="30"/>
      <c r="R45" s="30"/>
      <c r="S45" s="84">
        <v>43</v>
      </c>
      <c r="T45" s="84" t="str">
        <v>Rahmalia Safitri</v>
      </c>
      <c r="U45" s="84" t="str">
        <v>(+62) 85787020510</v>
      </c>
      <c r="V45" s="84" t="s">
        <v>140</v>
      </c>
      <c r="W45" s="93" t="str">
        <v>PAKET BUNDLING</v>
      </c>
      <c r="X45" s="93">
        <v>379000</v>
      </c>
      <c r="Y45" s="30">
        <f>IF(V45="","", IF( COUNTIF($AA$3:$AA$1101, V45) + SUMPRODUCT(--ISNUMBER(SEARCH(LOWER(REGEXEXTRACT(TRIM(V45),"^[^@]+")), LOWER(TRIM($AA$3:$AA$1101))))) &gt; 0, "SUDAH BAYAR","BELUM" ))</f>
      </c>
      <c r="Z45" s="30"/>
      <c r="AA45" s="3" t="s">
        <v>138</v>
      </c>
      <c r="AB45" s="3" t="str">
        <v>QRIS</v>
      </c>
      <c r="AC45" s="3" t="str">
        <v>Payment</v>
      </c>
      <c r="AD45" s="3">
        <v>359000</v>
      </c>
      <c r="AE45" s="3" t="str">
        <v>settlement</v>
      </c>
      <c r="AF45" s="3" t="str">
        <v>ab41e959-391a-4735-bf6d-d99192fe3917</v>
      </c>
      <c r="AG45" s="3" t="str">
        <v>2026-02-20 10:13:11+07:00</v>
      </c>
      <c r="AH45" s="94"/>
      <c r="AI45" s="30"/>
      <c r="AJ45" s="88"/>
      <c r="AK45" s="17"/>
      <c r="AL45" s="95"/>
      <c r="AM45" s="30"/>
      <c r="AN45" s="30"/>
      <c r="AO45" s="30"/>
      <c r="AP45" s="30"/>
      <c r="AQ45" s="87"/>
      <c r="AR45" s="94"/>
      <c r="AS45" s="87"/>
      <c r="AT45" s="30">
        <v>43</v>
      </c>
      <c r="AU45" s="30" t="str">
        <v>Nurul Halimah</v>
      </c>
      <c r="AV45" s="30" t="str">
        <v>(+62) 089687870030</v>
      </c>
      <c r="AW45" s="30" t="s">
        <v>139</v>
      </c>
      <c r="AX45" s="30" t="str">
        <v>EARLY BIRD MAHASISWA</v>
      </c>
      <c r="AY45" s="30">
        <v>849000</v>
      </c>
      <c r="AZ45" s="30">
        <f>IF(AW45="","", IF(   COUNTIF($S$2:$S$176, AW45) +   SUMPRODUCT(--ISNUMBER(SEARCH(LOWER(REGEXEXTRACT(TRIM(AW45),"^[^@]+")), LOWER(TRIM($BB$2:$BB$86))))) &gt; 0,   "SUDAH BAYAR","BELUM" ))</f>
      </c>
      <c r="BB45" s="3" t="s">
        <v>141</v>
      </c>
      <c r="BC45" s="14"/>
      <c r="BF45" s="28"/>
      <c r="BG45" s="18"/>
    </row>
    <row r="46">
      <c r="F46" s="30"/>
      <c r="G46" s="30"/>
      <c r="H46" s="30"/>
      <c r="I46" s="30"/>
      <c r="J46" s="30"/>
      <c r="K46" s="30"/>
      <c r="L46" s="30"/>
      <c r="M46" s="30"/>
      <c r="N46" s="30"/>
      <c r="O46" s="30"/>
      <c r="P46" s="30"/>
      <c r="Q46" s="30"/>
      <c r="R46" s="30"/>
      <c r="S46" s="84">
        <v>44</v>
      </c>
      <c r="T46" s="84" t="str">
        <v>Raden Muhammad Risyad Taufik</v>
      </c>
      <c r="U46" s="84" t="str">
        <v>(+62) 81222820046</v>
      </c>
      <c r="V46" s="84" t="s">
        <v>147</v>
      </c>
      <c r="W46" s="93" t="str">
        <v>ESSENSIAL</v>
      </c>
      <c r="X46" s="93">
        <v>299000</v>
      </c>
      <c r="Y46" s="30">
        <f>IF(V46="","", IF( COUNTIF($AA$3:$AA$1101, V46) + SUMPRODUCT(--ISNUMBER(SEARCH(LOWER(REGEXEXTRACT(TRIM(V46),"^[^@]+")), LOWER(TRIM($AA$3:$AA$1101))))) &gt; 0, "SUDAH BAYAR","BELUM" ))</f>
      </c>
      <c r="Z46" s="30"/>
      <c r="AA46" s="3" t="s">
        <v>145</v>
      </c>
      <c r="AB46" s="3" t="str">
        <v>QRIS</v>
      </c>
      <c r="AC46" s="3" t="str">
        <v>Payment</v>
      </c>
      <c r="AD46" s="3">
        <v>299000</v>
      </c>
      <c r="AE46" s="3" t="str">
        <v>settlement</v>
      </c>
      <c r="AF46" s="3" t="str">
        <v>7bbf4e3b-93f0-44d8-9c04-4670f2036db3</v>
      </c>
      <c r="AG46" s="3" t="str">
        <v>2026-02-20 10:37:01+07:00</v>
      </c>
      <c r="AH46" s="94"/>
      <c r="AI46" s="30"/>
      <c r="AJ46" s="88"/>
      <c r="AK46" s="17"/>
      <c r="AL46" s="95"/>
      <c r="AM46" s="30"/>
      <c r="AN46" s="30"/>
      <c r="AO46" s="30"/>
      <c r="AP46" s="30"/>
      <c r="AQ46" s="87"/>
      <c r="AR46" s="94"/>
      <c r="AS46" s="87"/>
      <c r="AT46" s="30">
        <v>44</v>
      </c>
      <c r="AU46" s="30" t="str">
        <v>Nindita Eka Setyahandani</v>
      </c>
      <c r="AV46" s="30" t="str">
        <v>(+62) 8979445043</v>
      </c>
      <c r="AW46" s="30" t="s">
        <v>144</v>
      </c>
      <c r="AX46" s="30" t="str">
        <v>EARLY BIRD UMUM</v>
      </c>
      <c r="AY46" s="30">
        <v>1099000</v>
      </c>
      <c r="AZ46" s="30">
        <f>IF(AW46="","", IF(   COUNTIF($S$2:$S$176, AW46) +   SUMPRODUCT(--ISNUMBER(SEARCH(LOWER(REGEXEXTRACT(TRIM(AW46),"^[^@]+")), LOWER(TRIM($BB$2:$BB$86))))) &gt; 0,   "SUDAH BAYAR","BELUM" ))</f>
      </c>
      <c r="BB46" s="3" t="s">
        <v>146</v>
      </c>
      <c r="BC46" s="14"/>
      <c r="BF46" s="28"/>
      <c r="BG46" s="18"/>
    </row>
    <row r="47">
      <c r="F47" s="30"/>
      <c r="G47" s="30"/>
      <c r="H47" s="30"/>
      <c r="I47" s="30"/>
      <c r="J47" s="30"/>
      <c r="K47" s="30"/>
      <c r="L47" s="30"/>
      <c r="M47" s="30"/>
      <c r="N47" s="30"/>
      <c r="O47" s="30"/>
      <c r="P47" s="30"/>
      <c r="Q47" s="30"/>
      <c r="R47" s="30"/>
      <c r="S47" s="84">
        <v>45</v>
      </c>
      <c r="T47" s="84" t="str">
        <v>Ayu Raina Nabilah</v>
      </c>
      <c r="U47" s="84" t="str">
        <v>(+62) 87893850867</v>
      </c>
      <c r="V47" s="84" t="s">
        <v>128</v>
      </c>
      <c r="W47" s="93" t="str">
        <v>PAKET BUNDLING</v>
      </c>
      <c r="X47" s="93">
        <v>379000</v>
      </c>
      <c r="Y47" s="30">
        <f>IF(V47="","", IF( COUNTIF($AA$3:$AA$1101, V47) + SUMPRODUCT(--ISNUMBER(SEARCH(LOWER(REGEXEXTRACT(TRIM(V47),"^[^@]+")), LOWER(TRIM($AA$3:$AA$1101))))) &gt; 0, "SUDAH BAYAR","BELUM" ))</f>
      </c>
      <c r="Z47" s="30"/>
      <c r="AA47" s="3" t="s">
        <v>129</v>
      </c>
      <c r="AB47" s="3" t="str">
        <v>QRIS</v>
      </c>
      <c r="AC47" s="3" t="str">
        <v>Payment</v>
      </c>
      <c r="AD47" s="3">
        <v>279000</v>
      </c>
      <c r="AE47" s="3" t="str">
        <v>settlement</v>
      </c>
      <c r="AF47" s="3" t="str">
        <v>a207ca48-26a3-48b9-aeff-aff154426118</v>
      </c>
      <c r="AG47" s="3" t="str">
        <v>2026-02-20 10:37:24+07:00</v>
      </c>
      <c r="AH47" s="94"/>
      <c r="AI47" s="30"/>
      <c r="AJ47" s="88"/>
      <c r="AK47" s="17"/>
      <c r="AL47" s="95"/>
      <c r="AM47" s="30"/>
      <c r="AN47" s="30"/>
      <c r="AO47" s="30"/>
      <c r="AP47" s="30"/>
      <c r="AQ47" s="87"/>
      <c r="AR47" s="94"/>
      <c r="AS47" s="87"/>
      <c r="AT47" s="30">
        <v>45</v>
      </c>
      <c r="AU47" s="30" t="str">
        <v>Riska Ayu Safitri</v>
      </c>
      <c r="AV47" s="30" t="str">
        <v>(+62) 81572363498</v>
      </c>
      <c r="AW47" s="30" t="s">
        <v>127</v>
      </c>
      <c r="AX47" s="30" t="str">
        <v>EARLY BIRD UMUM</v>
      </c>
      <c r="AY47" s="30">
        <v>1099000</v>
      </c>
      <c r="AZ47" s="30">
        <f>IF(AW47="","", IF(   COUNTIF($S$2:$S$176, AW47) +   SUMPRODUCT(--ISNUMBER(SEARCH(LOWER(REGEXEXTRACT(TRIM(AW47),"^[^@]+")), LOWER(TRIM($BB$2:$BB$86))))) &gt; 0,   "SUDAH BAYAR","BELUM" ))</f>
      </c>
      <c r="BB47" s="3" t="s">
        <v>5</v>
      </c>
      <c r="BC47" s="14"/>
      <c r="BF47" s="28"/>
      <c r="BG47" s="18"/>
    </row>
    <row r="48">
      <c r="F48" s="30"/>
      <c r="G48" s="30"/>
      <c r="H48" s="30"/>
      <c r="I48" s="30"/>
      <c r="J48" s="30"/>
      <c r="K48" s="30"/>
      <c r="L48" s="30"/>
      <c r="M48" s="30"/>
      <c r="N48" s="30"/>
      <c r="O48" s="30"/>
      <c r="P48" s="30"/>
      <c r="Q48" s="30"/>
      <c r="R48" s="30"/>
      <c r="S48" s="84">
        <v>46</v>
      </c>
      <c r="T48" s="84" t="str">
        <v>Fajar Abdala Baharizki</v>
      </c>
      <c r="U48" s="84" t="str">
        <v>(+62) 85157175331</v>
      </c>
      <c r="V48" s="84" t="s">
        <v>133</v>
      </c>
      <c r="W48" s="93" t="str">
        <v>ESSENSIAL</v>
      </c>
      <c r="X48" s="93">
        <v>299000</v>
      </c>
      <c r="Y48" s="30">
        <f>IF(V48="","", IF( COUNTIF($AA$3:$AA$1101, V48) + SUMPRODUCT(--ISNUMBER(SEARCH(LOWER(REGEXEXTRACT(TRIM(V48),"^[^@]+")), LOWER(TRIM($AA$3:$AA$1101))))) &gt; 0, "SUDAH BAYAR","BELUM" ))</f>
      </c>
      <c r="Z48" s="30"/>
      <c r="AA48" s="3" t="s">
        <v>132</v>
      </c>
      <c r="AB48" s="3" t="str">
        <v>QRIS</v>
      </c>
      <c r="AC48" s="3" t="str">
        <v>Payment</v>
      </c>
      <c r="AD48" s="3">
        <v>279000</v>
      </c>
      <c r="AE48" s="3" t="str">
        <v>settlement</v>
      </c>
      <c r="AF48" s="3" t="str">
        <v>292b0ef0-e8cb-41e5-a038-fc697d85988a</v>
      </c>
      <c r="AG48" s="3" t="str">
        <v>2026-02-20 11:28:37+07:00</v>
      </c>
      <c r="AH48" s="94"/>
      <c r="AI48" s="30"/>
      <c r="AJ48" s="88"/>
      <c r="AK48" s="17"/>
      <c r="AL48" s="95"/>
      <c r="AM48" s="30"/>
      <c r="AN48" s="30"/>
      <c r="AO48" s="30"/>
      <c r="AP48" s="30"/>
      <c r="AQ48" s="87"/>
      <c r="AR48" s="94"/>
      <c r="AS48" s="87"/>
      <c r="AT48" s="30">
        <v>46</v>
      </c>
      <c r="AU48" s="30" t="str">
        <v>Joseph Kurniawan Sabdana</v>
      </c>
      <c r="AV48" s="30" t="str">
        <v>(+62) 82335023100</v>
      </c>
      <c r="AW48" s="30" t="s">
        <v>135</v>
      </c>
      <c r="AX48" s="30" t="str">
        <v>EARLY BIRD UMUM</v>
      </c>
      <c r="AY48" s="30">
        <v>1099000</v>
      </c>
      <c r="AZ48" s="30">
        <f>IF(AW48="","", IF(   COUNTIF($S$2:$S$176, AW48) +   SUMPRODUCT(--ISNUMBER(SEARCH(LOWER(REGEXEXTRACT(TRIM(AW48),"^[^@]+")), LOWER(TRIM($BB$2:$BB$86))))) &gt; 0,   "SUDAH BAYAR","BELUM" ))</f>
      </c>
      <c r="BB48" s="128" t="s">
        <v>134</v>
      </c>
      <c r="BC48" s="14"/>
      <c r="BF48" s="28"/>
      <c r="BG48" s="18"/>
    </row>
    <row r="49">
      <c r="F49" s="30"/>
      <c r="G49" s="30"/>
      <c r="H49" s="30"/>
      <c r="I49" s="30"/>
      <c r="J49" s="30"/>
      <c r="K49" s="30"/>
      <c r="L49" s="30"/>
      <c r="M49" s="30"/>
      <c r="N49" s="30"/>
      <c r="O49" s="30"/>
      <c r="P49" s="30"/>
      <c r="Q49" s="30"/>
      <c r="R49" s="30"/>
      <c r="S49" s="119">
        <v>47</v>
      </c>
      <c r="T49" s="84" t="str">
        <v>Nadhia Ferlia Fara</v>
      </c>
      <c r="U49" s="84" t="str">
        <v>(+62) 81229101571</v>
      </c>
      <c r="V49" s="84" t="s">
        <v>195</v>
      </c>
      <c r="W49" s="93" t="str">
        <v>ESSENSIAL</v>
      </c>
      <c r="X49" s="93">
        <v>279000</v>
      </c>
      <c r="Y49" s="30">
        <f>IF(V49="","", IF( COUNTIF($AA$3:$AA$1101, V49) + SUMPRODUCT(--ISNUMBER(SEARCH(LOWER(REGEXEXTRACT(TRIM(V49),"^[^@]+")), LOWER(TRIM($AA$3:$AA$1101))))) &gt; 0, "SUDAH BAYAR","BELUM" ))</f>
      </c>
      <c r="Z49" s="30"/>
      <c r="AA49" s="97"/>
      <c r="AB49" s="30"/>
      <c r="AC49" s="30"/>
      <c r="AD49" s="30"/>
      <c r="AE49" s="30"/>
      <c r="AF49" s="30"/>
      <c r="AG49" s="30"/>
      <c r="AH49" s="94"/>
      <c r="AI49" s="30"/>
      <c r="AJ49" s="88"/>
      <c r="AK49" s="17"/>
      <c r="AL49" s="95"/>
      <c r="AM49" s="30"/>
      <c r="AN49" s="30"/>
      <c r="AO49" s="30"/>
      <c r="AP49" s="30"/>
      <c r="AQ49" s="87"/>
      <c r="AR49" s="94"/>
      <c r="AS49" s="87"/>
      <c r="AT49" s="30">
        <v>47</v>
      </c>
      <c r="AU49" s="30" t="str">
        <v>Dionysius Swedha Cahya Danendra</v>
      </c>
      <c r="AV49" s="30" t="str">
        <v>(+62) 85100987939</v>
      </c>
      <c r="AW49" s="30" t="s">
        <v>194</v>
      </c>
      <c r="AX49" s="30" t="str">
        <v>EARLY BIRD UMUM</v>
      </c>
      <c r="AY49" s="30">
        <v>1099000</v>
      </c>
      <c r="AZ49" s="30">
        <f>IF(AW49="","", IF(   COUNTIF($S$2:$S$176, AW49) +   SUMPRODUCT(--ISNUMBER(SEARCH(LOWER(REGEXEXTRACT(TRIM(AW49),"^[^@]+")), LOWER(TRIM($BB$2:$BB$86))))) &gt; 0,   "SUDAH BAYAR","BELUM" ))</f>
      </c>
      <c r="BB49" s="18"/>
      <c r="BC49" s="14" t="str">
        <v>BEFORE 1 JAN</v>
      </c>
      <c r="BF49" s="28"/>
      <c r="BG49" s="18"/>
    </row>
    <row r="50">
      <c r="F50" s="30"/>
      <c r="G50" s="30"/>
      <c r="H50" s="30"/>
      <c r="I50" s="30"/>
      <c r="J50" s="30"/>
      <c r="K50" s="30"/>
      <c r="L50" s="30"/>
      <c r="M50" s="30"/>
      <c r="N50" s="30"/>
      <c r="O50" s="30"/>
      <c r="P50" s="30"/>
      <c r="Q50" s="30"/>
      <c r="R50" s="30"/>
      <c r="S50" s="119">
        <v>48</v>
      </c>
      <c r="T50" s="84" t="str">
        <v>Justin Christian</v>
      </c>
      <c r="U50" s="84" t="str">
        <v>(+62) 8979878758</v>
      </c>
      <c r="V50" s="84" t="s">
        <v>197</v>
      </c>
      <c r="W50" s="93" t="str">
        <v>ESSENSIAL</v>
      </c>
      <c r="X50" s="93">
        <v>279000</v>
      </c>
      <c r="Y50" s="30">
        <f>IF(V50="","", IF( COUNTIF($AA$3:$AA$1101, V50) + SUMPRODUCT(--ISNUMBER(SEARCH(LOWER(REGEXEXTRACT(TRIM(V50),"^[^@]+")), LOWER(TRIM($AA$3:$AA$1101))))) &gt; 0, "SUDAH BAYAR","BELUM" ))</f>
      </c>
      <c r="Z50" s="30"/>
      <c r="AA50" s="97"/>
      <c r="AB50" s="30"/>
      <c r="AC50" s="30"/>
      <c r="AD50" s="30"/>
      <c r="AE50" s="30"/>
      <c r="AF50" s="30"/>
      <c r="AG50" s="30"/>
      <c r="AH50" s="94"/>
      <c r="AI50" s="30"/>
      <c r="AJ50" s="88"/>
      <c r="AK50" s="17"/>
      <c r="AL50" s="95"/>
      <c r="AM50" s="30"/>
      <c r="AN50" s="30"/>
      <c r="AO50" s="30"/>
      <c r="AP50" s="30"/>
      <c r="AQ50" s="87"/>
      <c r="AR50" s="94"/>
      <c r="AS50" s="87"/>
      <c r="AT50" s="30">
        <v>48</v>
      </c>
      <c r="AU50" s="30" t="str">
        <v>Mohammad Radyt Fahrasya</v>
      </c>
      <c r="AV50" s="30" t="str">
        <v>(+62) 82324464195</v>
      </c>
      <c r="AW50" s="30" t="s">
        <v>198</v>
      </c>
      <c r="AX50" s="30" t="str">
        <v>EARLY BIRD MAHASISWA</v>
      </c>
      <c r="AY50" s="30">
        <v>849000</v>
      </c>
      <c r="AZ50" s="30">
        <f>IF(AW50="","", IF(   COUNTIF($S$2:$S$176, AW50) +   SUMPRODUCT(--ISNUMBER(SEARCH(LOWER(REGEXEXTRACT(TRIM(AW50),"^[^@]+")), LOWER(TRIM($BB$2:$BB$86))))) &gt; 0,   "SUDAH BAYAR","BELUM" ))</f>
      </c>
      <c r="BB50" s="18"/>
      <c r="BC50" s="14"/>
      <c r="BF50" s="28"/>
      <c r="BG50" s="18"/>
    </row>
    <row r="51">
      <c r="F51" s="30"/>
      <c r="G51" s="30"/>
      <c r="H51" s="30"/>
      <c r="I51" s="30"/>
      <c r="J51" s="30"/>
      <c r="K51" s="30"/>
      <c r="L51" s="30"/>
      <c r="M51" s="30"/>
      <c r="N51" s="30"/>
      <c r="O51" s="30"/>
      <c r="P51" s="30"/>
      <c r="Q51" s="30"/>
      <c r="R51" s="30"/>
      <c r="S51" s="119">
        <v>49</v>
      </c>
      <c r="T51" s="84" t="str">
        <v>Paret Agung Sanjaka</v>
      </c>
      <c r="U51" s="84" t="str">
        <v>(+62) 82197871715</v>
      </c>
      <c r="V51" s="84" t="s">
        <v>187</v>
      </c>
      <c r="W51" s="93" t="str">
        <v>ESSENSIAL</v>
      </c>
      <c r="X51" s="93">
        <v>279000</v>
      </c>
      <c r="Y51" s="30">
        <f>IF(V51="","", IF( COUNTIF($AA$3:$AA$1101, V51) + SUMPRODUCT(--ISNUMBER(SEARCH(LOWER(REGEXEXTRACT(TRIM(V51),"^[^@]+")), LOWER(TRIM($AA$3:$AA$1101))))) &gt; 0, "SUDAH BAYAR","BELUM" ))</f>
      </c>
      <c r="Z51" s="30"/>
      <c r="AA51" s="97"/>
      <c r="AB51" s="30"/>
      <c r="AC51" s="30"/>
      <c r="AD51" s="30"/>
      <c r="AE51" s="30"/>
      <c r="AF51" s="30"/>
      <c r="AG51" s="30"/>
      <c r="AH51" s="94"/>
      <c r="AI51" s="30"/>
      <c r="AJ51" s="88"/>
      <c r="AK51" s="17"/>
      <c r="AL51" s="95"/>
      <c r="AM51" s="30"/>
      <c r="AN51" s="30"/>
      <c r="AO51" s="30"/>
      <c r="AP51" s="30"/>
      <c r="AQ51" s="87"/>
      <c r="AR51" s="94"/>
      <c r="AS51" s="87"/>
      <c r="AT51" s="30">
        <v>49</v>
      </c>
      <c r="AU51" s="30" t="str">
        <v>Alan Afrizal Hakiim</v>
      </c>
      <c r="AV51" s="30" t="str">
        <v>(+62) 81393088481</v>
      </c>
      <c r="AW51" s="30" t="s">
        <v>188</v>
      </c>
      <c r="AX51" s="30" t="str">
        <v>EARLY BIRD MAHASISWA</v>
      </c>
      <c r="AY51" s="30">
        <v>849000</v>
      </c>
      <c r="AZ51" s="30">
        <f>IF(AW51="","", IF(   COUNTIF($S$2:$S$176, AW51) +   SUMPRODUCT(--ISNUMBER(SEARCH(LOWER(REGEXEXTRACT(TRIM(AW51),"^[^@]+")), LOWER(TRIM($BB$2:$BB$86))))) &gt; 0,   "SUDAH BAYAR","BELUM" ))</f>
      </c>
      <c r="BB51" s="18"/>
      <c r="BC51" s="14"/>
      <c r="BF51" s="28"/>
      <c r="BG51" s="18"/>
    </row>
    <row r="52">
      <c r="F52" s="30"/>
      <c r="G52" s="30"/>
      <c r="H52" s="30"/>
      <c r="I52" s="30"/>
      <c r="J52" s="30"/>
      <c r="K52" s="30"/>
      <c r="L52" s="30"/>
      <c r="M52" s="30"/>
      <c r="N52" s="30"/>
      <c r="O52" s="30"/>
      <c r="P52" s="30"/>
      <c r="Q52" s="30"/>
      <c r="R52" s="30"/>
      <c r="S52" s="119">
        <v>50</v>
      </c>
      <c r="T52" s="84" t="str">
        <v>Dedi Raihan Saputra</v>
      </c>
      <c r="U52" s="84" t="str">
        <v>(+62) 895322224966</v>
      </c>
      <c r="V52" s="84" t="s">
        <v>191</v>
      </c>
      <c r="W52" s="93" t="str">
        <v>PAKET BUNDLING</v>
      </c>
      <c r="X52" s="93">
        <v>359000</v>
      </c>
      <c r="Y52" s="30">
        <f>IF(V52="","", IF( COUNTIF($AA$3:$AA$1101, V52) + SUMPRODUCT(--ISNUMBER(SEARCH(LOWER(REGEXEXTRACT(TRIM(V52),"^[^@]+")), LOWER(TRIM($AA$3:$AA$1101))))) &gt; 0, "SUDAH BAYAR","BELUM" ))</f>
      </c>
      <c r="Z52" s="30"/>
      <c r="AA52" s="97"/>
      <c r="AB52" s="30"/>
      <c r="AC52" s="30"/>
      <c r="AD52" s="30"/>
      <c r="AE52" s="30"/>
      <c r="AF52" s="30"/>
      <c r="AG52" s="30"/>
      <c r="AH52" s="94"/>
      <c r="AI52" s="30"/>
      <c r="AJ52" s="88"/>
      <c r="AK52" s="17"/>
      <c r="AL52" s="95"/>
      <c r="AM52" s="30"/>
      <c r="AN52" s="30"/>
      <c r="AO52" s="30"/>
      <c r="AP52" s="30"/>
      <c r="AQ52" s="87"/>
      <c r="AR52" s="94"/>
      <c r="AS52" s="87"/>
      <c r="AT52" s="30">
        <v>51</v>
      </c>
      <c r="AU52" s="30" t="str">
        <v>Yahdina Nasution</v>
      </c>
      <c r="AV52" s="30" t="str">
        <v>(+62) 81260691335</v>
      </c>
      <c r="AW52" s="30" t="s">
        <v>190</v>
      </c>
      <c r="AX52" s="30" t="str">
        <v>EARLY BIRD UMUM</v>
      </c>
      <c r="AY52" s="30">
        <v>1099000</v>
      </c>
      <c r="AZ52" s="30">
        <f>IF(AW52="","", IF(   COUNTIF($S$2:$S$176, AW52) +   SUMPRODUCT(--ISNUMBER(SEARCH(LOWER(REGEXEXTRACT(TRIM(AW52),"^[^@]+")), LOWER(TRIM($BB$2:$BB$86))))) &gt; 0,   "SUDAH BAYAR","BELUM" ))</f>
      </c>
      <c r="BB52" s="18"/>
      <c r="BC52" s="14"/>
      <c r="BF52" s="28"/>
      <c r="BG52" s="18"/>
    </row>
    <row r="53">
      <c r="F53" s="30"/>
      <c r="G53" s="30"/>
      <c r="H53" s="30"/>
      <c r="I53" s="30"/>
      <c r="J53" s="30"/>
      <c r="K53" s="30"/>
      <c r="L53" s="30"/>
      <c r="M53" s="30"/>
      <c r="N53" s="30"/>
      <c r="O53" s="30"/>
      <c r="P53" s="30"/>
      <c r="Q53" s="30"/>
      <c r="R53" s="30"/>
      <c r="S53" s="84">
        <v>51</v>
      </c>
      <c r="T53" s="84" t="str">
        <v>Anwar Deedat</v>
      </c>
      <c r="U53" s="84" t="str">
        <v>(+62) 81297713493</v>
      </c>
      <c r="V53" s="84" t="s">
        <v>180</v>
      </c>
      <c r="W53" s="93" t="str">
        <v>ESSENSIAL</v>
      </c>
      <c r="X53" s="93">
        <v>299000</v>
      </c>
      <c r="Y53" s="30">
        <f>IF(V53="","", IF( COUNTIF($AA$3:$AA$1101, V53) + SUMPRODUCT(--ISNUMBER(SEARCH(LOWER(REGEXEXTRACT(TRIM(V53),"^[^@]+")), LOWER(TRIM($AA$3:$AA$1101))))) &gt; 0, "SUDAH BAYAR","BELUM" ))</f>
      </c>
      <c r="Z53" s="30"/>
      <c r="AA53" s="97"/>
      <c r="AB53" s="30"/>
      <c r="AC53" s="30"/>
      <c r="AD53" s="30"/>
      <c r="AE53" s="30"/>
      <c r="AF53" s="30"/>
      <c r="AG53" s="30"/>
      <c r="AH53" s="94"/>
      <c r="AI53" s="30"/>
      <c r="AJ53" s="88"/>
      <c r="AK53" s="17"/>
      <c r="AL53" s="95"/>
      <c r="AM53" s="30"/>
      <c r="AN53" s="30"/>
      <c r="AO53" s="30"/>
      <c r="AP53" s="30"/>
      <c r="AQ53" s="87"/>
      <c r="AR53" s="94"/>
      <c r="AS53" s="87"/>
      <c r="AT53" s="30">
        <v>52</v>
      </c>
      <c r="AU53" s="30" t="str">
        <v>Haris Adhi Pradana</v>
      </c>
      <c r="AV53" s="30" t="str">
        <v>(+62) 81356564168</v>
      </c>
      <c r="AW53" s="30" t="s">
        <v>179</v>
      </c>
      <c r="AX53" s="30" t="str">
        <v>EARLY BIRD UMUM</v>
      </c>
      <c r="AY53" s="30">
        <v>1099000</v>
      </c>
      <c r="AZ53" s="30">
        <f>IF(AW53="","", IF(   COUNTIF($S$2:$S$176, AW53) +   SUMPRODUCT(--ISNUMBER(SEARCH(LOWER(REGEXEXTRACT(TRIM(AW53),"^[^@]+")), LOWER(TRIM($BB$2:$BB$86))))) &gt; 0,   "SUDAH BAYAR","BELUM" ))</f>
      </c>
      <c r="BB53" s="18"/>
      <c r="BC53" s="14"/>
      <c r="BF53" s="28"/>
      <c r="BG53" s="18"/>
    </row>
    <row r="54">
      <c r="F54" s="30"/>
      <c r="G54" s="30"/>
      <c r="H54" s="30"/>
      <c r="I54" s="30"/>
      <c r="J54" s="30"/>
      <c r="K54" s="30"/>
      <c r="L54" s="30"/>
      <c r="M54" s="30"/>
      <c r="N54" s="30"/>
      <c r="O54" s="30"/>
      <c r="P54" s="30"/>
      <c r="Q54" s="30"/>
      <c r="R54" s="30"/>
      <c r="S54" s="84">
        <v>52</v>
      </c>
      <c r="T54" s="84" t="str">
        <v>Raditya Deva Ariyanto</v>
      </c>
      <c r="U54" s="84" t="str">
        <v>(+62) 85236715445</v>
      </c>
      <c r="V54" s="84" t="s">
        <v>184</v>
      </c>
      <c r="W54" s="93" t="str">
        <v>PAKET BUNDLING</v>
      </c>
      <c r="X54" s="93">
        <v>379000</v>
      </c>
      <c r="Y54" s="30">
        <f>IF(V54="","", IF( COUNTIF($AA$3:$AA$1101, V54) + SUMPRODUCT(--ISNUMBER(SEARCH(LOWER(REGEXEXTRACT(TRIM(V54),"^[^@]+")), LOWER(TRIM($AA$3:$AA$1101))))) &gt; 0, "SUDAH BAYAR","BELUM" ))</f>
      </c>
      <c r="Z54" s="30"/>
      <c r="AA54" s="97"/>
      <c r="AB54" s="30"/>
      <c r="AC54" s="30"/>
      <c r="AD54" s="30"/>
      <c r="AE54" s="30"/>
      <c r="AF54" s="30"/>
      <c r="AG54" s="30"/>
      <c r="AH54" s="94"/>
      <c r="AI54" s="30"/>
      <c r="AJ54" s="88"/>
      <c r="AK54" s="17"/>
      <c r="AL54" s="95"/>
      <c r="AM54" s="30"/>
      <c r="AN54" s="30"/>
      <c r="AO54" s="30"/>
      <c r="AP54" s="30"/>
      <c r="AQ54" s="87"/>
      <c r="AR54" s="94"/>
      <c r="AS54" s="87"/>
      <c r="AT54" s="30">
        <v>53</v>
      </c>
      <c r="AU54" s="30" t="str">
        <v>Tadius Tekwan Ding</v>
      </c>
      <c r="AV54" s="30" t="str">
        <v>(+62) 82350635615</v>
      </c>
      <c r="AW54" s="30" t="s">
        <v>183</v>
      </c>
      <c r="AX54" s="30" t="str">
        <v>EARLY BIRD MAHASISWA</v>
      </c>
      <c r="AY54" s="30">
        <v>849000</v>
      </c>
      <c r="AZ54" s="30">
        <f>IF(AW54="","", IF(   COUNTIF($S$2:$S$176, AW54) +   SUMPRODUCT(--ISNUMBER(SEARCH(LOWER(REGEXEXTRACT(TRIM(AW54),"^[^@]+")), LOWER(TRIM($BB$2:$BB$86))))) &gt; 0,   "SUDAH BAYAR","BELUM" ))</f>
      </c>
      <c r="BB54" s="18"/>
      <c r="BC54" s="14"/>
      <c r="BF54" s="28"/>
      <c r="BG54" s="18"/>
    </row>
    <row r="55">
      <c r="F55" s="30"/>
      <c r="G55" s="30"/>
      <c r="H55" s="30"/>
      <c r="I55" s="30"/>
      <c r="J55" s="30"/>
      <c r="K55" s="30"/>
      <c r="L55" s="30"/>
      <c r="M55" s="30"/>
      <c r="N55" s="30"/>
      <c r="O55" s="30"/>
      <c r="P55" s="30"/>
      <c r="Q55" s="30"/>
      <c r="R55" s="30"/>
      <c r="S55" s="84">
        <v>53</v>
      </c>
      <c r="T55" s="84" t="str">
        <v>Rif'at Rahadiansyah Rahmadiono</v>
      </c>
      <c r="U55" s="84" t="str">
        <v>(+62) 89650565595</v>
      </c>
      <c r="V55" s="84" t="s">
        <v>173</v>
      </c>
      <c r="W55" s="93" t="str">
        <v>ESSENSIAL</v>
      </c>
      <c r="X55" s="93">
        <v>299000</v>
      </c>
      <c r="Y55" s="30">
        <f>IF(V55="","", IF( COUNTIF($AA$3:$AA$1101, V55) + SUMPRODUCT(--ISNUMBER(SEARCH(LOWER(REGEXEXTRACT(TRIM(V55),"^[^@]+")), LOWER(TRIM($AA$3:$AA$1101))))) &gt; 0, "SUDAH BAYAR","BELUM" ))</f>
      </c>
      <c r="Z55" s="30"/>
      <c r="AA55" s="97"/>
      <c r="AB55" s="30"/>
      <c r="AC55" s="30"/>
      <c r="AD55" s="30"/>
      <c r="AE55" s="30"/>
      <c r="AF55" s="30"/>
      <c r="AG55" s="30"/>
      <c r="AH55" s="94"/>
      <c r="AI55" s="30"/>
      <c r="AJ55" s="88"/>
      <c r="AK55" s="17"/>
      <c r="AL55" s="95"/>
      <c r="AM55" s="30"/>
      <c r="AN55" s="30"/>
      <c r="AO55" s="30"/>
      <c r="AP55" s="30"/>
      <c r="AQ55" s="87"/>
      <c r="AR55" s="94"/>
      <c r="AS55" s="87"/>
      <c r="AT55" s="30">
        <v>54</v>
      </c>
      <c r="AU55" s="30" t="str">
        <v>Frans Waas</v>
      </c>
      <c r="AV55" s="30" t="str">
        <v>(+62) 85254228683</v>
      </c>
      <c r="AW55" s="30" t="s">
        <v>172</v>
      </c>
      <c r="AX55" s="30" t="str">
        <v>EARLY BIRD MAHASISWA</v>
      </c>
      <c r="AY55" s="30">
        <v>849000</v>
      </c>
      <c r="AZ55" s="30">
        <f>IF(AW55="","", IF(   COUNTIF($S$2:$S$176, AW55) +   SUMPRODUCT(--ISNUMBER(SEARCH(LOWER(REGEXEXTRACT(TRIM(AW55),"^[^@]+")), LOWER(TRIM($BB$2:$BB$86))))) &gt; 0,   "SUDAH BAYAR","BELUM" ))</f>
      </c>
      <c r="BB55" s="18"/>
      <c r="BC55" s="14"/>
      <c r="BF55" s="28"/>
      <c r="BG55" s="18"/>
    </row>
    <row r="56">
      <c r="F56" s="30"/>
      <c r="G56" s="30"/>
      <c r="H56" s="30"/>
      <c r="I56" s="30"/>
      <c r="J56" s="30"/>
      <c r="K56" s="30"/>
      <c r="L56" s="30"/>
      <c r="M56" s="30"/>
      <c r="N56" s="30"/>
      <c r="O56" s="30"/>
      <c r="P56" s="30"/>
      <c r="Q56" s="30"/>
      <c r="R56" s="30"/>
      <c r="S56" s="84">
        <v>54</v>
      </c>
      <c r="T56" s="84" t="str">
        <v>Mus Muliadi</v>
      </c>
      <c r="U56" s="84" t="str">
        <v>(+62) 81370394443</v>
      </c>
      <c r="V56" s="84" t="s">
        <v>177</v>
      </c>
      <c r="W56" s="93" t="str">
        <v>PAKET BUNDLING</v>
      </c>
      <c r="X56" s="93">
        <v>379000</v>
      </c>
      <c r="Y56" s="30">
        <f>IF(V56="","", IF( COUNTIF($AA$3:$AA$1101, V56) + SUMPRODUCT(--ISNUMBER(SEARCH(LOWER(REGEXEXTRACT(TRIM(V56),"^[^@]+")), LOWER(TRIM($AA$3:$AA$1101))))) &gt; 0, "SUDAH BAYAR","BELUM" ))</f>
      </c>
      <c r="Z56" s="30"/>
      <c r="AA56" s="97"/>
      <c r="AB56" s="30"/>
      <c r="AC56" s="30"/>
      <c r="AD56" s="30"/>
      <c r="AE56" s="30"/>
      <c r="AF56" s="30"/>
      <c r="AG56" s="30"/>
      <c r="AH56" s="94"/>
      <c r="AI56" s="30"/>
      <c r="AJ56" s="88"/>
      <c r="AK56" s="17"/>
      <c r="AL56" s="95"/>
      <c r="AM56" s="30"/>
      <c r="AN56" s="30"/>
      <c r="AO56" s="30"/>
      <c r="AP56" s="30"/>
      <c r="AQ56" s="87"/>
      <c r="AR56" s="94"/>
      <c r="AS56" s="87"/>
      <c r="AT56" s="30">
        <v>55</v>
      </c>
      <c r="AU56" s="30" t="str">
        <v>Arsa Fa'iz Nursyahrial</v>
      </c>
      <c r="AV56" s="30" t="str">
        <v>(+62) 89520111917</v>
      </c>
      <c r="AW56" s="30" t="s">
        <v>176</v>
      </c>
      <c r="AX56" s="30" t="str">
        <v>EARLY BIRD UMUM</v>
      </c>
      <c r="AY56" s="30">
        <v>1099000</v>
      </c>
      <c r="AZ56" s="30">
        <f>IF(AW56="","", IF(   COUNTIF($S$2:$S$176, AW56) +   SUMPRODUCT(--ISNUMBER(SEARCH(LOWER(REGEXEXTRACT(TRIM(AW56),"^[^@]+")), LOWER(TRIM($BB$2:$BB$86))))) &gt; 0,   "SUDAH BAYAR","BELUM" ))</f>
      </c>
      <c r="BB56" s="18"/>
      <c r="BC56" s="14"/>
      <c r="BF56" s="28"/>
      <c r="BG56" s="18"/>
    </row>
    <row r="57">
      <c r="F57" s="30"/>
      <c r="G57" s="30"/>
      <c r="H57" s="30"/>
      <c r="I57" s="30"/>
      <c r="J57" s="30"/>
      <c r="K57" s="30"/>
      <c r="L57" s="30"/>
      <c r="M57" s="30"/>
      <c r="N57" s="30"/>
      <c r="O57" s="30"/>
      <c r="P57" s="30"/>
      <c r="Q57" s="30"/>
      <c r="R57" s="30"/>
      <c r="S57" s="84">
        <v>55</v>
      </c>
      <c r="T57" s="84" t="str">
        <v>Januaril Aditya Samudra</v>
      </c>
      <c r="U57" s="84" t="str">
        <v>(+62) 81256250558</v>
      </c>
      <c r="V57" s="84" t="s">
        <v>222</v>
      </c>
      <c r="W57" s="93" t="str">
        <v>PAKET BUNDLING</v>
      </c>
      <c r="X57" s="93">
        <v>379000</v>
      </c>
      <c r="Y57" s="30">
        <f>IF(V57="","", IF( COUNTIF($AA$3:$AA$1101, V57) + SUMPRODUCT(--ISNUMBER(SEARCH(LOWER(REGEXEXTRACT(TRIM(V57),"^[^@]+")), LOWER(TRIM($AA$3:$AA$1101))))) &gt; 0, "SUDAH BAYAR","BELUM" ))</f>
      </c>
      <c r="Z57" s="30"/>
      <c r="AA57" s="97"/>
      <c r="AB57" s="30"/>
      <c r="AC57" s="30"/>
      <c r="AD57" s="30"/>
      <c r="AE57" s="30"/>
      <c r="AF57" s="30"/>
      <c r="AG57" s="30"/>
      <c r="AH57" s="94"/>
      <c r="AI57" s="30"/>
      <c r="AJ57" s="88"/>
      <c r="AK57" s="17"/>
      <c r="AL57" s="95"/>
      <c r="AM57" s="30"/>
      <c r="AN57" s="30"/>
      <c r="AO57" s="30"/>
      <c r="AP57" s="30"/>
      <c r="AQ57" s="87"/>
      <c r="AR57" s="94"/>
      <c r="AS57" s="87"/>
      <c r="AT57" s="30">
        <v>56</v>
      </c>
      <c r="AU57" s="106" t="str">
        <v>Edi Wahyudi</v>
      </c>
      <c r="AV57" s="106" t="str">
        <v>(+62) 85242144374</v>
      </c>
      <c r="AW57" s="106" t="s">
        <v>221</v>
      </c>
      <c r="AX57" s="106" t="str">
        <v>EARLY BIRD MAHASISWA</v>
      </c>
      <c r="AY57" s="30">
        <v>789000</v>
      </c>
      <c r="AZ57" s="30">
        <f>IF(AW57="","", IF(   COUNTIF($S$2:$S$176, AW57) +   SUMPRODUCT(--ISNUMBER(SEARCH(LOWER(REGEXEXTRACT(TRIM(AW57),"^[^@]+")), LOWER(TRIM($BB$2:$BB$86))))) &gt; 0,   "SUDAH BAYAR","BELUM" ))</f>
      </c>
      <c r="BB57" s="18"/>
      <c r="BC57" s="14"/>
      <c r="BF57" s="28"/>
      <c r="BG57" s="18"/>
    </row>
    <row r="58">
      <c r="F58" s="30"/>
      <c r="G58" s="30"/>
      <c r="H58" s="30"/>
      <c r="I58" s="30"/>
      <c r="J58" s="30"/>
      <c r="K58" s="30"/>
      <c r="L58" s="30"/>
      <c r="M58" s="30"/>
      <c r="N58" s="30"/>
      <c r="O58" s="30"/>
      <c r="P58" s="30"/>
      <c r="Q58" s="30"/>
      <c r="R58" s="30"/>
      <c r="S58" s="84">
        <v>56</v>
      </c>
      <c r="T58" s="84" t="str">
        <v>Hanif Ibnu Fajar</v>
      </c>
      <c r="U58" s="84" t="str">
        <v>(+62) 85282024695</v>
      </c>
      <c r="V58" s="84" t="s">
        <v>225</v>
      </c>
      <c r="W58" s="93" t="str">
        <v>ESSENSIAL</v>
      </c>
      <c r="X58" s="93">
        <v>299000</v>
      </c>
      <c r="Y58" s="30">
        <f>IF(V58="","", IF( COUNTIF($AA$3:$AA$1101, V58) + SUMPRODUCT(--ISNUMBER(SEARCH(LOWER(REGEXEXTRACT(TRIM(V58),"^[^@]+")), LOWER(TRIM($AA$3:$AA$1101))))) &gt; 0, "SUDAH BAYAR","BELUM" ))</f>
      </c>
      <c r="Z58" s="30"/>
      <c r="AA58" s="97"/>
      <c r="AB58" s="30"/>
      <c r="AC58" s="30"/>
      <c r="AD58" s="30"/>
      <c r="AE58" s="30"/>
      <c r="AF58" s="30"/>
      <c r="AG58" s="30"/>
      <c r="AH58" s="94"/>
      <c r="AI58" s="30"/>
      <c r="AJ58" s="88"/>
      <c r="AK58" s="17"/>
      <c r="AL58" s="95"/>
      <c r="AM58" s="30"/>
      <c r="AN58" s="30"/>
      <c r="AO58" s="30"/>
      <c r="AP58" s="30"/>
      <c r="AQ58" s="87"/>
      <c r="AR58" s="94"/>
      <c r="AS58" s="87"/>
      <c r="AT58" s="30">
        <v>57</v>
      </c>
      <c r="AU58" s="106" t="str">
        <v>Nur Syifa Fauziah</v>
      </c>
      <c r="AV58" s="106" t="str">
        <v>(+62) 82329061392</v>
      </c>
      <c r="AW58" s="106" t="s">
        <v>226</v>
      </c>
      <c r="AX58" s="106" t="str">
        <v>EARLY BIRD MAHASISWA</v>
      </c>
      <c r="AY58" s="30">
        <v>789000</v>
      </c>
      <c r="AZ58" s="30">
        <f>IF(AW58="","", IF(   COUNTIF($S$2:$S$176, AW58) +   SUMPRODUCT(--ISNUMBER(SEARCH(LOWER(REGEXEXTRACT(TRIM(AW58),"^[^@]+")), LOWER(TRIM($BB$2:$BB$86))))) &gt; 0,   "SUDAH BAYAR","BELUM" ))</f>
      </c>
      <c r="BB58" s="18"/>
      <c r="BC58" s="14"/>
      <c r="BF58" s="28"/>
      <c r="BG58" s="18"/>
    </row>
    <row r="59">
      <c r="F59" s="30"/>
      <c r="G59" s="30"/>
      <c r="H59" s="30"/>
      <c r="I59" s="30"/>
      <c r="J59" s="30"/>
      <c r="K59" s="30"/>
      <c r="L59" s="30"/>
      <c r="M59" s="30"/>
      <c r="N59" s="30"/>
      <c r="O59" s="30"/>
      <c r="P59" s="30"/>
      <c r="Q59" s="30"/>
      <c r="R59" s="30"/>
      <c r="S59" s="84">
        <v>57</v>
      </c>
      <c r="T59" s="84" t="str">
        <v>Anis Nabilatun Nisa'</v>
      </c>
      <c r="U59" s="84" t="str">
        <v>(+62) 8990917873</v>
      </c>
      <c r="V59" s="84" t="s">
        <v>216</v>
      </c>
      <c r="W59" s="93" t="str">
        <v>PAKET BUNDLING</v>
      </c>
      <c r="X59" s="93">
        <v>379000</v>
      </c>
      <c r="Y59" s="30">
        <f>IF(V59="","", IF( COUNTIF($AA$3:$AA$1101, V59) + SUMPRODUCT(--ISNUMBER(SEARCH(LOWER(REGEXEXTRACT(TRIM(V59),"^[^@]+")), LOWER(TRIM($AA$3:$AA$1101))))) &gt; 0, "SUDAH BAYAR","BELUM" ))</f>
      </c>
      <c r="Z59" s="30"/>
      <c r="AA59" s="97"/>
      <c r="AB59" s="30"/>
      <c r="AC59" s="30"/>
      <c r="AD59" s="30"/>
      <c r="AE59" s="30"/>
      <c r="AF59" s="30"/>
      <c r="AG59" s="30"/>
      <c r="AH59" s="94"/>
      <c r="AI59" s="30"/>
      <c r="AJ59" s="88"/>
      <c r="AK59" s="17"/>
      <c r="AL59" s="95"/>
      <c r="AM59" s="30"/>
      <c r="AN59" s="30"/>
      <c r="AO59" s="30"/>
      <c r="AP59" s="30"/>
      <c r="AQ59" s="87"/>
      <c r="AR59" s="94"/>
      <c r="AS59" s="87"/>
      <c r="AT59" s="30">
        <v>58</v>
      </c>
      <c r="AU59" s="106" t="str">
        <v>Jihan Izza Bethari Ardyanto</v>
      </c>
      <c r="AV59" s="106" t="str">
        <v>(+62) 88230634858</v>
      </c>
      <c r="AW59" s="106" t="s">
        <v>215</v>
      </c>
      <c r="AX59" s="106" t="str">
        <v>EARLY BIRD MAHASISWA</v>
      </c>
      <c r="AY59" s="30">
        <v>789000</v>
      </c>
      <c r="AZ59" s="30">
        <f>IF(AW59="","", IF(   COUNTIF($S$2:$S$176, AW59) +   SUMPRODUCT(--ISNUMBER(SEARCH(LOWER(REGEXEXTRACT(TRIM(AW59),"^[^@]+")), LOWER(TRIM($BB$2:$BB$86))))) &gt; 0,   "SUDAH BAYAR","BELUM" ))</f>
      </c>
      <c r="BB59" s="18"/>
      <c r="BC59" s="14"/>
      <c r="BF59" s="6"/>
      <c r="BG59" s="30"/>
    </row>
    <row r="60">
      <c r="F60" s="30"/>
      <c r="G60" s="30"/>
      <c r="H60" s="30"/>
      <c r="I60" s="30"/>
      <c r="J60" s="30"/>
      <c r="K60" s="30"/>
      <c r="L60" s="30"/>
      <c r="M60" s="30"/>
      <c r="N60" s="30"/>
      <c r="O60" s="30"/>
      <c r="P60" s="30"/>
      <c r="Q60" s="30"/>
      <c r="R60" s="30"/>
      <c r="S60" s="84">
        <v>58</v>
      </c>
      <c r="T60" s="84" t="str">
        <v>Siti Sathifah Illahi</v>
      </c>
      <c r="U60" s="84" t="str">
        <v>(+62) 82298823939</v>
      </c>
      <c r="V60" s="84" t="s">
        <v>219</v>
      </c>
      <c r="W60" s="93" t="str">
        <v>ESSENSIAL</v>
      </c>
      <c r="X60" s="93">
        <v>299000</v>
      </c>
      <c r="Y60" s="30">
        <f>IF(V60="","", IF( COUNTIF($AA$3:$AA$1101, V60) + SUMPRODUCT(--ISNUMBER(SEARCH(LOWER(REGEXEXTRACT(TRIM(V60),"^[^@]+")), LOWER(TRIM($AA$3:$AA$1101))))) &gt; 0, "SUDAH BAYAR","BELUM" ))</f>
      </c>
      <c r="Z60" s="30"/>
      <c r="AA60" s="97"/>
      <c r="AB60" s="30"/>
      <c r="AC60" s="30"/>
      <c r="AD60" s="30"/>
      <c r="AE60" s="30"/>
      <c r="AF60" s="30"/>
      <c r="AG60" s="30"/>
      <c r="AH60" s="94"/>
      <c r="AI60" s="30"/>
      <c r="AJ60" s="88"/>
      <c r="AK60" s="17"/>
      <c r="AL60" s="95"/>
      <c r="AM60" s="30"/>
      <c r="AN60" s="30"/>
      <c r="AO60" s="30"/>
      <c r="AP60" s="30"/>
      <c r="AQ60" s="87"/>
      <c r="AR60" s="94"/>
      <c r="AS60" s="87"/>
      <c r="AT60" s="30">
        <v>59</v>
      </c>
      <c r="AU60" s="106" t="str">
        <v>Winarti</v>
      </c>
      <c r="AV60" s="106" t="str">
        <v>(+62) 082362567799</v>
      </c>
      <c r="AW60" s="106" t="s">
        <v>218</v>
      </c>
      <c r="AX60" s="106" t="str">
        <v>EARLY BIRD MAHASISWA</v>
      </c>
      <c r="AY60" s="30">
        <v>789000</v>
      </c>
      <c r="AZ60" s="30">
        <f>IF(AW60="","", IF(   COUNTIF($S$2:$S$176, AW60) +   SUMPRODUCT(--ISNUMBER(SEARCH(LOWER(REGEXEXTRACT(TRIM(AW60),"^[^@]+")), LOWER(TRIM($BB$2:$BB$86))))) &gt; 0,   "SUDAH BAYAR","BELUM" ))</f>
      </c>
      <c r="BB60" s="18"/>
      <c r="BC60" s="14"/>
      <c r="BF60" s="28"/>
      <c r="BG60" s="18"/>
    </row>
    <row r="61">
      <c r="F61" s="30"/>
      <c r="G61" s="30"/>
      <c r="H61" s="30"/>
      <c r="I61" s="30"/>
      <c r="J61" s="30"/>
      <c r="K61" s="30"/>
      <c r="L61" s="30"/>
      <c r="M61" s="30"/>
      <c r="N61" s="30"/>
      <c r="O61" s="30"/>
      <c r="P61" s="30"/>
      <c r="Q61" s="30"/>
      <c r="R61" s="30"/>
      <c r="S61" s="84">
        <v>59</v>
      </c>
      <c r="T61" s="84" t="str">
        <v>Andra Rasel</v>
      </c>
      <c r="U61" s="84" t="str">
        <v>(+62) 8991473353</v>
      </c>
      <c r="V61" s="84" t="s">
        <v>208</v>
      </c>
      <c r="W61" s="93" t="str">
        <v>PAKET BUNDLING</v>
      </c>
      <c r="X61" s="93">
        <v>379000</v>
      </c>
      <c r="Y61" s="30">
        <f>IF(V61="","", IF( COUNTIF($AA$3:$AA$1101, V61) + SUMPRODUCT(--ISNUMBER(SEARCH(LOWER(REGEXEXTRACT(TRIM(V61),"^[^@]+")), LOWER(TRIM($AA$3:$AA$1101))))) &gt; 0, "SUDAH BAYAR","BELUM" ))</f>
      </c>
      <c r="Z61" s="30"/>
      <c r="AA61" s="97"/>
      <c r="AB61" s="30"/>
      <c r="AC61" s="30"/>
      <c r="AD61" s="30"/>
      <c r="AE61" s="30"/>
      <c r="AF61" s="30"/>
      <c r="AG61" s="30"/>
      <c r="AH61" s="94"/>
      <c r="AI61" s="30"/>
      <c r="AJ61" s="88"/>
      <c r="AK61" s="17"/>
      <c r="AL61" s="95"/>
      <c r="AM61" s="30"/>
      <c r="AN61" s="30"/>
      <c r="AO61" s="30"/>
      <c r="AP61" s="30"/>
      <c r="AQ61" s="87"/>
      <c r="AR61" s="94"/>
      <c r="AS61" s="87"/>
      <c r="AT61" s="30">
        <v>60</v>
      </c>
      <c r="AU61" s="106" t="str">
        <v>Dhiagram Arninda Dutami Kusuma</v>
      </c>
      <c r="AV61" s="106" t="str">
        <v>(+62) 81328389259</v>
      </c>
      <c r="AW61" s="106" t="s">
        <v>207</v>
      </c>
      <c r="AX61" s="106" t="str">
        <v>EARLY BIRD UMUM</v>
      </c>
      <c r="AY61" s="30">
        <v>999000</v>
      </c>
      <c r="AZ61" s="30">
        <f>IF(AW61="","", IF(   COUNTIF($S$2:$S$176, AW61) +   SUMPRODUCT(--ISNUMBER(SEARCH(LOWER(REGEXEXTRACT(TRIM(AW61),"^[^@]+")), LOWER(TRIM($BB$2:$BB$86))))) &gt; 0,   "SUDAH BAYAR","BELUM" ))</f>
      </c>
      <c r="BB61" s="18"/>
      <c r="BC61" s="14"/>
      <c r="BF61" s="28"/>
      <c r="BG61" s="18"/>
    </row>
    <row r="62">
      <c r="F62" s="30"/>
      <c r="G62" s="30"/>
      <c r="H62" s="30"/>
      <c r="I62" s="30"/>
      <c r="J62" s="30"/>
      <c r="K62" s="30"/>
      <c r="L62" s="30"/>
      <c r="M62" s="30"/>
      <c r="N62" s="30"/>
      <c r="O62" s="30"/>
      <c r="P62" s="30"/>
      <c r="Q62" s="30"/>
      <c r="R62" s="30"/>
      <c r="S62" s="84">
        <v>60</v>
      </c>
      <c r="T62" s="84" t="str">
        <v>Berliana Zulny</v>
      </c>
      <c r="U62" s="84" t="str">
        <v>(+62) 81807861437</v>
      </c>
      <c r="V62" s="84" t="s">
        <v>212</v>
      </c>
      <c r="W62" s="93" t="str">
        <v>PAKET BUNDLING</v>
      </c>
      <c r="X62" s="93">
        <v>379000</v>
      </c>
      <c r="Y62" s="30">
        <f>IF(V62="","", IF( COUNTIF($AA$3:$AA$1101, V62) + SUMPRODUCT(--ISNUMBER(SEARCH(LOWER(REGEXEXTRACT(TRIM(V62),"^[^@]+")), LOWER(TRIM($AA$3:$AA$1101))))) &gt; 0, "SUDAH BAYAR","BELUM" ))</f>
      </c>
      <c r="Z62" s="30"/>
      <c r="AA62" s="97"/>
      <c r="AB62" s="30"/>
      <c r="AC62" s="30"/>
      <c r="AD62" s="30"/>
      <c r="AE62" s="30"/>
      <c r="AF62" s="30"/>
      <c r="AG62" s="30"/>
      <c r="AH62" s="94"/>
      <c r="AI62" s="30"/>
      <c r="AJ62" s="88"/>
      <c r="AK62" s="17"/>
      <c r="AL62" s="95"/>
      <c r="AM62" s="30"/>
      <c r="AN62" s="30"/>
      <c r="AO62" s="30"/>
      <c r="AP62" s="30"/>
      <c r="AQ62" s="87"/>
      <c r="AR62" s="94"/>
      <c r="AS62" s="87"/>
      <c r="AT62" s="30">
        <v>61</v>
      </c>
      <c r="AU62" s="106" t="str">
        <v>Fernando Prantiono</v>
      </c>
      <c r="AV62" s="106" t="str">
        <v>(+62) 85256296976</v>
      </c>
      <c r="AW62" s="106" t="s">
        <v>211</v>
      </c>
      <c r="AX62" s="106" t="str">
        <v>EARLY BIRD MAHASISWA</v>
      </c>
      <c r="AY62" s="30">
        <v>789000</v>
      </c>
      <c r="AZ62" s="30">
        <f>IF(AW62="","", IF(   COUNTIF($S$2:$S$176, AW62) +   SUMPRODUCT(--ISNUMBER(SEARCH(LOWER(REGEXEXTRACT(TRIM(AW62),"^[^@]+")), LOWER(TRIM($BB$2:$BB$86))))) &gt; 0,   "SUDAH BAYAR","BELUM" ))</f>
      </c>
      <c r="BB62" s="18"/>
      <c r="BC62" s="14"/>
      <c r="BF62" s="28"/>
      <c r="BG62" s="18"/>
    </row>
    <row r="63">
      <c r="F63" s="30"/>
      <c r="G63" s="30"/>
      <c r="H63" s="30"/>
      <c r="I63" s="30"/>
      <c r="J63" s="30"/>
      <c r="K63" s="30"/>
      <c r="L63" s="30"/>
      <c r="M63" s="30"/>
      <c r="N63" s="30"/>
      <c r="O63" s="30"/>
      <c r="P63" s="30"/>
      <c r="Q63" s="30"/>
      <c r="R63" s="30"/>
      <c r="S63" s="119">
        <v>61</v>
      </c>
      <c r="T63" s="84" t="str">
        <v>Muhammad Ziad</v>
      </c>
      <c r="U63" s="84" t="str">
        <v>(+62) 81389008269</v>
      </c>
      <c r="V63" s="84" t="s">
        <v>201</v>
      </c>
      <c r="W63" s="84" t="str">
        <v>PAKET BUNDLING</v>
      </c>
      <c r="X63" s="93">
        <v>359000</v>
      </c>
      <c r="Y63" s="30">
        <f>IF(V63="","", IF( COUNTIF($AA$3:$AA$1101, V63) + SUMPRODUCT(--ISNUMBER(SEARCH(LOWER(REGEXEXTRACT(TRIM(V63),"^[^@]+")), LOWER(TRIM($AA$3:$AA$1101))))) &gt; 0, "SUDAH BAYAR","BELUM" ))</f>
      </c>
      <c r="Z63" s="30"/>
      <c r="AA63" s="97"/>
      <c r="AB63" s="30"/>
      <c r="AC63" s="30"/>
      <c r="AD63" s="30"/>
      <c r="AE63" s="30"/>
      <c r="AF63" s="30"/>
      <c r="AG63" s="30"/>
      <c r="AH63" s="94"/>
      <c r="AI63" s="30"/>
      <c r="AJ63" s="88"/>
      <c r="AK63" s="17"/>
      <c r="AL63" s="95"/>
      <c r="AM63" s="30"/>
      <c r="AN63" s="30"/>
      <c r="AO63" s="30"/>
      <c r="AP63" s="30"/>
      <c r="AQ63" s="87"/>
      <c r="AR63" s="94"/>
      <c r="AS63" s="87"/>
      <c r="AT63" s="30">
        <v>62</v>
      </c>
      <c r="AU63" s="111" t="str">
        <v>Khalisya Syagina Anggie Bahrend</v>
      </c>
      <c r="AV63" s="111" t="str">
        <v>(+62) 82213664088</v>
      </c>
      <c r="AW63" s="111" t="s">
        <v>33</v>
      </c>
      <c r="AX63" s="112" t="str">
        <v>EARLY BIRD MAHASISWA COMMUNITY</v>
      </c>
      <c r="AY63" s="30">
        <v>394500</v>
      </c>
      <c r="AZ63" s="30">
        <f>IF(AW63="","", IF(   COUNTIF($S$2:$S$176, AW63) +   SUMPRODUCT(--ISNUMBER(SEARCH(LOWER(REGEXEXTRACT(TRIM(AW63),"^[^@]+")), LOWER(TRIM($BB$2:$BB$86))))) &gt; 0,   "SUDAH BAYAR","BELUM" ))</f>
      </c>
      <c r="BB63" s="18"/>
      <c r="BC63" s="14"/>
      <c r="BF63" s="28"/>
      <c r="BG63" s="18"/>
    </row>
    <row r="64">
      <c r="F64" s="30"/>
      <c r="G64" s="30"/>
      <c r="H64" s="30"/>
      <c r="I64" s="30"/>
      <c r="J64" s="30"/>
      <c r="K64" s="30"/>
      <c r="L64" s="30"/>
      <c r="M64" s="30"/>
      <c r="N64" s="30"/>
      <c r="O64" s="30"/>
      <c r="P64" s="30"/>
      <c r="Q64" s="30"/>
      <c r="R64" s="30"/>
      <c r="S64" s="119">
        <v>62</v>
      </c>
      <c r="T64" s="84" t="str">
        <v>Nawal Syafiq Farihan</v>
      </c>
      <c r="U64" s="84" t="str">
        <v>(+62) 83822158136</v>
      </c>
      <c r="V64" s="84" t="s">
        <v>203</v>
      </c>
      <c r="W64" s="84" t="str">
        <v>ESSENSIAL</v>
      </c>
      <c r="X64" s="93">
        <v>279000</v>
      </c>
      <c r="Y64" s="30">
        <f>IF(V64="","", IF( COUNTIF($AA$3:$AA$1101, V64) + SUMPRODUCT(--ISNUMBER(SEARCH(LOWER(REGEXEXTRACT(TRIM(V64),"^[^@]+")), LOWER(TRIM($AA$3:$AA$1101))))) &gt; 0, "SUDAH BAYAR","BELUM" ))</f>
      </c>
      <c r="Z64" s="30"/>
      <c r="AA64" s="97"/>
      <c r="AB64" s="30"/>
      <c r="AC64" s="30"/>
      <c r="AD64" s="30"/>
      <c r="AE64" s="30"/>
      <c r="AF64" s="30"/>
      <c r="AG64" s="30"/>
      <c r="AH64" s="94"/>
      <c r="AI64" s="30"/>
      <c r="AJ64" s="88"/>
      <c r="AK64" s="17"/>
      <c r="AL64" s="95"/>
      <c r="AM64" s="30"/>
      <c r="AN64" s="30"/>
      <c r="AO64" s="30"/>
      <c r="AP64" s="30"/>
      <c r="AQ64" s="87"/>
      <c r="AR64" s="94"/>
      <c r="AS64" s="87"/>
      <c r="AT64" s="30">
        <v>63</v>
      </c>
      <c r="AU64" s="30" t="str">
        <v>Arsya Dika</v>
      </c>
      <c r="AV64" s="30" t="str">
        <v>(+62) 82137896782</v>
      </c>
      <c r="AW64" s="30" t="s">
        <v>204</v>
      </c>
      <c r="AX64" s="30" t="str">
        <v>ESSENTIAL UMUM</v>
      </c>
      <c r="AY64" s="30">
        <v>1399000</v>
      </c>
      <c r="AZ64" s="30">
        <f>IF(AW64="","", IF(   COUNTIF($S$2:$S$176, AW64) +   SUMPRODUCT(--ISNUMBER(SEARCH(LOWER(REGEXEXTRACT(TRIM(AW64),"^[^@]+")), LOWER(TRIM($BB$2:$BB$86))))) &gt; 0,   "SUDAH BAYAR","BELUM" ))</f>
      </c>
      <c r="BA64" s="14"/>
      <c r="BB64" s="18"/>
      <c r="BC64" s="14"/>
      <c r="BF64" s="28"/>
      <c r="BG64" s="18"/>
    </row>
    <row r="65">
      <c r="F65" s="30"/>
      <c r="G65" s="30"/>
      <c r="H65" s="30"/>
      <c r="I65" s="30"/>
      <c r="J65" s="30"/>
      <c r="K65" s="30"/>
      <c r="L65" s="30"/>
      <c r="M65" s="30"/>
      <c r="N65" s="30"/>
      <c r="O65" s="30"/>
      <c r="P65" s="30"/>
      <c r="Q65" s="30"/>
      <c r="R65" s="30"/>
      <c r="S65" s="119">
        <v>63</v>
      </c>
      <c r="T65" s="84" t="str">
        <v>BRILLIANT DYANTA PANDHEGA ADANIE</v>
      </c>
      <c r="U65" s="84" t="str">
        <v>(+62) 85746143243</v>
      </c>
      <c r="V65" s="84" t="s">
        <v>273</v>
      </c>
      <c r="W65" s="93" t="str">
        <v>ESSENSIAL</v>
      </c>
      <c r="X65" s="93">
        <v>279000</v>
      </c>
      <c r="Y65" s="30">
        <f>IF(V65="","", IF( COUNTIF($AA$3:$AA$1101, V65) + SUMPRODUCT(--ISNUMBER(SEARCH(LOWER(REGEXEXTRACT(TRIM(V65),"^[^@]+")), LOWER(TRIM($AA$3:$AA$1101))))) &gt; 0, "SUDAH BAYAR","BELUM" ))</f>
      </c>
      <c r="Z65" s="30"/>
      <c r="AA65" s="97"/>
      <c r="AB65" s="30"/>
      <c r="AC65" s="30"/>
      <c r="AD65" s="30"/>
      <c r="AE65" s="30"/>
      <c r="AF65" s="30"/>
      <c r="AG65" s="30"/>
      <c r="AH65" s="94"/>
      <c r="AI65" s="30"/>
      <c r="AJ65" s="88"/>
      <c r="AK65" s="17"/>
      <c r="AL65" s="95"/>
      <c r="AM65" s="30"/>
      <c r="AN65" s="30"/>
      <c r="AO65" s="30"/>
      <c r="AP65" s="30"/>
      <c r="AQ65" s="87"/>
      <c r="AR65" s="94"/>
      <c r="AS65" s="87"/>
      <c r="AT65" s="30">
        <v>65</v>
      </c>
      <c r="AU65" s="30" t="str">
        <v>Januardi</v>
      </c>
      <c r="AV65" s="30" t="str">
        <v>(+62) 82185349501</v>
      </c>
      <c r="AW65" s="30" t="s">
        <v>274</v>
      </c>
      <c r="AX65" s="30" t="str">
        <v>ESSENTIAL UMUM</v>
      </c>
      <c r="AY65" s="30">
        <v>1399000</v>
      </c>
      <c r="AZ65" s="30">
        <f>IF(AW65="","", IF(   COUNTIF($S$2:$S$176, AW65) +   SUMPRODUCT(--ISNUMBER(SEARCH(LOWER(REGEXEXTRACT(TRIM(AW65),"^[^@]+")), LOWER(TRIM($BB$2:$BB$86))))) &gt; 0,   "SUDAH BAYAR","BELUM" ))</f>
      </c>
      <c r="BA65" s="30"/>
      <c r="BB65" s="18"/>
      <c r="BC65" s="14"/>
      <c r="BD65" s="30"/>
      <c r="BE65" s="30"/>
      <c r="BF65" s="28"/>
      <c r="BG65" s="18"/>
      <c r="BH65" s="30"/>
      <c r="BI65" s="30"/>
      <c r="BJ65" s="30"/>
      <c r="BK65" s="30"/>
      <c r="BL65" s="30"/>
    </row>
    <row r="66">
      <c r="F66" s="30"/>
      <c r="G66" s="30"/>
      <c r="H66" s="30"/>
      <c r="I66" s="30"/>
      <c r="J66" s="30"/>
      <c r="K66" s="30"/>
      <c r="L66" s="30"/>
      <c r="M66" s="30"/>
      <c r="N66" s="30"/>
      <c r="O66" s="30"/>
      <c r="P66" s="30"/>
      <c r="Q66" s="30"/>
      <c r="R66" s="30"/>
      <c r="S66" s="84">
        <v>64</v>
      </c>
      <c r="T66" s="84" t="str">
        <v>Fidya MP</v>
      </c>
      <c r="U66" s="84" t="str">
        <v>(+62) 82317757383</v>
      </c>
      <c r="V66" s="84" t="s">
        <v>277</v>
      </c>
      <c r="W66" s="93" t="str">
        <v>ESSENSIAL</v>
      </c>
      <c r="X66" s="84">
        <v>299000</v>
      </c>
      <c r="Y66" s="30">
        <f>IF(V66="","", IF( COUNTIF($AA$3:$AA$1101, V66) + SUMPRODUCT(--ISNUMBER(SEARCH(LOWER(REGEXEXTRACT(TRIM(V66),"^[^@]+")), LOWER(TRIM($AA$3:$AA$1101))))) &gt; 0, "SUDAH BAYAR","BELUM" ))</f>
      </c>
      <c r="Z66" s="30"/>
      <c r="AA66" s="97"/>
      <c r="AB66" s="30"/>
      <c r="AC66" s="30"/>
      <c r="AD66" s="30"/>
      <c r="AE66" s="30"/>
      <c r="AF66" s="30"/>
      <c r="AG66" s="30"/>
      <c r="AH66" s="94"/>
      <c r="AI66" s="30"/>
      <c r="AJ66" s="88"/>
      <c r="AK66" s="17"/>
      <c r="AL66" s="95"/>
      <c r="AM66" s="30"/>
      <c r="AN66" s="30"/>
      <c r="AO66" s="30"/>
      <c r="AP66" s="30"/>
      <c r="AQ66" s="87"/>
      <c r="AR66" s="94"/>
      <c r="AS66" s="87"/>
      <c r="AT66" s="30">
        <v>66</v>
      </c>
      <c r="AU66" s="30" t="str">
        <v>sania fajrin ditya</v>
      </c>
      <c r="AV66" s="30" t="str">
        <v>(+62) 87765618108</v>
      </c>
      <c r="AW66" s="30" t="s">
        <v>278</v>
      </c>
      <c r="AX66" s="30" t="str">
        <v>ESSENTIAL UMUM</v>
      </c>
      <c r="AY66" s="30">
        <v>1399000</v>
      </c>
      <c r="AZ66" s="30">
        <f>IF(AW66="","", IF(   COUNTIF($S$2:$S$176, AW66) +   SUMPRODUCT(--ISNUMBER(SEARCH(LOWER(REGEXEXTRACT(TRIM(AW66),"^[^@]+")), LOWER(TRIM($BB$2:$BB$86))))) &gt; 0,   "SUDAH BAYAR","BELUM" ))</f>
      </c>
      <c r="BA66" s="30"/>
      <c r="BB66" s="18"/>
      <c r="BC66" s="14"/>
      <c r="BD66" s="30"/>
      <c r="BE66" s="30"/>
      <c r="BF66" s="28"/>
      <c r="BG66" s="18"/>
      <c r="BH66" s="30"/>
      <c r="BI66" s="30"/>
      <c r="BJ66" s="30"/>
      <c r="BK66" s="30"/>
      <c r="BL66" s="30"/>
    </row>
    <row r="67">
      <c r="F67" s="30"/>
      <c r="G67" s="30"/>
      <c r="H67" s="30"/>
      <c r="I67" s="30"/>
      <c r="J67" s="30"/>
      <c r="K67" s="30"/>
      <c r="L67" s="30"/>
      <c r="M67" s="30"/>
      <c r="N67" s="30"/>
      <c r="O67" s="30"/>
      <c r="P67" s="30"/>
      <c r="Q67" s="30"/>
      <c r="R67" s="30"/>
      <c r="S67" s="84">
        <v>65</v>
      </c>
      <c r="T67" s="84" t="str">
        <v>I Made Arya Weda Adnyana</v>
      </c>
      <c r="U67" s="84" t="str">
        <v>(+62) 81329771043</v>
      </c>
      <c r="V67" s="84" t="s">
        <v>268</v>
      </c>
      <c r="W67" s="93" t="str">
        <v>ESSENSIAL</v>
      </c>
      <c r="X67" s="84">
        <v>299000</v>
      </c>
      <c r="Y67" s="30">
        <f>IF(V67="","", IF( COUNTIF($AA$3:$AA$1101, V67) + SUMPRODUCT(--ISNUMBER(SEARCH(LOWER(REGEXEXTRACT(TRIM(V67),"^[^@]+")), LOWER(TRIM($AA$3:$AA$1101))))) &gt; 0, "SUDAH BAYAR","BELUM" ))</f>
      </c>
      <c r="Z67" s="30"/>
      <c r="AA67" s="97"/>
      <c r="AB67" s="30"/>
      <c r="AC67" s="30"/>
      <c r="AD67" s="30"/>
      <c r="AE67" s="30"/>
      <c r="AF67" s="30"/>
      <c r="AG67" s="30"/>
      <c r="AH67" s="94"/>
      <c r="AI67" s="30"/>
      <c r="AJ67" s="88"/>
      <c r="AK67" s="17"/>
      <c r="AL67" s="95"/>
      <c r="AM67" s="30"/>
      <c r="AN67" s="30"/>
      <c r="AO67" s="30"/>
      <c r="AP67" s="30"/>
      <c r="AQ67" s="87"/>
      <c r="AR67" s="94"/>
      <c r="AS67" s="87"/>
      <c r="AT67" s="30">
        <v>67</v>
      </c>
      <c r="AU67" s="30" t="str">
        <v>Bambang</v>
      </c>
      <c r="AV67" s="30" t="str">
        <v>(+62) 819637886438</v>
      </c>
      <c r="AW67" s="30" t="s">
        <v>269</v>
      </c>
      <c r="AX67" s="30" t="str">
        <v>ESSENTIAL UMUM</v>
      </c>
      <c r="AY67" s="30">
        <v>1399000</v>
      </c>
      <c r="AZ67" s="30">
        <f>IF(AW67="","", IF(   COUNTIF($S$2:$S$176, AW67) +   SUMPRODUCT(--ISNUMBER(SEARCH(LOWER(REGEXEXTRACT(TRIM(AW67),"^[^@]+")), LOWER(TRIM($BB$2:$BB$86))))) &gt; 0,   "SUDAH BAYAR","BELUM" ))</f>
      </c>
      <c r="BA67" s="30"/>
      <c r="BB67" s="18"/>
      <c r="BC67" s="14"/>
      <c r="BD67" s="30"/>
      <c r="BE67" s="30"/>
      <c r="BF67" s="28"/>
      <c r="BG67" s="18"/>
      <c r="BH67" s="30"/>
      <c r="BI67" s="30"/>
      <c r="BJ67" s="30"/>
      <c r="BK67" s="30"/>
      <c r="BL67" s="30"/>
    </row>
    <row r="68">
      <c r="F68" s="30"/>
      <c r="G68" s="30"/>
      <c r="H68" s="30"/>
      <c r="I68" s="30"/>
      <c r="J68" s="30"/>
      <c r="K68" s="30"/>
      <c r="L68" s="30"/>
      <c r="M68" s="30"/>
      <c r="N68" s="30"/>
      <c r="O68" s="30"/>
      <c r="P68" s="30"/>
      <c r="Q68" s="30"/>
      <c r="R68" s="30"/>
      <c r="S68" s="119">
        <v>66</v>
      </c>
      <c r="T68" s="84" t="str">
        <v>Aisah Taufik Hidayat Abdullah</v>
      </c>
      <c r="U68" s="84" t="str">
        <v>(+62) 82213739314</v>
      </c>
      <c r="V68" s="84" t="s">
        <v>270</v>
      </c>
      <c r="W68" s="84" t="str">
        <v>PAKET BUNDLING</v>
      </c>
      <c r="X68" s="84">
        <v>359000</v>
      </c>
      <c r="Y68" s="30">
        <f>IF(V68="","", IF( COUNTIF($AA$3:$AA$1101, V68) + SUMPRODUCT(--ISNUMBER(SEARCH(LOWER(REGEXEXTRACT(TRIM(V68),"^[^@]+")), LOWER(TRIM($AA$3:$AA$1101))))) &gt; 0, "SUDAH BAYAR","BELUM" ))</f>
      </c>
      <c r="Z68" s="30"/>
      <c r="AA68" s="97"/>
      <c r="AB68" s="30"/>
      <c r="AC68" s="30"/>
      <c r="AD68" s="30"/>
      <c r="AE68" s="30"/>
      <c r="AF68" s="30"/>
      <c r="AG68" s="30"/>
      <c r="AH68" s="94"/>
      <c r="AI68" s="30"/>
      <c r="AJ68" s="88"/>
      <c r="AK68" s="17"/>
      <c r="AL68" s="95"/>
      <c r="AM68" s="30"/>
      <c r="AN68" s="30"/>
      <c r="AO68" s="30"/>
      <c r="AP68" s="30"/>
      <c r="AQ68" s="87"/>
      <c r="AR68" s="94"/>
      <c r="AS68" s="87"/>
      <c r="AT68" s="30">
        <v>68</v>
      </c>
      <c r="AU68" s="30" t="str">
        <v>Ivana Purbaningtyas</v>
      </c>
      <c r="AV68" s="30" t="str">
        <v>(+62) 8974220209</v>
      </c>
      <c r="AW68" s="30" t="s">
        <v>271</v>
      </c>
      <c r="AX68" s="30" t="str">
        <v>ESSENTIAL MAHASISWA</v>
      </c>
      <c r="AY68" s="30">
        <v>1199000</v>
      </c>
      <c r="AZ68" s="30">
        <f>IF(AW68="","", IF(   COUNTIF($S$2:$S$176, AW68) +   SUMPRODUCT(--ISNUMBER(SEARCH(LOWER(REGEXEXTRACT(TRIM(AW68),"^[^@]+")), LOWER(TRIM($BB$2:$BB$86))))) &gt; 0,   "SUDAH BAYAR","BELUM" ))</f>
      </c>
      <c r="BA68" s="30"/>
      <c r="BB68" s="90"/>
      <c r="BC68" s="14"/>
      <c r="BD68" s="30"/>
      <c r="BE68" s="30"/>
      <c r="BF68" s="28"/>
      <c r="BG68" s="18"/>
      <c r="BH68" s="30"/>
      <c r="BI68" s="30"/>
      <c r="BJ68" s="30"/>
      <c r="BK68" s="30"/>
      <c r="BL68" s="30"/>
    </row>
    <row r="69">
      <c r="F69" s="30"/>
      <c r="G69" s="30"/>
      <c r="H69" s="30"/>
      <c r="I69" s="30"/>
      <c r="J69" s="30"/>
      <c r="K69" s="30"/>
      <c r="L69" s="30"/>
      <c r="M69" s="30"/>
      <c r="N69" s="30"/>
      <c r="O69" s="30"/>
      <c r="P69" s="30"/>
      <c r="Q69" s="30"/>
      <c r="R69" s="30"/>
      <c r="S69" s="119">
        <v>67</v>
      </c>
      <c r="T69" s="84" t="str">
        <v>Fauziyyah Nur Rachmadillah</v>
      </c>
      <c r="U69" s="84" t="str">
        <v>(+62) 81296664822</v>
      </c>
      <c r="V69" s="84" t="s">
        <v>256</v>
      </c>
      <c r="W69" s="93" t="str">
        <v>ESSENSIAL</v>
      </c>
      <c r="X69" s="84">
        <v>279000</v>
      </c>
      <c r="Y69" s="30">
        <f>IF(V69="","", IF( COUNTIF($AA$3:$AA$1101, V69) + SUMPRODUCT(--ISNUMBER(SEARCH(LOWER(REGEXEXTRACT(TRIM(V69),"^[^@]+")), LOWER(TRIM($AA$3:$AA$1101))))) &gt; 0, "SUDAH BAYAR","BELUM" ))</f>
      </c>
      <c r="Z69" s="30"/>
      <c r="AA69" s="97"/>
      <c r="AB69" s="30"/>
      <c r="AC69" s="30"/>
      <c r="AD69" s="30"/>
      <c r="AE69" s="30"/>
      <c r="AF69" s="30"/>
      <c r="AG69" s="30"/>
      <c r="AH69" s="94"/>
      <c r="AI69" s="30"/>
      <c r="AJ69" s="88"/>
      <c r="AK69" s="17"/>
      <c r="AL69" s="95"/>
      <c r="AM69" s="30"/>
      <c r="AN69" s="30"/>
      <c r="AO69" s="30"/>
      <c r="AP69" s="30"/>
      <c r="AQ69" s="87"/>
      <c r="AR69" s="94"/>
      <c r="AS69" s="87"/>
      <c r="AT69" s="30"/>
      <c r="AU69" s="30"/>
      <c r="AV69" s="30"/>
      <c r="AW69" s="30"/>
      <c r="AX69" s="30"/>
      <c r="AY69" s="30"/>
      <c r="AZ69" s="30"/>
      <c r="BA69" s="30"/>
      <c r="BB69" s="18"/>
      <c r="BC69" s="14"/>
      <c r="BD69" s="30"/>
      <c r="BE69" s="30"/>
      <c r="BF69" s="28"/>
      <c r="BG69" s="18"/>
      <c r="BH69" s="30"/>
      <c r="BI69" s="30"/>
      <c r="BJ69" s="30"/>
      <c r="BK69" s="30"/>
      <c r="BL69" s="30"/>
    </row>
    <row r="70">
      <c r="F70" s="30"/>
      <c r="G70" s="30"/>
      <c r="H70" s="30"/>
      <c r="I70" s="30"/>
      <c r="J70" s="30"/>
      <c r="K70" s="30"/>
      <c r="L70" s="30"/>
      <c r="M70" s="30"/>
      <c r="N70" s="30"/>
      <c r="O70" s="30"/>
      <c r="P70" s="30"/>
      <c r="Q70" s="30"/>
      <c r="R70" s="30"/>
      <c r="S70" s="119">
        <v>68</v>
      </c>
      <c r="T70" s="84" t="str">
        <v>ISNAINI NUR ADHIMA</v>
      </c>
      <c r="U70" s="84" t="str">
        <v>(+62) 81235537975</v>
      </c>
      <c r="V70" s="84" t="s">
        <v>264</v>
      </c>
      <c r="W70" s="93" t="str">
        <v>ESSENSIAL</v>
      </c>
      <c r="X70" s="84">
        <v>279000</v>
      </c>
      <c r="Y70" s="30">
        <f>IF(V70="","", IF( COUNTIF($AA$3:$AA$1101, V70) + SUMPRODUCT(--ISNUMBER(SEARCH(LOWER(REGEXEXTRACT(TRIM(V70),"^[^@]+")), LOWER(TRIM($AA$3:$AA$1101))))) &gt; 0, "SUDAH BAYAR","BELUM" ))</f>
      </c>
      <c r="Z70" s="30"/>
      <c r="AA70" s="97"/>
      <c r="AB70" s="30"/>
      <c r="AC70" s="30"/>
      <c r="AD70" s="30"/>
      <c r="AE70" s="30"/>
      <c r="AF70" s="30"/>
      <c r="AG70" s="30"/>
      <c r="AH70" s="94"/>
      <c r="AI70" s="30"/>
      <c r="AJ70" s="88"/>
      <c r="AK70" s="17"/>
      <c r="AL70" s="95"/>
      <c r="AM70" s="30"/>
      <c r="AN70" s="30"/>
      <c r="AO70" s="30"/>
      <c r="AP70" s="30"/>
      <c r="AQ70" s="87"/>
      <c r="AR70" s="94"/>
      <c r="AS70" s="87"/>
      <c r="AT70" s="30">
        <v>70</v>
      </c>
      <c r="AU70" s="30" t="str">
        <v>Septian Jackrianto</v>
      </c>
      <c r="AV70" s="30" t="str">
        <v>(+62) 81355830344</v>
      </c>
      <c r="AW70" s="30" t="s">
        <v>263</v>
      </c>
      <c r="AX70" s="30" t="str">
        <v>ESSENTIAL UMUM</v>
      </c>
      <c r="AY70" s="30">
        <v>1399000</v>
      </c>
      <c r="AZ70" s="30">
        <f>IF(AW70="","", IF(   COUNTIF($S$2:$S$176, AW70) +   SUMPRODUCT(--ISNUMBER(SEARCH(LOWER(REGEXEXTRACT(TRIM(AW70),"^[^@]+")), LOWER(TRIM($BB$2:$BB$86))))) &gt; 0,   "SUDAH BAYAR","BELUM" ))</f>
      </c>
      <c r="BA70" s="30"/>
      <c r="BB70" s="60"/>
      <c r="BC70" s="14"/>
      <c r="BD70" s="30"/>
      <c r="BE70" s="30"/>
      <c r="BF70" s="28"/>
      <c r="BG70" s="18"/>
      <c r="BH70" s="30"/>
      <c r="BI70" s="30"/>
      <c r="BJ70" s="30"/>
      <c r="BK70" s="30"/>
      <c r="BL70" s="30"/>
    </row>
    <row r="71">
      <c r="F71" s="30"/>
      <c r="G71" s="30"/>
      <c r="H71" s="30"/>
      <c r="I71" s="30"/>
      <c r="J71" s="30"/>
      <c r="K71" s="30"/>
      <c r="L71" s="30"/>
      <c r="M71" s="30"/>
      <c r="N71" s="30"/>
      <c r="O71" s="30"/>
      <c r="P71" s="30"/>
      <c r="Q71" s="30"/>
      <c r="R71" s="30"/>
      <c r="S71" s="96"/>
      <c r="T71" s="84"/>
      <c r="U71" s="84"/>
      <c r="V71" s="84"/>
      <c r="W71" s="93"/>
      <c r="X71" s="84"/>
      <c r="Y71" s="84"/>
      <c r="Z71" s="30"/>
      <c r="AA71" s="97"/>
      <c r="AB71" s="30"/>
      <c r="AC71" s="30"/>
      <c r="AD71" s="30"/>
      <c r="AE71" s="30"/>
      <c r="AF71" s="30"/>
      <c r="AG71" s="30"/>
      <c r="AH71" s="94"/>
      <c r="AI71" s="30"/>
      <c r="AJ71" s="88"/>
      <c r="AK71" s="17"/>
      <c r="AL71" s="95"/>
      <c r="AM71" s="30"/>
      <c r="AN71" s="30"/>
      <c r="AO71" s="30"/>
      <c r="AP71" s="30"/>
      <c r="AQ71" s="87"/>
      <c r="AR71" s="94"/>
      <c r="AS71" s="87"/>
      <c r="AT71" s="30">
        <v>71</v>
      </c>
      <c r="AU71" s="30" t="str">
        <v>Eka Rosita</v>
      </c>
      <c r="AV71" s="30" t="str">
        <v>(+62) 81286218369</v>
      </c>
      <c r="AW71" s="30" t="s">
        <v>242</v>
      </c>
      <c r="AX71" s="30" t="str">
        <v>ESSENTIAL UMUM</v>
      </c>
      <c r="AY71" s="30">
        <v>1399000</v>
      </c>
      <c r="AZ71" s="30">
        <f>IF(AW71="","", IF(   COUNTIF($S$2:$S$176, AW71) +   SUMPRODUCT(--ISNUMBER(SEARCH(LOWER(REGEXEXTRACT(TRIM(AW71),"^[^@]+")), LOWER(TRIM($BB$2:$BB$86))))) &gt; 0,   "SUDAH BAYAR","BELUM" ))</f>
      </c>
      <c r="BA71" s="30"/>
      <c r="BB71" s="18"/>
      <c r="BC71" s="14"/>
      <c r="BD71" s="30"/>
      <c r="BE71" s="30"/>
      <c r="BF71" s="28"/>
      <c r="BG71" s="18"/>
      <c r="BH71" s="30"/>
      <c r="BI71" s="30"/>
      <c r="BJ71" s="30"/>
      <c r="BK71" s="30"/>
      <c r="BL71" s="30"/>
    </row>
    <row r="72">
      <c r="F72" s="30"/>
      <c r="G72" s="30"/>
      <c r="H72" s="30"/>
      <c r="I72" s="30"/>
      <c r="J72" s="30"/>
      <c r="K72" s="30"/>
      <c r="L72" s="30"/>
      <c r="M72" s="30"/>
      <c r="N72" s="30"/>
      <c r="O72" s="30"/>
      <c r="P72" s="30"/>
      <c r="Q72" s="30"/>
      <c r="R72" s="30"/>
      <c r="S72" s="96"/>
      <c r="T72" s="30"/>
      <c r="U72" s="30"/>
      <c r="V72" s="30"/>
      <c r="W72" s="30"/>
      <c r="X72" s="6"/>
      <c r="Y72" s="30"/>
      <c r="Z72" s="30"/>
      <c r="AA72" s="97"/>
      <c r="AB72" s="30"/>
      <c r="AC72" s="30"/>
      <c r="AD72" s="30"/>
      <c r="AE72" s="30"/>
      <c r="AF72" s="30"/>
      <c r="AG72" s="30"/>
      <c r="AH72" s="94"/>
      <c r="AI72" s="30"/>
      <c r="AJ72" s="88"/>
      <c r="AK72" s="17"/>
      <c r="AL72" s="95"/>
      <c r="AM72" s="30"/>
      <c r="AN72" s="30"/>
      <c r="AO72" s="30"/>
      <c r="AP72" s="30"/>
      <c r="AQ72" s="87"/>
      <c r="AR72" s="94"/>
      <c r="AS72" s="87"/>
      <c r="AT72" s="30"/>
      <c r="AU72" s="30"/>
      <c r="AV72" s="30"/>
      <c r="AW72" s="30"/>
      <c r="AX72" s="30"/>
      <c r="AY72" s="30"/>
      <c r="AZ72" s="30"/>
      <c r="BA72" s="30"/>
      <c r="BB72" s="18"/>
      <c r="BC72" s="14"/>
      <c r="BD72" s="30"/>
      <c r="BE72" s="30"/>
      <c r="BF72" s="28"/>
      <c r="BG72" s="18"/>
      <c r="BH72" s="30"/>
      <c r="BI72" s="30"/>
      <c r="BJ72" s="30"/>
      <c r="BK72" s="30"/>
      <c r="BL72" s="30"/>
    </row>
    <row r="73">
      <c r="F73" s="30"/>
      <c r="G73" s="30"/>
      <c r="H73" s="30"/>
      <c r="I73" s="30"/>
      <c r="J73" s="30"/>
      <c r="K73" s="30"/>
      <c r="L73" s="30"/>
      <c r="M73" s="30"/>
      <c r="N73" s="30"/>
      <c r="O73" s="30"/>
      <c r="P73" s="30"/>
      <c r="Q73" s="30"/>
      <c r="R73" s="30"/>
      <c r="S73" s="96"/>
      <c r="T73" s="30"/>
      <c r="U73" s="30"/>
      <c r="V73" s="30"/>
      <c r="W73" s="30"/>
      <c r="X73" s="6"/>
      <c r="Y73" s="30"/>
      <c r="Z73" s="30"/>
      <c r="AA73" s="97"/>
      <c r="AB73" s="30"/>
      <c r="AC73" s="30"/>
      <c r="AD73" s="30"/>
      <c r="AE73" s="30"/>
      <c r="AF73" s="30"/>
      <c r="AG73" s="30"/>
      <c r="AH73" s="94"/>
      <c r="AI73" s="30"/>
      <c r="AJ73" s="88"/>
      <c r="AK73" s="17"/>
      <c r="AL73" s="95"/>
      <c r="AM73" s="30"/>
      <c r="AN73" s="30"/>
      <c r="AO73" s="30"/>
      <c r="AP73" s="30"/>
      <c r="AQ73" s="87"/>
      <c r="AR73" s="94"/>
      <c r="AS73" s="87"/>
      <c r="AT73" s="30">
        <v>73</v>
      </c>
      <c r="AU73" s="30" t="s">
        <v>320</v>
      </c>
      <c r="AV73" s="30" t="str">
        <v>(+62) 82140859631</v>
      </c>
      <c r="AW73" s="30" t="s">
        <v>320</v>
      </c>
      <c r="AX73" s="30" t="str">
        <v>ESSENTIAL UMUM</v>
      </c>
      <c r="AY73" s="30">
        <v>1399000</v>
      </c>
      <c r="AZ73" s="30">
        <f>IF(AW73="","", IF(   COUNTIF($S$2:$S$176, AW73) +   SUMPRODUCT(--ISNUMBER(SEARCH(LOWER(REGEXEXTRACT(TRIM(AW73),"^[^@]+")), LOWER(TRIM($BB$2:$BB$86))))) &gt; 0,   "SUDAH BAYAR","BELUM" ))</f>
      </c>
      <c r="BA73" s="30"/>
      <c r="BB73" s="18"/>
      <c r="BC73" s="14"/>
      <c r="BD73" s="30"/>
      <c r="BE73" s="30"/>
      <c r="BF73" s="28"/>
      <c r="BG73" s="129"/>
      <c r="BH73" s="30"/>
      <c r="BI73" s="30"/>
      <c r="BJ73" s="30"/>
      <c r="BK73" s="30"/>
      <c r="BL73" s="30"/>
    </row>
    <row r="74">
      <c r="F74" s="30"/>
      <c r="G74" s="30"/>
      <c r="H74" s="30"/>
      <c r="I74" s="30"/>
      <c r="J74" s="30"/>
      <c r="K74" s="30"/>
      <c r="L74" s="30"/>
      <c r="M74" s="30"/>
      <c r="N74" s="30"/>
      <c r="O74" s="30"/>
      <c r="P74" s="30"/>
      <c r="Q74" s="30"/>
      <c r="R74" s="30"/>
      <c r="S74" s="96"/>
      <c r="T74" s="30"/>
      <c r="U74" s="30"/>
      <c r="V74" s="30"/>
      <c r="W74" s="30"/>
      <c r="X74" s="6"/>
      <c r="Y74" s="30"/>
      <c r="Z74" s="30"/>
      <c r="AA74" s="97"/>
      <c r="AB74" s="30"/>
      <c r="AC74" s="30"/>
      <c r="AD74" s="30"/>
      <c r="AE74" s="30"/>
      <c r="AF74" s="30"/>
      <c r="AG74" s="30"/>
      <c r="AH74" s="94"/>
      <c r="AI74" s="30"/>
      <c r="AJ74" s="88"/>
      <c r="AK74" s="17"/>
      <c r="AL74" s="95"/>
      <c r="AM74" s="30"/>
      <c r="AN74" s="30"/>
      <c r="AO74" s="30"/>
      <c r="AP74" s="30"/>
      <c r="AQ74" s="87"/>
      <c r="AR74" s="94"/>
      <c r="AS74" s="87"/>
      <c r="AT74" s="30">
        <v>74</v>
      </c>
      <c r="AU74" s="30" t="str">
        <v>azima idzni rusydina</v>
      </c>
      <c r="AV74" s="30" t="str">
        <v>(+62) 851-7953-2542</v>
      </c>
      <c r="AW74" s="30" t="s">
        <v>324</v>
      </c>
      <c r="AX74" s="30" t="str">
        <v>ESSENTIAL UMUM</v>
      </c>
      <c r="AY74" s="30">
        <v>1399000</v>
      </c>
      <c r="AZ74" s="30">
        <f>IF(AW74="","", IF(   COUNTIF($S$2:$S$176, AW74) +   SUMPRODUCT(--ISNUMBER(SEARCH(LOWER(REGEXEXTRACT(TRIM(AW74),"^[^@]+")), LOWER(TRIM($BB$2:$BB$86))))) &gt; 0,   "SUDAH BAYAR","BELUM" ))</f>
      </c>
      <c r="BA74" s="30"/>
      <c r="BB74" s="18"/>
      <c r="BC74" s="14"/>
      <c r="BD74" s="30"/>
      <c r="BE74" s="30"/>
      <c r="BF74" s="28"/>
      <c r="BG74" s="18"/>
      <c r="BH74" s="30"/>
      <c r="BI74" s="30"/>
      <c r="BJ74" s="30"/>
      <c r="BK74" s="30"/>
      <c r="BL74" s="30"/>
    </row>
    <row r="75">
      <c r="F75" s="30"/>
      <c r="G75" s="30"/>
      <c r="H75" s="30"/>
      <c r="I75" s="30"/>
      <c r="J75" s="30"/>
      <c r="K75" s="30"/>
      <c r="L75" s="30"/>
      <c r="M75" s="30"/>
      <c r="N75" s="30"/>
      <c r="O75" s="30"/>
      <c r="P75" s="30"/>
      <c r="Q75" s="30"/>
      <c r="R75" s="30"/>
      <c r="S75" s="96"/>
      <c r="T75" s="30"/>
      <c r="U75" s="30"/>
      <c r="V75" s="30"/>
      <c r="W75" s="30"/>
      <c r="X75" s="6"/>
      <c r="Y75" s="30"/>
      <c r="Z75" s="30"/>
      <c r="AA75" s="97"/>
      <c r="AB75" s="30"/>
      <c r="AC75" s="30"/>
      <c r="AD75" s="30"/>
      <c r="AE75" s="30"/>
      <c r="AF75" s="30"/>
      <c r="AG75" s="30"/>
      <c r="AH75" s="94"/>
      <c r="AI75" s="30"/>
      <c r="AJ75" s="88"/>
      <c r="AK75" s="17"/>
      <c r="AL75" s="95"/>
      <c r="AM75" s="30"/>
      <c r="AN75" s="30"/>
      <c r="AO75" s="30"/>
      <c r="AP75" s="30"/>
      <c r="AQ75" s="87"/>
      <c r="AR75" s="94"/>
      <c r="AS75" s="87"/>
      <c r="AT75" s="30">
        <v>75</v>
      </c>
      <c r="AU75" s="30" t="str">
        <v>Zhillan Qisa Zhahiran</v>
      </c>
      <c r="AV75" s="30" t="str">
        <v>(+62) 085210807916</v>
      </c>
      <c r="AW75" s="30" t="s">
        <v>309</v>
      </c>
      <c r="AX75" s="30" t="str">
        <v>ESSENTIAL MAHASISWA</v>
      </c>
      <c r="AY75" s="30">
        <v>1199000</v>
      </c>
      <c r="AZ75" s="30">
        <f>IF(AW75="","", IF(   COUNTIF($S$2:$S$176, AW75) +   SUMPRODUCT(--ISNUMBER(SEARCH(LOWER(REGEXEXTRACT(TRIM(AW75),"^[^@]+")), LOWER(TRIM($BB$2:$BB$86))))) &gt; 0,   "SUDAH BAYAR","BELUM" ))</f>
      </c>
      <c r="BA75" s="14"/>
      <c r="BB75" s="18"/>
      <c r="BC75" s="14"/>
      <c r="BD75" s="30"/>
      <c r="BE75" s="30"/>
      <c r="BF75" s="98"/>
      <c r="BG75" s="3"/>
      <c r="BH75" s="30"/>
      <c r="BI75" s="30"/>
      <c r="BJ75" s="30"/>
      <c r="BK75" s="30"/>
      <c r="BL75" s="30"/>
    </row>
    <row r="76">
      <c r="F76" s="30"/>
      <c r="G76" s="30"/>
      <c r="H76" s="30"/>
      <c r="I76" s="30"/>
      <c r="J76" s="30"/>
      <c r="K76" s="30"/>
      <c r="L76" s="30"/>
      <c r="M76" s="30"/>
      <c r="N76" s="30"/>
      <c r="O76" s="30"/>
      <c r="P76" s="30"/>
      <c r="Q76" s="30"/>
      <c r="R76" s="30"/>
      <c r="S76" s="96"/>
      <c r="T76" s="30"/>
      <c r="U76" s="30"/>
      <c r="V76" s="30"/>
      <c r="W76" s="30"/>
      <c r="X76" s="6"/>
      <c r="Y76" s="30"/>
      <c r="Z76" s="30"/>
      <c r="AA76" s="97"/>
      <c r="AB76" s="30"/>
      <c r="AC76" s="30"/>
      <c r="AD76" s="30"/>
      <c r="AE76" s="30"/>
      <c r="AF76" s="30"/>
      <c r="AG76" s="30"/>
      <c r="AH76" s="94"/>
      <c r="AI76" s="30"/>
      <c r="AJ76" s="88"/>
      <c r="AK76" s="17"/>
      <c r="AL76" s="95"/>
      <c r="AM76" s="30"/>
      <c r="AN76" s="30"/>
      <c r="AO76" s="30"/>
      <c r="AP76" s="30"/>
      <c r="AQ76" s="87"/>
      <c r="AR76" s="94"/>
      <c r="AS76" s="87"/>
      <c r="AT76" s="30">
        <v>77</v>
      </c>
      <c r="AU76" s="30" t="str">
        <v>Priyanka</v>
      </c>
      <c r="AV76" s="30" t="str">
        <v>(+62) 081214440060</v>
      </c>
      <c r="AW76" s="30" t="s">
        <v>316</v>
      </c>
      <c r="AX76" s="30" t="str">
        <v>ESSENTIAL UMUM</v>
      </c>
      <c r="AY76" s="30">
        <v>1399000</v>
      </c>
      <c r="AZ76" s="30">
        <f>IF(AW76="","", IF(   COUNTIF($S$2:$S$176, AW76) +   SUMPRODUCT(--ISNUMBER(SEARCH(LOWER(REGEXEXTRACT(TRIM(AW76),"^[^@]+")), LOWER(TRIM($BB$2:$BB$86))))) &gt; 0,   "SUDAH BAYAR","BELUM" ))</f>
      </c>
      <c r="BA76" s="30"/>
      <c r="BB76" s="18"/>
      <c r="BC76" s="14"/>
      <c r="BD76" s="30"/>
      <c r="BE76" s="30"/>
      <c r="BF76" s="98"/>
      <c r="BG76" s="3"/>
      <c r="BH76" s="30"/>
      <c r="BI76" s="30"/>
      <c r="BJ76" s="30"/>
      <c r="BK76" s="30"/>
      <c r="BL76" s="30"/>
    </row>
    <row r="77">
      <c r="F77" s="30"/>
      <c r="G77" s="30"/>
      <c r="H77" s="30"/>
      <c r="I77" s="30"/>
      <c r="J77" s="30"/>
      <c r="K77" s="30"/>
      <c r="L77" s="30"/>
      <c r="M77" s="30"/>
      <c r="N77" s="30"/>
      <c r="O77" s="30"/>
      <c r="P77" s="30"/>
      <c r="Q77" s="30"/>
      <c r="R77" s="30"/>
      <c r="S77" s="96"/>
      <c r="T77" s="30"/>
      <c r="U77" s="30"/>
      <c r="V77" s="30"/>
      <c r="W77" s="30"/>
      <c r="X77" s="6"/>
      <c r="Y77" s="30"/>
      <c r="Z77" s="30"/>
      <c r="AA77" s="97"/>
      <c r="AB77" s="30"/>
      <c r="AC77" s="30"/>
      <c r="AD77" s="30"/>
      <c r="AE77" s="30"/>
      <c r="AF77" s="30"/>
      <c r="AG77" s="30"/>
      <c r="AH77" s="94"/>
      <c r="AI77" s="30"/>
      <c r="AJ77" s="88"/>
      <c r="AK77" s="17"/>
      <c r="AL77" s="95"/>
      <c r="AM77" s="30"/>
      <c r="AN77" s="30"/>
      <c r="AO77" s="30"/>
      <c r="AP77" s="30"/>
      <c r="AQ77" s="87"/>
      <c r="AR77" s="94"/>
      <c r="AS77" s="87"/>
      <c r="AT77" s="30">
        <v>78</v>
      </c>
      <c r="AU77" s="30" t="str">
        <v>PENDRI MIKOLA</v>
      </c>
      <c r="AV77" s="30" t="str">
        <v>(+62) 82154263445</v>
      </c>
      <c r="AW77" s="30" t="s">
        <v>298</v>
      </c>
      <c r="AX77" s="30" t="str">
        <v>ESSENTIAL MAHASISWA</v>
      </c>
      <c r="AY77" s="30">
        <v>1199000</v>
      </c>
      <c r="AZ77" s="30">
        <f>IF(AW77="","", IF(   COUNTIF($S$2:$S$176, AW77) +   SUMPRODUCT(--ISNUMBER(SEARCH(LOWER(REGEXEXTRACT(TRIM(AW77),"^[^@]+")), LOWER(TRIM($BB$2:$BB$86))))) &gt; 0,   "SUDAH BAYAR","BELUM" ))</f>
      </c>
      <c r="BA77" s="30"/>
      <c r="BB77" s="18"/>
      <c r="BC77" s="14"/>
      <c r="BD77" s="30"/>
      <c r="BE77" s="30"/>
      <c r="BF77" s="28"/>
      <c r="BG77" s="18"/>
      <c r="BH77" s="30"/>
      <c r="BI77" s="30"/>
      <c r="BJ77" s="30"/>
      <c r="BK77" s="30"/>
      <c r="BL77" s="30"/>
      <c r="BM77" s="30"/>
      <c r="BN77" s="30"/>
    </row>
    <row r="78">
      <c r="F78" s="30"/>
      <c r="G78" s="30"/>
      <c r="H78" s="30"/>
      <c r="I78" s="30"/>
      <c r="J78" s="30"/>
      <c r="K78" s="30"/>
      <c r="L78" s="30"/>
      <c r="M78" s="30"/>
      <c r="N78" s="30"/>
      <c r="O78" s="30"/>
      <c r="P78" s="30"/>
      <c r="Q78" s="30"/>
      <c r="R78" s="30"/>
      <c r="S78" s="96"/>
      <c r="T78" s="30"/>
      <c r="U78" s="30"/>
      <c r="V78" s="30"/>
      <c r="W78" s="30"/>
      <c r="X78" s="6"/>
      <c r="Y78" s="30"/>
      <c r="Z78" s="30"/>
      <c r="AA78" s="97"/>
      <c r="AB78" s="30"/>
      <c r="AC78" s="30"/>
      <c r="AD78" s="30"/>
      <c r="AE78" s="30"/>
      <c r="AF78" s="30"/>
      <c r="AG78" s="30"/>
      <c r="AH78" s="94"/>
      <c r="AI78" s="30"/>
      <c r="AJ78" s="88"/>
      <c r="AK78" s="17"/>
      <c r="AL78" s="95"/>
      <c r="AM78" s="30"/>
      <c r="AN78" s="30"/>
      <c r="AO78" s="30"/>
      <c r="AP78" s="30"/>
      <c r="AQ78" s="87"/>
      <c r="AR78" s="94"/>
      <c r="AS78" s="87"/>
      <c r="AT78" s="30">
        <v>79</v>
      </c>
      <c r="AU78" s="30" t="str">
        <v>J P Christofel S</v>
      </c>
      <c r="AV78" s="30" t="str">
        <v>(+62) 81263184547</v>
      </c>
      <c r="AW78" s="30" t="s">
        <v>303</v>
      </c>
      <c r="AX78" s="30" t="str">
        <v>ESSENTIAL UMUM</v>
      </c>
      <c r="AY78" s="30">
        <v>1399000</v>
      </c>
      <c r="AZ78" s="30">
        <f>IF(AW78="","", IF(   COUNTIF($S$2:$S$176, AW78) +   SUMPRODUCT(--ISNUMBER(SEARCH(LOWER(REGEXEXTRACT(TRIM(AW78),"^[^@]+")), LOWER(TRIM($BB$2:$BB$86))))) &gt; 0,   "SUDAH BAYAR","BELUM" ))</f>
      </c>
      <c r="BA78" s="30"/>
      <c r="BB78" s="18"/>
      <c r="BC78" s="14"/>
      <c r="BD78" s="30"/>
      <c r="BE78" s="30"/>
      <c r="BF78" s="98"/>
      <c r="BG78" s="3"/>
      <c r="BH78" s="30"/>
      <c r="BI78" s="30"/>
      <c r="BJ78" s="30"/>
      <c r="BK78" s="30"/>
      <c r="BL78" s="30"/>
      <c r="BM78" s="30"/>
      <c r="BN78" s="30"/>
    </row>
    <row r="79">
      <c r="F79" s="30"/>
      <c r="G79" s="30"/>
      <c r="H79" s="30"/>
      <c r="I79" s="30"/>
      <c r="J79" s="30"/>
      <c r="K79" s="30"/>
      <c r="L79" s="30"/>
      <c r="M79" s="30"/>
      <c r="N79" s="30"/>
      <c r="O79" s="30"/>
      <c r="P79" s="30"/>
      <c r="Q79" s="30"/>
      <c r="R79" s="30"/>
      <c r="S79" s="96"/>
      <c r="T79" s="30"/>
      <c r="U79" s="30"/>
      <c r="V79" s="30"/>
      <c r="W79" s="30"/>
      <c r="X79" s="6"/>
      <c r="Y79" s="30"/>
      <c r="Z79" s="30"/>
      <c r="AA79" s="97"/>
      <c r="AB79" s="30"/>
      <c r="AC79" s="30"/>
      <c r="AD79" s="30"/>
      <c r="AE79" s="30"/>
      <c r="AF79" s="30"/>
      <c r="AG79" s="30"/>
      <c r="AH79" s="94"/>
      <c r="AI79" s="30"/>
      <c r="AJ79" s="88"/>
      <c r="AK79" s="17"/>
      <c r="AL79" s="95"/>
      <c r="AM79" s="30"/>
      <c r="AN79" s="30"/>
      <c r="AO79" s="30"/>
      <c r="AP79" s="30"/>
      <c r="AQ79" s="87"/>
      <c r="AR79" s="94"/>
      <c r="AS79" s="87"/>
      <c r="AT79" s="30">
        <v>80</v>
      </c>
      <c r="AU79" s="30" t="str">
        <v>Shafa Muthia</v>
      </c>
      <c r="AV79" s="30" t="str">
        <v>(+62) 81517770046</v>
      </c>
      <c r="AW79" s="30" t="s">
        <v>284</v>
      </c>
      <c r="AX79" s="30" t="str">
        <v>ESSENTIAL MAHASISWA</v>
      </c>
      <c r="AY79" s="30">
        <v>1199000</v>
      </c>
      <c r="AZ79" s="30">
        <f>IF(AW79="","", IF(   COUNTIF($S$2:$S$176, AW79) +   SUMPRODUCT(--ISNUMBER(SEARCH(LOWER(REGEXEXTRACT(TRIM(AW79),"^[^@]+")), LOWER(TRIM($BB$2:$BB$86))))) &gt; 0,   "SUDAH BAYAR","BELUM" ))</f>
      </c>
      <c r="BA79" s="14"/>
      <c r="BB79" s="18"/>
      <c r="BC79" s="14"/>
      <c r="BD79" s="30"/>
      <c r="BE79" s="30"/>
      <c r="BF79" s="98"/>
      <c r="BG79" s="3"/>
      <c r="BH79" s="30"/>
      <c r="BI79" s="30"/>
      <c r="BJ79" s="30"/>
      <c r="BK79" s="30"/>
      <c r="BL79" s="30"/>
      <c r="BM79" s="30"/>
      <c r="BN79" s="30"/>
    </row>
    <row r="80">
      <c r="F80" s="30"/>
      <c r="G80" s="30"/>
      <c r="H80" s="30"/>
      <c r="I80" s="30"/>
      <c r="J80" s="30"/>
      <c r="K80" s="30"/>
      <c r="L80" s="30"/>
      <c r="M80" s="30"/>
      <c r="N80" s="30"/>
      <c r="O80" s="30"/>
      <c r="P80" s="30"/>
      <c r="Q80" s="30"/>
      <c r="R80" s="30"/>
      <c r="S80" s="96"/>
      <c r="T80" s="30"/>
      <c r="U80" s="30"/>
      <c r="V80" s="30"/>
      <c r="W80" s="30"/>
      <c r="X80" s="6"/>
      <c r="Y80" s="30"/>
      <c r="Z80" s="30"/>
      <c r="AA80" s="97"/>
      <c r="AB80" s="30"/>
      <c r="AC80" s="30"/>
      <c r="AD80" s="30"/>
      <c r="AE80" s="30"/>
      <c r="AF80" s="30"/>
      <c r="AG80" s="30"/>
      <c r="AH80" s="94"/>
      <c r="AI80" s="30"/>
      <c r="AJ80" s="88"/>
      <c r="AK80" s="17"/>
      <c r="AL80" s="95"/>
      <c r="AM80" s="30"/>
      <c r="AN80" s="30"/>
      <c r="AO80" s="30"/>
      <c r="AP80" s="30"/>
      <c r="AQ80" s="87"/>
      <c r="AR80" s="94"/>
      <c r="AS80" s="87"/>
      <c r="AT80" s="30">
        <v>82</v>
      </c>
      <c r="AU80" s="30" t="str">
        <v>Abdul Mujiib</v>
      </c>
      <c r="AV80" s="30" t="str">
        <v>(+62) 82323528841</v>
      </c>
      <c r="AW80" s="30" t="s">
        <v>290</v>
      </c>
      <c r="AX80" s="30" t="str">
        <v>ESSENTIAL UMUM</v>
      </c>
      <c r="AY80" s="30">
        <v>1399000</v>
      </c>
      <c r="AZ80" s="30">
        <f>IF(AW80="","", IF(   COUNTIF($S$2:$S$176, AW80) +   SUMPRODUCT(--ISNUMBER(SEARCH(LOWER(REGEXEXTRACT(TRIM(AW80),"^[^@]+")), LOWER(TRIM($BB$2:$BB$86))))) &gt; 0,   "SUDAH BAYAR","BELUM" ))</f>
      </c>
      <c r="BA80" s="30"/>
      <c r="BB80" s="18"/>
      <c r="BC80" s="14"/>
      <c r="BD80" s="30"/>
      <c r="BE80" s="30"/>
      <c r="BF80" s="98"/>
      <c r="BG80" s="3"/>
      <c r="BH80" s="30"/>
      <c r="BI80" s="30"/>
      <c r="BJ80" s="30"/>
      <c r="BK80" s="30"/>
      <c r="BL80" s="30"/>
      <c r="BM80" s="30"/>
      <c r="BN80" s="30"/>
    </row>
    <row r="81">
      <c r="F81" s="30"/>
      <c r="G81" s="30"/>
      <c r="H81" s="30"/>
      <c r="I81" s="30"/>
      <c r="J81" s="30"/>
      <c r="K81" s="30"/>
      <c r="L81" s="30"/>
      <c r="M81" s="30"/>
      <c r="N81" s="30"/>
      <c r="O81" s="30"/>
      <c r="P81" s="30"/>
      <c r="Q81" s="30"/>
      <c r="R81" s="30"/>
      <c r="S81" s="96"/>
      <c r="T81" s="30"/>
      <c r="U81" s="30"/>
      <c r="V81" s="30"/>
      <c r="W81" s="30"/>
      <c r="X81" s="6"/>
      <c r="Y81" s="30"/>
      <c r="Z81" s="30"/>
      <c r="AA81" s="97"/>
      <c r="AB81" s="30"/>
      <c r="AC81" s="30"/>
      <c r="AD81" s="30"/>
      <c r="AE81" s="30"/>
      <c r="AF81" s="30"/>
      <c r="AG81" s="30"/>
      <c r="AH81" s="94"/>
      <c r="AI81" s="30"/>
      <c r="AJ81" s="88"/>
      <c r="AK81" s="17"/>
      <c r="AL81" s="95"/>
      <c r="AM81" s="30"/>
      <c r="AN81" s="30"/>
      <c r="AO81" s="30"/>
      <c r="AP81" s="30"/>
      <c r="AQ81" s="87"/>
      <c r="AR81" s="94"/>
      <c r="AS81" s="87"/>
      <c r="AT81" s="30">
        <v>83</v>
      </c>
      <c r="AU81" s="30" t="str">
        <v>Alda Mutiara Putri</v>
      </c>
      <c r="AV81" s="30" t="str">
        <v>(+62) 895609841714</v>
      </c>
      <c r="AW81" s="30" t="s">
        <v>48</v>
      </c>
      <c r="AX81" s="30" t="str">
        <v>ESSENTIAL MAHASISWA</v>
      </c>
      <c r="AY81" s="30">
        <v>1199000</v>
      </c>
      <c r="AZ81" s="30">
        <f>IF(AW81="","", IF(   COUNTIF($S$2:$S$176, AW81) +   SUMPRODUCT(--ISNUMBER(SEARCH(LOWER(REGEXEXTRACT(TRIM(AW81),"^[^@]+")), LOWER(TRIM($BB$2:$BB$86))))) &gt; 0,   "SUDAH BAYAR","BELUM" ))</f>
      </c>
      <c r="BA81" s="30"/>
      <c r="BB81" s="18"/>
      <c r="BC81" s="14"/>
      <c r="BD81" s="30"/>
      <c r="BE81" s="30"/>
      <c r="BF81" s="98"/>
      <c r="BG81" s="3"/>
      <c r="BH81" s="30"/>
      <c r="BI81" s="30"/>
      <c r="BJ81" s="30"/>
      <c r="BK81" s="30"/>
      <c r="BL81" s="30"/>
      <c r="BM81" s="30"/>
      <c r="BN81" s="30"/>
    </row>
    <row r="82">
      <c r="F82" s="30"/>
      <c r="G82" s="30"/>
      <c r="H82" s="30"/>
      <c r="I82" s="30"/>
      <c r="J82" s="30"/>
      <c r="K82" s="30"/>
      <c r="L82" s="30"/>
      <c r="M82" s="30"/>
      <c r="N82" s="30"/>
      <c r="O82" s="30"/>
      <c r="P82" s="30"/>
      <c r="Q82" s="30"/>
      <c r="R82" s="30"/>
      <c r="S82" s="96"/>
      <c r="T82" s="30"/>
      <c r="U82" s="30"/>
      <c r="V82" s="30"/>
      <c r="W82" s="30"/>
      <c r="X82" s="6"/>
      <c r="Y82" s="30"/>
      <c r="Z82" s="30"/>
      <c r="AA82" s="97"/>
      <c r="AB82" s="30"/>
      <c r="AC82" s="30"/>
      <c r="AD82" s="30"/>
      <c r="AE82" s="30"/>
      <c r="AF82" s="30"/>
      <c r="AG82" s="30"/>
      <c r="AH82" s="94"/>
      <c r="AI82" s="30"/>
      <c r="AJ82" s="88"/>
      <c r="AK82" s="17"/>
      <c r="AL82" s="95"/>
      <c r="AM82" s="30"/>
      <c r="AN82" s="30"/>
      <c r="AO82" s="30"/>
      <c r="AP82" s="30"/>
      <c r="AQ82" s="87"/>
      <c r="AR82" s="94"/>
      <c r="AS82" s="87"/>
      <c r="AT82" s="30">
        <v>84</v>
      </c>
      <c r="AU82" s="30" t="str">
        <v>Harnisyah Semira Aziz</v>
      </c>
      <c r="AV82" s="30" t="str">
        <v>(+62) 89510753944</v>
      </c>
      <c r="AW82" s="30" t="s">
        <v>52</v>
      </c>
      <c r="AX82" s="30" t="str">
        <v>ESSENTIAL MAHASISWA</v>
      </c>
      <c r="AY82" s="30">
        <v>1199000</v>
      </c>
      <c r="AZ82" s="30">
        <f>IF(AW82="","", IF(   COUNTIF($S$2:$S$176, AW82) +   SUMPRODUCT(--ISNUMBER(SEARCH(LOWER(REGEXEXTRACT(TRIM(AW82),"^[^@]+")), LOWER(TRIM($BB$2:$BB$86))))) &gt; 0,   "SUDAH BAYAR","BELUM" ))</f>
      </c>
      <c r="BA82" s="30"/>
      <c r="BB82" s="18"/>
      <c r="BC82" s="30"/>
      <c r="BD82" s="30"/>
      <c r="BE82" s="30"/>
      <c r="BF82" s="98"/>
      <c r="BG82" s="3"/>
      <c r="BH82" s="30"/>
      <c r="BI82" s="30"/>
      <c r="BJ82" s="30"/>
      <c r="BK82" s="30"/>
      <c r="BL82" s="30"/>
      <c r="BM82" s="30"/>
      <c r="BN82" s="30"/>
    </row>
    <row r="83">
      <c r="F83" s="30"/>
      <c r="G83" s="30"/>
      <c r="H83" s="30"/>
      <c r="I83" s="30"/>
      <c r="J83" s="30"/>
      <c r="K83" s="30"/>
      <c r="L83" s="30"/>
      <c r="M83" s="30"/>
      <c r="N83" s="30"/>
      <c r="O83" s="30"/>
      <c r="P83" s="30"/>
      <c r="Q83" s="30"/>
      <c r="R83" s="30"/>
      <c r="S83" s="96"/>
      <c r="T83" s="30"/>
      <c r="U83" s="30"/>
      <c r="V83" s="30"/>
      <c r="W83" s="30"/>
      <c r="X83" s="6"/>
      <c r="Y83" s="30"/>
      <c r="Z83" s="30"/>
      <c r="AA83" s="97"/>
      <c r="AB83" s="30"/>
      <c r="AC83" s="30"/>
      <c r="AD83" s="30"/>
      <c r="AE83" s="30"/>
      <c r="AF83" s="30"/>
      <c r="AG83" s="30"/>
      <c r="AH83" s="94"/>
      <c r="AI83" s="30"/>
      <c r="AJ83" s="88"/>
      <c r="AK83" s="17"/>
      <c r="AL83" s="95"/>
      <c r="AM83" s="30"/>
      <c r="AN83" s="30"/>
      <c r="AO83" s="30"/>
      <c r="AP83" s="30"/>
      <c r="AQ83" s="87"/>
      <c r="AR83" s="94"/>
      <c r="AS83" s="87"/>
      <c r="AT83" s="30">
        <v>86</v>
      </c>
      <c r="AU83" s="30" t="str">
        <v>Fath Auli Muhamad</v>
      </c>
      <c r="AV83" s="30" t="str">
        <v>(+62) 85600934178</v>
      </c>
      <c r="AW83" s="30" t="s">
        <v>34</v>
      </c>
      <c r="AX83" s="30" t="str">
        <v>ESSENTIAL MAHASISWA</v>
      </c>
      <c r="AY83" s="30">
        <v>1199000</v>
      </c>
      <c r="AZ83" s="30">
        <f>IF(AW83="","", IF(   COUNTIF($S$2:$S$176, AW83) +   SUMPRODUCT(--ISNUMBER(SEARCH(LOWER(REGEXEXTRACT(TRIM(AW83),"^[^@]+")), LOWER(TRIM($BB$2:$BB$86))))) &gt; 0,   "SUDAH BAYAR","BELUM" ))</f>
      </c>
      <c r="BA83" s="30"/>
      <c r="BB83" s="18"/>
      <c r="BC83" s="30"/>
      <c r="BD83" s="30"/>
      <c r="BE83" s="30"/>
      <c r="BF83" s="98"/>
      <c r="BG83" s="3"/>
      <c r="BH83" s="30"/>
      <c r="BI83" s="30"/>
      <c r="BJ83" s="30"/>
      <c r="BK83" s="30"/>
      <c r="BL83" s="30"/>
      <c r="BM83" s="30"/>
      <c r="BN83" s="30"/>
    </row>
    <row r="84">
      <c r="F84" s="30"/>
      <c r="G84" s="30"/>
      <c r="H84" s="30"/>
      <c r="I84" s="30"/>
      <c r="J84" s="30"/>
      <c r="K84" s="30"/>
      <c r="L84" s="30"/>
      <c r="M84" s="30"/>
      <c r="N84" s="30"/>
      <c r="O84" s="30"/>
      <c r="P84" s="30"/>
      <c r="Q84" s="30"/>
      <c r="R84" s="30"/>
      <c r="S84" s="96"/>
      <c r="T84" s="30"/>
      <c r="U84" s="30"/>
      <c r="V84" s="30"/>
      <c r="W84" s="30"/>
      <c r="X84" s="6"/>
      <c r="Y84" s="30"/>
      <c r="Z84" s="30"/>
      <c r="AA84" s="97"/>
      <c r="AB84" s="30"/>
      <c r="AC84" s="30"/>
      <c r="AD84" s="30"/>
      <c r="AE84" s="30"/>
      <c r="AF84" s="30"/>
      <c r="AG84" s="30"/>
      <c r="AH84" s="94"/>
      <c r="AI84" s="30"/>
      <c r="AJ84" s="88"/>
      <c r="AK84" s="17"/>
      <c r="AL84" s="95"/>
      <c r="AM84" s="30"/>
      <c r="AN84" s="30"/>
      <c r="AO84" s="30"/>
      <c r="AP84" s="30"/>
      <c r="AQ84" s="87"/>
      <c r="AR84" s="94"/>
      <c r="AS84" s="87"/>
      <c r="AT84" s="30">
        <v>87</v>
      </c>
      <c r="AU84" s="106" t="str">
        <v>Imam Setiawan</v>
      </c>
      <c r="AV84" s="106" t="str">
        <v>(+62) 85847191253</v>
      </c>
      <c r="AW84" s="106" t="s">
        <v>41</v>
      </c>
      <c r="AX84" s="106" t="str">
        <v>ESSENSIAL MAHASISWA</v>
      </c>
      <c r="AY84" s="106">
        <v>999000</v>
      </c>
      <c r="AZ84" s="30">
        <f>IF(AW84="","", IF(   COUNTIF($S$2:$S$176, AW84) +   SUMPRODUCT(--ISNUMBER(SEARCH(LOWER(REGEXEXTRACT(TRIM(AW84),"^[^@]+")), LOWER(TRIM($BB$2:$BB$86))))) &gt; 0,   "SUDAH BAYAR","BELUM" ))</f>
      </c>
      <c r="BB84" s="18"/>
      <c r="BC84" s="14"/>
      <c r="BF84" s="98"/>
      <c r="BG84" s="3"/>
    </row>
    <row r="85">
      <c r="F85" s="30"/>
      <c r="G85" s="30"/>
      <c r="H85" s="30"/>
      <c r="I85" s="30"/>
      <c r="J85" s="30"/>
      <c r="K85" s="30"/>
      <c r="L85" s="30"/>
      <c r="M85" s="30"/>
      <c r="N85" s="30"/>
      <c r="O85" s="30"/>
      <c r="P85" s="30"/>
      <c r="Q85" s="30"/>
      <c r="R85" s="30"/>
      <c r="S85" s="96"/>
      <c r="T85" s="30"/>
      <c r="U85" s="30"/>
      <c r="V85" s="30"/>
      <c r="W85" s="30"/>
      <c r="X85" s="6"/>
      <c r="Y85" s="30"/>
      <c r="Z85" s="30"/>
      <c r="AA85" s="97"/>
      <c r="AB85" s="30"/>
      <c r="AC85" s="30"/>
      <c r="AD85" s="30"/>
      <c r="AE85" s="30"/>
      <c r="AF85" s="30"/>
      <c r="AG85" s="30"/>
      <c r="AH85" s="94"/>
      <c r="AI85" s="30"/>
      <c r="AJ85" s="88"/>
      <c r="AK85" s="17"/>
      <c r="AL85" s="95"/>
      <c r="AM85" s="30"/>
      <c r="AN85" s="30"/>
      <c r="AO85" s="30"/>
      <c r="AP85" s="30"/>
      <c r="AQ85" s="87"/>
      <c r="AR85" s="94"/>
      <c r="AS85" s="87"/>
      <c r="AT85" s="30">
        <v>88</v>
      </c>
      <c r="AU85" s="106" t="str">
        <v>Shabrina Divania Ratulina</v>
      </c>
      <c r="AV85" s="106" t="str">
        <v>(+62) 82114656949</v>
      </c>
      <c r="AW85" s="106" t="s">
        <v>18</v>
      </c>
      <c r="AX85" s="106" t="str">
        <v>ESSENSIAL MAHASISWA</v>
      </c>
      <c r="AY85" s="106">
        <v>999000</v>
      </c>
      <c r="AZ85" s="30">
        <f>IF(AW85="","", IF(   COUNTIF($S$2:$S$176, AW85) +   SUMPRODUCT(--ISNUMBER(SEARCH(LOWER(REGEXEXTRACT(TRIM(AW85),"^[^@]+")), LOWER(TRIM($BB$2:$BB$86))))) &gt; 0,   "SUDAH BAYAR","BELUM" ))</f>
      </c>
      <c r="BB85" s="18"/>
      <c r="BC85" s="14"/>
      <c r="BF85" s="98"/>
      <c r="BG85" s="3"/>
    </row>
    <row r="86">
      <c r="F86" s="30"/>
      <c r="G86" s="30"/>
      <c r="H86" s="30"/>
      <c r="I86" s="30"/>
      <c r="J86" s="30"/>
      <c r="K86" s="30"/>
      <c r="L86" s="30"/>
      <c r="M86" s="30"/>
      <c r="N86" s="30"/>
      <c r="O86" s="30"/>
      <c r="P86" s="30"/>
      <c r="Q86" s="30"/>
      <c r="R86" s="30"/>
      <c r="S86" s="96"/>
      <c r="T86" s="30"/>
      <c r="U86" s="30"/>
      <c r="V86" s="30"/>
      <c r="W86" s="30"/>
      <c r="X86" s="6"/>
      <c r="Y86" s="30"/>
      <c r="Z86" s="30"/>
      <c r="AA86" s="97"/>
      <c r="AB86" s="30"/>
      <c r="AC86" s="30"/>
      <c r="AD86" s="30"/>
      <c r="AE86" s="30"/>
      <c r="AF86" s="30"/>
      <c r="AG86" s="30"/>
      <c r="AH86" s="94"/>
      <c r="AI86" s="30"/>
      <c r="AJ86" s="88"/>
      <c r="AK86" s="17"/>
      <c r="AL86" s="95"/>
      <c r="AM86" s="30"/>
      <c r="AN86" s="30"/>
      <c r="AO86" s="30"/>
      <c r="AP86" s="30"/>
      <c r="AQ86" s="87"/>
      <c r="AR86" s="94"/>
      <c r="AS86" s="87"/>
      <c r="AT86" s="30">
        <v>89</v>
      </c>
      <c r="AU86" s="30" t="str">
        <v>Muhammad Akmal Tian Tsauban</v>
      </c>
      <c r="AV86" s="30" t="str">
        <v>(+62) 082242406066</v>
      </c>
      <c r="AW86" s="30" t="s">
        <v>26</v>
      </c>
      <c r="AX86" s="30" t="str">
        <v>ESSENTIAL MAHASISWA</v>
      </c>
      <c r="AY86" s="30">
        <v>1199000</v>
      </c>
      <c r="AZ86" s="30">
        <f>IF(AW86="","", IF(   COUNTIF($S$2:$S$176, AW86) +   SUMPRODUCT(--ISNUMBER(SEARCH(LOWER(REGEXEXTRACT(TRIM(AW86),"^[^@]+")), LOWER(TRIM($BB$2:$BB$86))))) &gt; 0,   "SUDAH BAYAR","BELUM" ))</f>
      </c>
      <c r="BB86" s="18"/>
      <c r="BC86" s="14"/>
      <c r="BF86" s="98"/>
      <c r="BG86" s="3"/>
    </row>
    <row r="87">
      <c r="F87" s="30"/>
      <c r="G87" s="30"/>
      <c r="H87" s="30"/>
      <c r="I87" s="30"/>
      <c r="J87" s="30"/>
      <c r="K87" s="30"/>
      <c r="L87" s="30"/>
      <c r="M87" s="30"/>
      <c r="N87" s="30"/>
      <c r="O87" s="30"/>
      <c r="P87" s="30"/>
      <c r="Q87" s="30"/>
      <c r="R87" s="30"/>
      <c r="S87" s="96"/>
      <c r="T87" s="30"/>
      <c r="U87" s="30"/>
      <c r="V87" s="30"/>
      <c r="W87" s="30"/>
      <c r="X87" s="6"/>
      <c r="Y87" s="30"/>
      <c r="Z87" s="30"/>
      <c r="AA87" s="97"/>
      <c r="AB87" s="30"/>
      <c r="AC87" s="30"/>
      <c r="AD87" s="30"/>
      <c r="AE87" s="30"/>
      <c r="AF87" s="30"/>
      <c r="AG87" s="30"/>
      <c r="AH87" s="94"/>
      <c r="AI87" s="30"/>
      <c r="AJ87" s="88"/>
      <c r="AK87" s="17"/>
      <c r="AL87" s="95"/>
      <c r="AM87" s="30"/>
      <c r="AN87" s="30"/>
      <c r="AO87" s="30"/>
      <c r="AP87" s="30"/>
      <c r="AQ87" s="87"/>
      <c r="AR87" s="94"/>
      <c r="AS87" s="87"/>
      <c r="AT87" s="30">
        <v>91</v>
      </c>
      <c r="AU87" s="30" t="str">
        <v>Muhammad Aryasatya Rafliandi</v>
      </c>
      <c r="AV87" s="30" t="str">
        <v>(+62) 89507155166</v>
      </c>
      <c r="AW87" s="30" t="s">
        <v>327</v>
      </c>
      <c r="AX87" s="30" t="str">
        <v>ESSENTIAL UMUM</v>
      </c>
      <c r="AY87" s="30">
        <v>1399000</v>
      </c>
      <c r="AZ87" s="30">
        <f>IF(AW87="","", IF(   COUNTIF($S$2:$S$176, AW87) +   SUMPRODUCT(--ISNUMBER(SEARCH(LOWER(REGEXEXTRACT(TRIM(AW87),"^[^@]+")), LOWER(TRIM($BB$2:$BB$86))))) &gt; 0,   "SUDAH BAYAR","BELUM" ))</f>
      </c>
      <c r="BB87" s="18"/>
      <c r="BC87" s="14"/>
      <c r="BF87" s="98"/>
      <c r="BG87" s="3"/>
    </row>
    <row r="88">
      <c r="F88" s="30"/>
      <c r="G88" s="30"/>
      <c r="H88" s="30"/>
      <c r="I88" s="30"/>
      <c r="J88" s="30"/>
      <c r="K88" s="30"/>
      <c r="L88" s="30"/>
      <c r="M88" s="30"/>
      <c r="N88" s="30"/>
      <c r="O88" s="30"/>
      <c r="P88" s="30"/>
      <c r="Q88" s="30"/>
      <c r="R88" s="30"/>
      <c r="S88" s="96"/>
      <c r="T88" s="30"/>
      <c r="U88" s="30"/>
      <c r="V88" s="30"/>
      <c r="W88" s="30"/>
      <c r="X88" s="6"/>
      <c r="Y88" s="30"/>
      <c r="Z88" s="30"/>
      <c r="AA88" s="97"/>
      <c r="AB88" s="30"/>
      <c r="AC88" s="30"/>
      <c r="AD88" s="30"/>
      <c r="AE88" s="30"/>
      <c r="AF88" s="30"/>
      <c r="AG88" s="30"/>
      <c r="AH88" s="94"/>
      <c r="AI88" s="30"/>
      <c r="AJ88" s="88"/>
      <c r="AK88" s="17"/>
      <c r="AL88" s="95"/>
      <c r="AM88" s="30"/>
      <c r="AN88" s="30"/>
      <c r="AO88" s="30"/>
      <c r="AP88" s="30"/>
      <c r="AQ88" s="87"/>
      <c r="AR88" s="94"/>
      <c r="AS88" s="87"/>
      <c r="AT88" s="30">
        <v>92</v>
      </c>
      <c r="AU88" s="30" t="str">
        <v>Hasriati Cu’ la</v>
      </c>
      <c r="AV88" s="30" t="str">
        <v>(+62) 82348469373</v>
      </c>
      <c r="AW88" s="30" t="s">
        <v>12</v>
      </c>
      <c r="AX88" s="30" t="str">
        <v>ESSENTIAL UMUM</v>
      </c>
      <c r="AY88" s="30">
        <v>1399000</v>
      </c>
      <c r="AZ88" s="30">
        <f>IF(AW88="","", IF(   COUNTIF($S$2:$S$176, AW88) +   SUMPRODUCT(--ISNUMBER(SEARCH(LOWER(REGEXEXTRACT(TRIM(AW88),"^[^@]+")), LOWER(TRIM($BB$2:$BB$86))))) &gt; 0,   "SUDAH BAYAR","BELUM" ))</f>
      </c>
      <c r="BB88" s="18"/>
      <c r="BC88" s="14"/>
      <c r="BF88" s="98"/>
      <c r="BG88" s="3"/>
    </row>
    <row r="89">
      <c r="F89" s="30"/>
      <c r="G89" s="30"/>
      <c r="H89" s="30"/>
      <c r="I89" s="30"/>
      <c r="J89" s="30"/>
      <c r="K89" s="30"/>
      <c r="L89" s="30"/>
      <c r="M89" s="30"/>
      <c r="N89" s="30"/>
      <c r="O89" s="30"/>
      <c r="P89" s="30"/>
      <c r="Q89" s="30"/>
      <c r="R89" s="30"/>
      <c r="S89" s="96"/>
      <c r="T89" s="30"/>
      <c r="U89" s="30"/>
      <c r="V89" s="30"/>
      <c r="W89" s="30"/>
      <c r="X89" s="6"/>
      <c r="Y89" s="30"/>
      <c r="Z89" s="30"/>
      <c r="AA89" s="97"/>
      <c r="AB89" s="30"/>
      <c r="AC89" s="30"/>
      <c r="AD89" s="30"/>
      <c r="AE89" s="30"/>
      <c r="AF89" s="30"/>
      <c r="AG89" s="30"/>
      <c r="AH89" s="94"/>
      <c r="AI89" s="30"/>
      <c r="AJ89" s="88"/>
      <c r="AK89" s="17"/>
      <c r="AL89" s="95"/>
      <c r="AM89" s="30"/>
      <c r="AN89" s="30"/>
      <c r="AO89" s="30"/>
      <c r="AP89" s="30"/>
      <c r="AQ89" s="87"/>
      <c r="AR89" s="94"/>
      <c r="AS89" s="87"/>
      <c r="AT89" s="30">
        <v>93</v>
      </c>
      <c r="AU89" s="30" t="str">
        <v>Dimas Riyan Hidayat</v>
      </c>
      <c r="AV89" s="30" t="str">
        <v>(+62) 8812848241</v>
      </c>
      <c r="AW89" s="30" t="s">
        <v>82</v>
      </c>
      <c r="AX89" s="30" t="str">
        <v>ESSENTIAL MAHASISWA</v>
      </c>
      <c r="AY89" s="30">
        <v>1199000</v>
      </c>
      <c r="AZ89" s="30">
        <f>IF(AW89="","", IF(   COUNTIF($S$2:$S$176, AW89) +   SUMPRODUCT(--ISNUMBER(SEARCH(LOWER(REGEXEXTRACT(TRIM(AW89),"^[^@]+")), LOWER(TRIM($BB$2:$BB$86))))) &gt; 0,   "SUDAH BAYAR","BELUM" ))</f>
      </c>
      <c r="BB89" s="18"/>
      <c r="BC89" s="14"/>
      <c r="BF89" s="3"/>
      <c r="BG89" s="3"/>
    </row>
    <row r="90">
      <c r="F90" s="30"/>
      <c r="G90" s="30"/>
      <c r="H90" s="30"/>
      <c r="I90" s="30"/>
      <c r="J90" s="30"/>
      <c r="K90" s="30"/>
      <c r="L90" s="30"/>
      <c r="M90" s="30"/>
      <c r="N90" s="30"/>
      <c r="O90" s="30"/>
      <c r="P90" s="30"/>
      <c r="Q90" s="30"/>
      <c r="R90" s="30"/>
      <c r="S90" s="96"/>
      <c r="T90" s="30"/>
      <c r="U90" s="30"/>
      <c r="V90" s="30"/>
      <c r="W90" s="30"/>
      <c r="X90" s="6"/>
      <c r="Y90" s="30"/>
      <c r="Z90" s="30"/>
      <c r="AA90" s="97"/>
      <c r="AB90" s="30"/>
      <c r="AC90" s="30"/>
      <c r="AD90" s="30"/>
      <c r="AE90" s="30"/>
      <c r="AF90" s="30"/>
      <c r="AG90" s="30"/>
      <c r="AH90" s="94"/>
      <c r="AI90" s="30"/>
      <c r="AJ90" s="88"/>
      <c r="AK90" s="17"/>
      <c r="AL90" s="95"/>
      <c r="AM90" s="30"/>
      <c r="AN90" s="30"/>
      <c r="AO90" s="30"/>
      <c r="AP90" s="30"/>
      <c r="AQ90" s="87"/>
      <c r="AR90" s="94"/>
      <c r="AS90" s="87"/>
      <c r="AT90" s="30">
        <v>94</v>
      </c>
      <c r="AU90" s="30" t="str">
        <v>SELAMAT HARIYADI</v>
      </c>
      <c r="AV90" s="30" t="str">
        <v>(+62) 085876168275</v>
      </c>
      <c r="AW90" s="30" t="s">
        <v>84</v>
      </c>
      <c r="AX90" s="30" t="str">
        <v>ESSENTIAL UMUM</v>
      </c>
      <c r="AY90" s="30">
        <v>1399000</v>
      </c>
      <c r="AZ90" s="30">
        <f>IF(AW90="","", IF(   COUNTIF($S$2:$S$176, AW90) +   SUMPRODUCT(--ISNUMBER(SEARCH(LOWER(REGEXEXTRACT(TRIM(AW90),"^[^@]+")), LOWER(TRIM($BB$2:$BB$86))))) &gt; 0,   "SUDAH BAYAR","BELUM" ))</f>
      </c>
      <c r="BB90" s="18"/>
      <c r="BC90" s="14"/>
      <c r="BF90" s="3"/>
      <c r="BG90" s="3"/>
    </row>
    <row r="91">
      <c r="F91" s="30"/>
      <c r="G91" s="30"/>
      <c r="H91" s="30"/>
      <c r="I91" s="30"/>
      <c r="J91" s="30"/>
      <c r="K91" s="30"/>
      <c r="L91" s="30"/>
      <c r="M91" s="30"/>
      <c r="N91" s="30"/>
      <c r="O91" s="30"/>
      <c r="P91" s="30"/>
      <c r="Q91" s="30"/>
      <c r="R91" s="30"/>
      <c r="S91" s="96"/>
      <c r="T91" s="30"/>
      <c r="U91" s="30"/>
      <c r="V91" s="30"/>
      <c r="W91" s="30"/>
      <c r="X91" s="6"/>
      <c r="Y91" s="30"/>
      <c r="Z91" s="30"/>
      <c r="AA91" s="97"/>
      <c r="AB91" s="30"/>
      <c r="AC91" s="30"/>
      <c r="AD91" s="30"/>
      <c r="AE91" s="30"/>
      <c r="AF91" s="30"/>
      <c r="AG91" s="30"/>
      <c r="AH91" s="94"/>
      <c r="AI91" s="30"/>
      <c r="AJ91" s="88"/>
      <c r="AK91" s="17"/>
      <c r="AL91" s="95"/>
      <c r="AM91" s="30"/>
      <c r="AN91" s="30"/>
      <c r="AO91" s="30"/>
      <c r="AP91" s="30"/>
      <c r="AQ91" s="87"/>
      <c r="AR91" s="94"/>
      <c r="AS91" s="18"/>
      <c r="AT91" s="30">
        <v>95</v>
      </c>
      <c r="AU91" s="30" t="str">
        <v>Hasan Achmad Al Muchtari</v>
      </c>
      <c r="AV91" s="30" t="str">
        <v>(+62) 81259802613</v>
      </c>
      <c r="AW91" s="30" t="s">
        <v>74</v>
      </c>
      <c r="AX91" s="30" t="str">
        <v>ESSENTIAL UMUM</v>
      </c>
      <c r="AY91" s="30">
        <v>1399000</v>
      </c>
      <c r="AZ91" s="30">
        <f>IF(AW91="","", IF(   COUNTIF($S$2:$S$176, AW91) +   SUMPRODUCT(--ISNUMBER(SEARCH(LOWER(REGEXEXTRACT(TRIM(AW91),"^[^@]+")), LOWER(TRIM($BB$2:$BB$86))))) &gt; 0,   "SUDAH BAYAR","BELUM" ))</f>
      </c>
      <c r="BB91" s="18"/>
      <c r="BC91" s="14"/>
      <c r="BF91" s="3"/>
      <c r="BG91" s="3"/>
    </row>
    <row r="92">
      <c r="F92" s="30"/>
      <c r="G92" s="30"/>
      <c r="H92" s="30"/>
      <c r="I92" s="30"/>
      <c r="J92" s="30"/>
      <c r="K92" s="30"/>
      <c r="L92" s="30"/>
      <c r="M92" s="30"/>
      <c r="N92" s="30"/>
      <c r="O92" s="30"/>
      <c r="P92" s="30"/>
      <c r="Q92" s="30"/>
      <c r="R92" s="30"/>
      <c r="S92" s="96"/>
      <c r="T92" s="30"/>
      <c r="U92" s="30"/>
      <c r="V92" s="30"/>
      <c r="W92" s="30"/>
      <c r="X92" s="6"/>
      <c r="Y92" s="30"/>
      <c r="Z92" s="30"/>
      <c r="AA92" s="97"/>
      <c r="AB92" s="30"/>
      <c r="AC92" s="30"/>
      <c r="AD92" s="30"/>
      <c r="AE92" s="30"/>
      <c r="AF92" s="30"/>
      <c r="AG92" s="30"/>
      <c r="AH92" s="94"/>
      <c r="AI92" s="30"/>
      <c r="AJ92" s="88"/>
      <c r="AK92" s="17"/>
      <c r="AL92" s="95"/>
      <c r="AM92" s="30"/>
      <c r="AN92" s="30"/>
      <c r="AO92" s="30"/>
      <c r="AP92" s="30"/>
      <c r="AQ92" s="87"/>
      <c r="AR92" s="94"/>
      <c r="AS92" s="87"/>
      <c r="AT92" s="30"/>
      <c r="AU92" s="30"/>
      <c r="AV92" s="30"/>
      <c r="AW92" s="30"/>
      <c r="AX92" s="30"/>
      <c r="AY92" s="30"/>
      <c r="AZ92" s="30"/>
      <c r="BB92" s="18"/>
      <c r="BC92" s="14"/>
      <c r="BF92" s="3"/>
      <c r="BG92" s="3"/>
    </row>
    <row r="93">
      <c r="F93" s="30"/>
      <c r="G93" s="30"/>
      <c r="H93" s="30"/>
      <c r="I93" s="30"/>
      <c r="J93" s="30"/>
      <c r="K93" s="30"/>
      <c r="L93" s="30"/>
      <c r="M93" s="30"/>
      <c r="N93" s="30"/>
      <c r="O93" s="30"/>
      <c r="P93" s="30"/>
      <c r="Q93" s="30"/>
      <c r="R93" s="30"/>
      <c r="S93" s="96"/>
      <c r="T93" s="30"/>
      <c r="U93" s="30"/>
      <c r="V93" s="30"/>
      <c r="W93" s="30"/>
      <c r="X93" s="6"/>
      <c r="Y93" s="30"/>
      <c r="Z93" s="30"/>
      <c r="AA93" s="97"/>
      <c r="AB93" s="30"/>
      <c r="AC93" s="30"/>
      <c r="AD93" s="30"/>
      <c r="AE93" s="30"/>
      <c r="AF93" s="30"/>
      <c r="AG93" s="30"/>
      <c r="AH93" s="94"/>
      <c r="AI93" s="30"/>
      <c r="AJ93" s="88"/>
      <c r="AK93" s="17"/>
      <c r="AL93" s="95"/>
      <c r="AM93" s="30"/>
      <c r="AN93" s="30"/>
      <c r="AO93" s="30"/>
      <c r="AP93" s="30"/>
      <c r="AQ93" s="87"/>
      <c r="AR93" s="94"/>
      <c r="AS93" s="87"/>
      <c r="AT93" s="30">
        <v>97</v>
      </c>
      <c r="AU93" s="30" t="str">
        <v>Novaldo Ramzis</v>
      </c>
      <c r="AV93" s="30" t="str">
        <v>(+62) 81320300927</v>
      </c>
      <c r="AW93" s="30" t="s">
        <v>67</v>
      </c>
      <c r="AX93" s="30" t="str">
        <v>ESSENTIAL UMUM</v>
      </c>
      <c r="AY93" s="30">
        <v>1399000</v>
      </c>
      <c r="AZ93" s="30">
        <f>IF(AW93="","", IF(   COUNTIF($S$2:$S$176, AW93) +   SUMPRODUCT(--ISNUMBER(SEARCH(LOWER(REGEXEXTRACT(TRIM(AW93),"^[^@]+")), LOWER(TRIM($BB$2:$BB$86))))) &gt; 0,   "SUDAH BAYAR","BELUM" ))</f>
      </c>
      <c r="BB93" s="18"/>
      <c r="BC93" s="14"/>
      <c r="BF93" s="3"/>
      <c r="BG93" s="3"/>
    </row>
    <row r="94">
      <c r="F94" s="30"/>
      <c r="G94" s="30"/>
      <c r="H94" s="30"/>
      <c r="I94" s="30"/>
      <c r="J94" s="30"/>
      <c r="K94" s="30"/>
      <c r="L94" s="30"/>
      <c r="M94" s="30"/>
      <c r="N94" s="30"/>
      <c r="O94" s="30"/>
      <c r="P94" s="30"/>
      <c r="Q94" s="30"/>
      <c r="R94" s="30"/>
      <c r="S94" s="96"/>
      <c r="T94" s="30"/>
      <c r="U94" s="30"/>
      <c r="V94" s="30"/>
      <c r="W94" s="30"/>
      <c r="X94" s="6"/>
      <c r="Y94" s="30"/>
      <c r="Z94" s="30"/>
      <c r="AA94" s="97"/>
      <c r="AB94" s="30"/>
      <c r="AC94" s="30"/>
      <c r="AD94" s="30"/>
      <c r="AE94" s="30"/>
      <c r="AF94" s="30"/>
      <c r="AG94" s="30"/>
      <c r="AH94" s="94"/>
      <c r="AI94" s="30"/>
      <c r="AJ94" s="88"/>
      <c r="AK94" s="17"/>
      <c r="AL94" s="95"/>
      <c r="AM94" s="30"/>
      <c r="AN94" s="30"/>
      <c r="AO94" s="30"/>
      <c r="AP94" s="30"/>
      <c r="AQ94" s="87"/>
      <c r="AR94" s="94"/>
      <c r="AS94" s="87"/>
      <c r="AT94" s="30">
        <v>98</v>
      </c>
      <c r="AU94" s="30" t="str">
        <v>Muhammad Ramadana</v>
      </c>
      <c r="AV94" s="30" t="str">
        <v>(+62) 81253164411</v>
      </c>
      <c r="AW94" s="30" t="s">
        <v>69</v>
      </c>
      <c r="AX94" s="30" t="str">
        <v>ESSENTIAL MAHASISWA</v>
      </c>
      <c r="AY94" s="30">
        <v>1199000</v>
      </c>
      <c r="AZ94" s="30">
        <f>IF(AW94="","", IF(   COUNTIF($S$2:$S$176, AW94) +   SUMPRODUCT(--ISNUMBER(SEARCH(LOWER(REGEXEXTRACT(TRIM(AW94),"^[^@]+")), LOWER(TRIM($BB$2:$BB$86))))) &gt; 0,   "SUDAH BAYAR","BELUM" ))</f>
      </c>
      <c r="BB94" s="18"/>
      <c r="BC94" s="14"/>
      <c r="BF94" s="3"/>
      <c r="BG94" s="3"/>
    </row>
    <row r="95">
      <c r="F95" s="30"/>
      <c r="G95" s="30"/>
      <c r="H95" s="30"/>
      <c r="I95" s="30"/>
      <c r="J95" s="30"/>
      <c r="K95" s="30"/>
      <c r="L95" s="30"/>
      <c r="M95" s="30"/>
      <c r="N95" s="30"/>
      <c r="O95" s="30"/>
      <c r="P95" s="30"/>
      <c r="Q95" s="30"/>
      <c r="R95" s="30"/>
      <c r="S95" s="96"/>
      <c r="T95" s="30"/>
      <c r="U95" s="30"/>
      <c r="V95" s="30"/>
      <c r="W95" s="30"/>
      <c r="X95" s="6"/>
      <c r="Y95" s="30"/>
      <c r="Z95" s="30"/>
      <c r="AA95" s="97"/>
      <c r="AB95" s="30"/>
      <c r="AC95" s="30"/>
      <c r="AD95" s="30"/>
      <c r="AE95" s="30"/>
      <c r="AF95" s="30"/>
      <c r="AG95" s="30"/>
      <c r="AH95" s="94"/>
      <c r="AI95" s="30"/>
      <c r="AJ95" s="88"/>
      <c r="AK95" s="17"/>
      <c r="AL95" s="95"/>
      <c r="AM95" s="30"/>
      <c r="AN95" s="30"/>
      <c r="AO95" s="30"/>
      <c r="AP95" s="30"/>
      <c r="AQ95" s="87"/>
      <c r="AR95" s="94"/>
      <c r="AS95" s="87"/>
      <c r="AT95" s="30">
        <v>99</v>
      </c>
      <c r="AU95" s="30" t="str">
        <v>Benedictus Oka</v>
      </c>
      <c r="AV95" s="30" t="str">
        <v>(+62) 87770273147</v>
      </c>
      <c r="AW95" s="30" t="s">
        <v>58</v>
      </c>
      <c r="AX95" s="30" t="str">
        <v>ESSENTIAL UMUM</v>
      </c>
      <c r="AY95" s="30">
        <v>1399000</v>
      </c>
      <c r="AZ95" s="30">
        <f>IF(AW95="","", IF(   COUNTIF($S$2:$S$176, AW95) +   SUMPRODUCT(--ISNUMBER(SEARCH(LOWER(REGEXEXTRACT(TRIM(AW95),"^[^@]+")), LOWER(TRIM($BB$2:$BB$86))))) &gt; 0,   "SUDAH BAYAR","BELUM" ))</f>
      </c>
      <c r="BB95" s="3"/>
      <c r="BC95" s="14"/>
      <c r="BF95" s="3"/>
      <c r="BG95" s="3"/>
    </row>
    <row r="96">
      <c r="F96" s="30"/>
      <c r="G96" s="30"/>
      <c r="H96" s="30"/>
      <c r="I96" s="30"/>
      <c r="J96" s="30"/>
      <c r="K96" s="30"/>
      <c r="L96" s="30"/>
      <c r="M96" s="30"/>
      <c r="N96" s="30"/>
      <c r="O96" s="30"/>
      <c r="P96" s="30"/>
      <c r="Q96" s="30"/>
      <c r="R96" s="30"/>
      <c r="S96" s="96"/>
      <c r="T96" s="30"/>
      <c r="U96" s="30"/>
      <c r="V96" s="30"/>
      <c r="W96" s="30"/>
      <c r="X96" s="6"/>
      <c r="Y96" s="30"/>
      <c r="Z96" s="30"/>
      <c r="AA96" s="97"/>
      <c r="AB96" s="30"/>
      <c r="AC96" s="30"/>
      <c r="AD96" s="30"/>
      <c r="AE96" s="30"/>
      <c r="AF96" s="30"/>
      <c r="AG96" s="30"/>
      <c r="AH96" s="94"/>
      <c r="AI96" s="30"/>
      <c r="AJ96" s="88"/>
      <c r="AK96" s="17"/>
      <c r="AL96" s="95"/>
      <c r="AM96" s="30"/>
      <c r="AN96" s="30"/>
      <c r="AO96" s="30"/>
      <c r="AP96" s="30"/>
      <c r="AQ96" s="87"/>
      <c r="AR96" s="94"/>
      <c r="AS96" s="87"/>
      <c r="AT96" s="30"/>
      <c r="AU96" s="30"/>
      <c r="AV96" s="30"/>
      <c r="AW96" s="30"/>
      <c r="AX96" s="30"/>
      <c r="AY96" s="30"/>
      <c r="AZ96" s="30"/>
      <c r="BB96" s="3"/>
      <c r="BC96" s="14"/>
      <c r="BF96" s="3"/>
      <c r="BG96" s="3"/>
    </row>
    <row r="97">
      <c r="F97" s="30"/>
      <c r="G97" s="30"/>
      <c r="H97" s="30"/>
      <c r="I97" s="30"/>
      <c r="J97" s="30"/>
      <c r="K97" s="30"/>
      <c r="L97" s="30"/>
      <c r="M97" s="30"/>
      <c r="N97" s="30"/>
      <c r="O97" s="30"/>
      <c r="P97" s="30"/>
      <c r="Q97" s="30"/>
      <c r="R97" s="30"/>
      <c r="S97" s="96"/>
      <c r="T97" s="30"/>
      <c r="U97" s="30"/>
      <c r="V97" s="30"/>
      <c r="W97" s="30"/>
      <c r="X97" s="6"/>
      <c r="Y97" s="30"/>
      <c r="Z97" s="30"/>
      <c r="AA97" s="97"/>
      <c r="AB97" s="30"/>
      <c r="AC97" s="30"/>
      <c r="AD97" s="30"/>
      <c r="AE97" s="30"/>
      <c r="AF97" s="30"/>
      <c r="AG97" s="30"/>
      <c r="AH97" s="94"/>
      <c r="AI97" s="30"/>
      <c r="AJ97" s="88"/>
      <c r="AK97" s="17"/>
      <c r="AL97" s="95"/>
      <c r="AM97" s="30"/>
      <c r="AN97" s="30"/>
      <c r="AO97" s="30"/>
      <c r="AP97" s="30"/>
      <c r="AQ97" s="87"/>
      <c r="AR97" s="94"/>
      <c r="AS97" s="87"/>
      <c r="AT97" s="30">
        <v>101</v>
      </c>
      <c r="AU97" s="30" t="str">
        <v>Rahmatul Maulana</v>
      </c>
      <c r="AV97" s="30" t="str">
        <v>(+62) 82377572156</v>
      </c>
      <c r="AW97" s="30" t="s">
        <v>125</v>
      </c>
      <c r="AX97" s="30" t="str">
        <v>ESSENTIAL MAHASISWA</v>
      </c>
      <c r="AY97" s="30">
        <v>1199000</v>
      </c>
      <c r="AZ97" s="30">
        <f>IF(AW97="","", IF(   COUNTIF($S$2:$S$176, AW97) +   SUMPRODUCT(--ISNUMBER(SEARCH(LOWER(REGEXEXTRACT(TRIM(AW97),"^[^@]+")), LOWER(TRIM($BB$2:$BB$86))))) &gt; 0,   "SUDAH BAYAR","BELUM" ))</f>
      </c>
      <c r="BB97" s="18"/>
      <c r="BC97" s="14"/>
      <c r="BF97" s="3"/>
      <c r="BG97" s="3"/>
    </row>
    <row r="98">
      <c r="F98" s="30"/>
      <c r="G98" s="30"/>
      <c r="H98" s="30"/>
      <c r="I98" s="30"/>
      <c r="J98" s="30"/>
      <c r="K98" s="30"/>
      <c r="L98" s="30"/>
      <c r="M98" s="30"/>
      <c r="N98" s="30"/>
      <c r="O98" s="30"/>
      <c r="P98" s="30"/>
      <c r="Q98" s="30"/>
      <c r="R98" s="30"/>
      <c r="S98" s="96"/>
      <c r="T98" s="30"/>
      <c r="U98" s="30"/>
      <c r="V98" s="30"/>
      <c r="W98" s="30"/>
      <c r="X98" s="6"/>
      <c r="Y98" s="30"/>
      <c r="Z98" s="30"/>
      <c r="AA98" s="97"/>
      <c r="AB98" s="30"/>
      <c r="AC98" s="30"/>
      <c r="AD98" s="30"/>
      <c r="AE98" s="30"/>
      <c r="AF98" s="30"/>
      <c r="AG98" s="30"/>
      <c r="AH98" s="94"/>
      <c r="AI98" s="30"/>
      <c r="AJ98" s="88"/>
      <c r="AK98" s="17"/>
      <c r="AL98" s="95"/>
      <c r="AM98" s="30"/>
      <c r="AN98" s="30"/>
      <c r="AO98" s="30"/>
      <c r="AP98" s="30"/>
      <c r="AQ98" s="87"/>
      <c r="AR98" s="94"/>
      <c r="AS98" s="87"/>
      <c r="AT98" s="30">
        <v>102</v>
      </c>
      <c r="AU98" s="30" t="str">
        <v>TITO ADITYA UTAMA</v>
      </c>
      <c r="AV98" s="30" t="str">
        <v>(+62) 085172160647</v>
      </c>
      <c r="AW98" s="30" t="s">
        <v>130</v>
      </c>
      <c r="AX98" s="30" t="str">
        <v>ESSENTIAL MAHASISWA</v>
      </c>
      <c r="AY98" s="30">
        <v>1199000</v>
      </c>
      <c r="AZ98" s="30">
        <f>IF(AW98="","", IF(   COUNTIF($S$2:$S$176, AW98) +   SUMPRODUCT(--ISNUMBER(SEARCH(LOWER(REGEXEXTRACT(TRIM(AW98),"^[^@]+")), LOWER(TRIM($BB$2:$BB$86))))) &gt; 0,   "SUDAH BAYAR","BELUM" ))</f>
      </c>
      <c r="BB98" s="3"/>
      <c r="BC98" s="14"/>
      <c r="BF98" s="30"/>
      <c r="BG98" s="30"/>
    </row>
    <row r="99">
      <c r="F99" s="30"/>
      <c r="G99" s="30"/>
      <c r="H99" s="30"/>
      <c r="I99" s="30"/>
      <c r="J99" s="30"/>
      <c r="K99" s="30"/>
      <c r="L99" s="30"/>
      <c r="M99" s="30"/>
      <c r="N99" s="30"/>
      <c r="O99" s="30"/>
      <c r="P99" s="30"/>
      <c r="Q99" s="30"/>
      <c r="R99" s="30"/>
      <c r="S99" s="96"/>
      <c r="T99" s="30"/>
      <c r="U99" s="30"/>
      <c r="V99" s="30"/>
      <c r="W99" s="30"/>
      <c r="X99" s="6"/>
      <c r="Y99" s="30"/>
      <c r="Z99" s="30"/>
      <c r="AA99" s="97"/>
      <c r="AB99" s="30"/>
      <c r="AC99" s="30"/>
      <c r="AD99" s="30"/>
      <c r="AE99" s="30"/>
      <c r="AF99" s="30"/>
      <c r="AG99" s="30"/>
      <c r="AH99" s="94"/>
      <c r="AI99" s="30"/>
      <c r="AJ99" s="88"/>
      <c r="AK99" s="17"/>
      <c r="AL99" s="95"/>
      <c r="AM99" s="30"/>
      <c r="AN99" s="30"/>
      <c r="AO99" s="30"/>
      <c r="AP99" s="30"/>
      <c r="AQ99" s="87"/>
      <c r="AR99" s="94"/>
      <c r="AS99" s="87"/>
      <c r="AT99" s="30">
        <v>103</v>
      </c>
      <c r="AU99" s="30" t="str">
        <v>Fathur Rahman M. Ali</v>
      </c>
      <c r="AV99" s="30" t="str">
        <v>(+62) +81818713707</v>
      </c>
      <c r="AW99" s="30" t="s">
        <v>115</v>
      </c>
      <c r="AX99" s="30" t="str">
        <v>ESSENTIAL UMUM</v>
      </c>
      <c r="AY99" s="30">
        <v>1399000</v>
      </c>
      <c r="AZ99" s="30">
        <f>IF(AW99="","", IF(   COUNTIF($S$2:$S$176, AW99) +   SUMPRODUCT(--ISNUMBER(SEARCH(LOWER(REGEXEXTRACT(TRIM(AW99),"^[^@]+")), LOWER(TRIM($BB$2:$BB$86))))) &gt; 0,   "SUDAH BAYAR","BELUM" ))</f>
      </c>
      <c r="BB99" s="3"/>
      <c r="BC99" s="14"/>
      <c r="BF99" s="30"/>
      <c r="BG99" s="30"/>
    </row>
    <row r="100">
      <c r="F100" s="30"/>
      <c r="G100" s="30"/>
      <c r="H100" s="30"/>
      <c r="I100" s="30"/>
      <c r="J100" s="30"/>
      <c r="K100" s="30"/>
      <c r="L100" s="30"/>
      <c r="M100" s="30"/>
      <c r="N100" s="30"/>
      <c r="O100" s="30"/>
      <c r="P100" s="30"/>
      <c r="Q100" s="30"/>
      <c r="R100" s="30"/>
      <c r="S100" s="96"/>
      <c r="T100" s="30"/>
      <c r="U100" s="30"/>
      <c r="V100" s="30"/>
      <c r="W100" s="30"/>
      <c r="X100" s="6"/>
      <c r="Y100" s="30"/>
      <c r="Z100" s="30"/>
      <c r="AA100" s="97"/>
      <c r="AB100" s="30"/>
      <c r="AC100" s="30"/>
      <c r="AD100" s="30"/>
      <c r="AE100" s="30"/>
      <c r="AF100" s="30"/>
      <c r="AG100" s="30"/>
      <c r="AH100" s="94"/>
      <c r="AI100" s="30"/>
      <c r="AJ100" s="88"/>
      <c r="AK100" s="17"/>
      <c r="AL100" s="95"/>
      <c r="AM100" s="30"/>
      <c r="AN100" s="30"/>
      <c r="AO100" s="30"/>
      <c r="AP100" s="30"/>
      <c r="AQ100" s="87"/>
      <c r="AR100" s="94"/>
      <c r="AS100" s="87"/>
      <c r="AT100" s="30"/>
      <c r="AU100" s="30"/>
      <c r="AV100" s="30"/>
      <c r="AW100" s="30"/>
      <c r="AX100" s="30"/>
      <c r="AY100" s="30"/>
      <c r="AZ100" s="30"/>
      <c r="BB100" s="3"/>
      <c r="BC100" s="14"/>
      <c r="BF100" s="30"/>
      <c r="BG100" s="30"/>
    </row>
    <row r="101">
      <c r="F101" s="30"/>
      <c r="G101" s="30"/>
      <c r="H101" s="30"/>
      <c r="I101" s="30"/>
      <c r="J101" s="30"/>
      <c r="K101" s="30"/>
      <c r="L101" s="30"/>
      <c r="M101" s="30"/>
      <c r="N101" s="30"/>
      <c r="O101" s="30"/>
      <c r="P101" s="30"/>
      <c r="Q101" s="30"/>
      <c r="R101" s="30"/>
      <c r="S101" s="96"/>
      <c r="T101" s="30"/>
      <c r="U101" s="30"/>
      <c r="V101" s="30"/>
      <c r="W101" s="30"/>
      <c r="X101" s="6"/>
      <c r="Y101" s="30"/>
      <c r="Z101" s="30"/>
      <c r="AA101" s="97"/>
      <c r="AB101" s="30"/>
      <c r="AC101" s="30"/>
      <c r="AD101" s="30"/>
      <c r="AE101" s="30"/>
      <c r="AF101" s="30"/>
      <c r="AG101" s="30"/>
      <c r="AH101" s="94"/>
      <c r="AI101" s="30"/>
      <c r="AJ101" s="88"/>
      <c r="AK101" s="17"/>
      <c r="AL101" s="95"/>
      <c r="AM101" s="30"/>
      <c r="AN101" s="30"/>
      <c r="AO101" s="30"/>
      <c r="AP101" s="30"/>
      <c r="AQ101" s="87"/>
      <c r="AR101" s="94"/>
      <c r="AS101" s="87"/>
      <c r="AT101" s="30">
        <v>105</v>
      </c>
      <c r="AU101" s="30" t="str">
        <v>Muhamad Lutfi Firdaus</v>
      </c>
      <c r="AV101" s="30" t="str">
        <v>(+62) 82188410244</v>
      </c>
      <c r="AW101" s="30" t="s">
        <v>106</v>
      </c>
      <c r="AX101" s="30" t="str">
        <v>ESSENTIAL UMUM</v>
      </c>
      <c r="AY101" s="30">
        <v>1399000</v>
      </c>
      <c r="AZ101" s="30">
        <f>IF(AW101="","", IF(   COUNTIF($S$2:$S$176, AW101) +   SUMPRODUCT(--ISNUMBER(SEARCH(LOWER(REGEXEXTRACT(TRIM(AW101),"^[^@]+")), LOWER(TRIM($BB$2:$BB$86))))) &gt; 0,   "SUDAH BAYAR","BELUM" ))</f>
      </c>
      <c r="BB101" s="3"/>
      <c r="BC101" s="14"/>
      <c r="BF101" s="30"/>
      <c r="BG101" s="30"/>
    </row>
    <row r="102">
      <c r="F102" s="30"/>
      <c r="G102" s="30"/>
      <c r="H102" s="30"/>
      <c r="I102" s="30"/>
      <c r="J102" s="30"/>
      <c r="K102" s="30"/>
      <c r="L102" s="30"/>
      <c r="M102" s="30"/>
      <c r="N102" s="30"/>
      <c r="O102" s="30"/>
      <c r="P102" s="30"/>
      <c r="Q102" s="30"/>
      <c r="R102" s="30"/>
      <c r="S102" s="96"/>
      <c r="T102" s="30"/>
      <c r="U102" s="30"/>
      <c r="V102" s="30"/>
      <c r="W102" s="30"/>
      <c r="X102" s="6"/>
      <c r="Y102" s="30"/>
      <c r="Z102" s="30"/>
      <c r="AA102" s="97"/>
      <c r="AB102" s="30"/>
      <c r="AC102" s="30"/>
      <c r="AD102" s="30"/>
      <c r="AE102" s="30"/>
      <c r="AF102" s="30"/>
      <c r="AG102" s="30"/>
      <c r="AH102" s="94"/>
      <c r="AI102" s="30"/>
      <c r="AJ102" s="88"/>
      <c r="AK102" s="17"/>
      <c r="AL102" s="95"/>
      <c r="AM102" s="30"/>
      <c r="AN102" s="30"/>
      <c r="AO102" s="30"/>
      <c r="AP102" s="30"/>
      <c r="AQ102" s="87"/>
      <c r="AR102" s="94"/>
      <c r="AS102" s="87"/>
      <c r="AT102" s="30">
        <v>106</v>
      </c>
      <c r="AU102" s="30" t="str">
        <v>Ariyani Sanjung</v>
      </c>
      <c r="AV102" s="30" t="str">
        <v>(+62) 81315397296</v>
      </c>
      <c r="AW102" s="30" t="s">
        <v>111</v>
      </c>
      <c r="AX102" s="30" t="str">
        <v>ESSENTIAL UMUM</v>
      </c>
      <c r="AY102" s="30">
        <v>1399000</v>
      </c>
      <c r="AZ102" s="30">
        <f>IF(AW102="","", IF(   COUNTIF($S$2:$S$176, AW102) +   SUMPRODUCT(--ISNUMBER(SEARCH(LOWER(REGEXEXTRACT(TRIM(AW102),"^[^@]+")), LOWER(TRIM($BB$2:$BB$86))))) &gt; 0,   "SUDAH BAYAR","BELUM" ))</f>
      </c>
      <c r="BB102" s="3"/>
      <c r="BC102" s="14"/>
      <c r="BF102" s="30"/>
      <c r="BG102" s="30"/>
    </row>
    <row r="103">
      <c r="F103" s="30"/>
      <c r="G103" s="30"/>
      <c r="H103" s="30"/>
      <c r="I103" s="30"/>
      <c r="J103" s="30"/>
      <c r="K103" s="30"/>
      <c r="L103" s="30"/>
      <c r="M103" s="30"/>
      <c r="N103" s="30"/>
      <c r="O103" s="30"/>
      <c r="P103" s="30"/>
      <c r="Q103" s="30"/>
      <c r="R103" s="30"/>
      <c r="S103" s="96"/>
      <c r="T103" s="30"/>
      <c r="U103" s="30"/>
      <c r="V103" s="30"/>
      <c r="W103" s="30"/>
      <c r="X103" s="6"/>
      <c r="Y103" s="30"/>
      <c r="Z103" s="30"/>
      <c r="AA103" s="97"/>
      <c r="AB103" s="30"/>
      <c r="AC103" s="30"/>
      <c r="AD103" s="30"/>
      <c r="AE103" s="30"/>
      <c r="AF103" s="30"/>
      <c r="AG103" s="30"/>
      <c r="AH103" s="94"/>
      <c r="AI103" s="30"/>
      <c r="AJ103" s="88"/>
      <c r="AK103" s="17"/>
      <c r="AL103" s="95"/>
      <c r="AM103" s="30"/>
      <c r="AN103" s="30"/>
      <c r="AO103" s="30"/>
      <c r="AP103" s="30"/>
      <c r="AQ103" s="87"/>
      <c r="AR103" s="94"/>
      <c r="AS103" s="87"/>
      <c r="AT103" s="30">
        <v>107</v>
      </c>
      <c r="AU103" s="30" t="str">
        <v>Muammar Khadafhi Al-Musyaraf</v>
      </c>
      <c r="AV103" s="30" t="str">
        <v>(+62) 82158446329</v>
      </c>
      <c r="AW103" s="30" t="s">
        <v>95</v>
      </c>
      <c r="AX103" s="30" t="str">
        <v>ESSENTIAL MAHASISWA</v>
      </c>
      <c r="AY103" s="30">
        <v>1199000</v>
      </c>
      <c r="AZ103" s="30">
        <f>IF(AW103="","", IF(   COUNTIF($S$2:$S$176, AW103) +   SUMPRODUCT(--ISNUMBER(SEARCH(LOWER(REGEXEXTRACT(TRIM(AW103),"^[^@]+")), LOWER(TRIM($BB$2:$BB$86))))) &gt; 0,   "SUDAH BAYAR","BELUM" ))</f>
      </c>
      <c r="BB103" s="3"/>
      <c r="BC103" s="14"/>
      <c r="BF103" s="30"/>
      <c r="BG103" s="30"/>
    </row>
    <row r="104">
      <c r="F104" s="30"/>
      <c r="G104" s="30"/>
      <c r="H104" s="30"/>
      <c r="I104" s="30"/>
      <c r="J104" s="30"/>
      <c r="K104" s="30"/>
      <c r="L104" s="30"/>
      <c r="M104" s="30"/>
      <c r="N104" s="30"/>
      <c r="O104" s="30"/>
      <c r="P104" s="30"/>
      <c r="Q104" s="30"/>
      <c r="R104" s="30"/>
      <c r="S104" s="96"/>
      <c r="T104" s="30"/>
      <c r="U104" s="30"/>
      <c r="V104" s="30"/>
      <c r="W104" s="30"/>
      <c r="X104" s="6"/>
      <c r="Y104" s="30"/>
      <c r="Z104" s="30"/>
      <c r="AA104" s="97"/>
      <c r="AB104" s="30"/>
      <c r="AC104" s="30"/>
      <c r="AD104" s="30"/>
      <c r="AE104" s="30"/>
      <c r="AF104" s="30"/>
      <c r="AG104" s="30"/>
      <c r="AH104" s="94"/>
      <c r="AI104" s="30"/>
      <c r="AJ104" s="88"/>
      <c r="AK104" s="17"/>
      <c r="AL104" s="95"/>
      <c r="AM104" s="30"/>
      <c r="AN104" s="30"/>
      <c r="AO104" s="30"/>
      <c r="AP104" s="30"/>
      <c r="AQ104" s="87"/>
      <c r="AR104" s="94"/>
      <c r="AS104" s="87"/>
      <c r="AT104" s="30">
        <v>109</v>
      </c>
      <c r="AU104" s="30" t="str">
        <v>Yunita Enzelina Silaban</v>
      </c>
      <c r="AV104" s="30" t="str">
        <v>(+62) 082182259456</v>
      </c>
      <c r="AW104" s="30" t="s">
        <v>101</v>
      </c>
      <c r="AX104" s="30" t="str">
        <v>ESSENTIAL MAHASISWA</v>
      </c>
      <c r="AY104" s="30">
        <v>1199000</v>
      </c>
      <c r="AZ104" s="30">
        <f>IF(AW104="","", IF(   COUNTIF($S$2:$S$176, AW104) +   SUMPRODUCT(--ISNUMBER(SEARCH(LOWER(REGEXEXTRACT(TRIM(AW104),"^[^@]+")), LOWER(TRIM($BB$2:$BB$86))))) &gt; 0,   "SUDAH BAYAR","BELUM" ))</f>
      </c>
      <c r="BB104" s="3"/>
      <c r="BC104" s="14"/>
      <c r="BF104" s="30"/>
      <c r="BG104" s="30"/>
    </row>
    <row r="105">
      <c r="F105" s="30"/>
      <c r="G105" s="30"/>
      <c r="H105" s="30"/>
      <c r="I105" s="30"/>
      <c r="J105" s="30"/>
      <c r="K105" s="30"/>
      <c r="L105" s="30"/>
      <c r="M105" s="30"/>
      <c r="N105" s="30"/>
      <c r="O105" s="30"/>
      <c r="P105" s="30"/>
      <c r="Q105" s="30"/>
      <c r="R105" s="30"/>
      <c r="S105" s="96"/>
      <c r="T105" s="30"/>
      <c r="U105" s="30"/>
      <c r="V105" s="30"/>
      <c r="W105" s="30"/>
      <c r="X105" s="6"/>
      <c r="Y105" s="30"/>
      <c r="Z105" s="30"/>
      <c r="AA105" s="97"/>
      <c r="AB105" s="30"/>
      <c r="AC105" s="30"/>
      <c r="AD105" s="30"/>
      <c r="AE105" s="30"/>
      <c r="AF105" s="30"/>
      <c r="AG105" s="30"/>
      <c r="AH105" s="94"/>
      <c r="AI105" s="30"/>
      <c r="AJ105" s="88"/>
      <c r="AK105" s="17"/>
      <c r="AL105" s="95"/>
      <c r="AM105" s="30"/>
      <c r="AN105" s="30"/>
      <c r="AO105" s="30"/>
      <c r="AP105" s="30"/>
      <c r="AQ105" s="87"/>
      <c r="AR105" s="94"/>
      <c r="AS105" s="87"/>
      <c r="AT105" s="30">
        <v>110</v>
      </c>
      <c r="AU105" s="30" t="str">
        <v>Andrian Maulana MI</v>
      </c>
      <c r="AV105" s="30" t="str">
        <v>(+62) 85846681126</v>
      </c>
      <c r="AW105" s="30" t="s">
        <v>171</v>
      </c>
      <c r="AX105" s="30" t="str">
        <v>ESSENTIAL MAHASISWA</v>
      </c>
      <c r="AY105" s="30">
        <v>1199000</v>
      </c>
      <c r="AZ105" s="30">
        <f>IF(AW105="","", IF(   COUNTIF($S$2:$S$176, AW105) +   SUMPRODUCT(--ISNUMBER(SEARCH(LOWER(REGEXEXTRACT(TRIM(AW105),"^[^@]+")), LOWER(TRIM($BB$2:$BB$86))))) &gt; 0,   "SUDAH BAYAR","BELUM" ))</f>
      </c>
      <c r="BB105" s="3"/>
      <c r="BC105" s="14"/>
      <c r="BF105" s="30"/>
      <c r="BG105" s="30"/>
    </row>
    <row r="106">
      <c r="F106" s="30"/>
      <c r="G106" s="30"/>
      <c r="H106" s="30"/>
      <c r="I106" s="30"/>
      <c r="J106" s="30"/>
      <c r="K106" s="30"/>
      <c r="L106" s="30"/>
      <c r="M106" s="30"/>
      <c r="N106" s="30"/>
      <c r="O106" s="30"/>
      <c r="P106" s="30"/>
      <c r="Q106" s="30"/>
      <c r="R106" s="30"/>
      <c r="S106" s="96"/>
      <c r="T106" s="30"/>
      <c r="U106" s="30"/>
      <c r="V106" s="30"/>
      <c r="W106" s="30"/>
      <c r="X106" s="6"/>
      <c r="Y106" s="30"/>
      <c r="Z106" s="30"/>
      <c r="AA106" s="97"/>
      <c r="AB106" s="30"/>
      <c r="AC106" s="30"/>
      <c r="AD106" s="30"/>
      <c r="AE106" s="30"/>
      <c r="AF106" s="30"/>
      <c r="AG106" s="30"/>
      <c r="AH106" s="94"/>
      <c r="AI106" s="30"/>
      <c r="AJ106" s="88"/>
      <c r="AK106" s="17"/>
      <c r="AL106" s="95"/>
      <c r="AM106" s="30"/>
      <c r="AN106" s="30"/>
      <c r="AO106" s="30"/>
      <c r="AP106" s="30"/>
      <c r="AQ106" s="87"/>
      <c r="AR106" s="94"/>
      <c r="AS106" s="87"/>
      <c r="AT106" s="30">
        <v>111</v>
      </c>
      <c r="AU106" s="30" t="str">
        <v>Sherlinda Putri Anggraeni</v>
      </c>
      <c r="AV106" s="30" t="str">
        <v>(+62) 85559648630</v>
      </c>
      <c r="AW106" s="30" t="s">
        <v>174</v>
      </c>
      <c r="AX106" s="30" t="str">
        <v>ESSENTIAL UMUM</v>
      </c>
      <c r="AY106" s="30">
        <v>1399000</v>
      </c>
      <c r="AZ106" s="30">
        <f>IF(AW106="","", IF(   COUNTIF($S$2:$S$176, AW106) +   SUMPRODUCT(--ISNUMBER(SEARCH(LOWER(REGEXEXTRACT(TRIM(AW106),"^[^@]+")), LOWER(TRIM($BB$2:$BB$86))))) &gt; 0,   "SUDAH BAYAR","BELUM" ))</f>
      </c>
      <c r="BB106" s="3"/>
      <c r="BC106" s="14"/>
      <c r="BF106" s="30"/>
      <c r="BG106" s="30"/>
    </row>
    <row r="107">
      <c r="F107" s="30"/>
      <c r="G107" s="30"/>
      <c r="H107" s="30"/>
      <c r="I107" s="30"/>
      <c r="J107" s="30"/>
      <c r="K107" s="30"/>
      <c r="L107" s="30"/>
      <c r="M107" s="30"/>
      <c r="N107" s="30"/>
      <c r="O107" s="30"/>
      <c r="P107" s="30"/>
      <c r="Q107" s="30"/>
      <c r="R107" s="30"/>
      <c r="S107" s="96"/>
      <c r="T107" s="30"/>
      <c r="U107" s="30"/>
      <c r="V107" s="30"/>
      <c r="W107" s="30"/>
      <c r="X107" s="6"/>
      <c r="Y107" s="30"/>
      <c r="Z107" s="30"/>
      <c r="AA107" s="97"/>
      <c r="AB107" s="30"/>
      <c r="AC107" s="30"/>
      <c r="AD107" s="30"/>
      <c r="AE107" s="30"/>
      <c r="AF107" s="30"/>
      <c r="AG107" s="30"/>
      <c r="AH107" s="94"/>
      <c r="AI107" s="30"/>
      <c r="AJ107" s="88"/>
      <c r="AK107" s="17"/>
      <c r="AL107" s="95"/>
      <c r="AM107" s="30"/>
      <c r="AN107" s="30"/>
      <c r="AO107" s="30"/>
      <c r="AP107" s="30"/>
      <c r="AQ107" s="87"/>
      <c r="AR107" s="94"/>
      <c r="AS107" s="87"/>
      <c r="AT107" s="30">
        <v>112</v>
      </c>
      <c r="AU107" s="30" t="str">
        <v>Wali Batara</v>
      </c>
      <c r="AV107" s="30" t="str">
        <v>(+62) 851-2245-4722</v>
      </c>
      <c r="AW107" s="30" t="s">
        <v>159</v>
      </c>
      <c r="AX107" s="30" t="str">
        <v>ESSENTIAL MAHASISWA</v>
      </c>
      <c r="AY107" s="30">
        <v>1199000</v>
      </c>
      <c r="AZ107" s="30">
        <f>IF(AW107="","", IF(   COUNTIF($S$2:$S$176, AW107) +   SUMPRODUCT(--ISNUMBER(SEARCH(LOWER(REGEXEXTRACT(TRIM(AW107),"^[^@]+")), LOWER(TRIM($BB$2:$BB$86))))) &gt; 0,   "SUDAH BAYAR","BELUM" ))</f>
      </c>
      <c r="BB107" s="3"/>
      <c r="BC107" s="14"/>
      <c r="BF107" s="30"/>
      <c r="BG107" s="30"/>
    </row>
    <row r="108">
      <c r="F108" s="30"/>
      <c r="G108" s="30"/>
      <c r="H108" s="30"/>
      <c r="I108" s="30"/>
      <c r="J108" s="30"/>
      <c r="K108" s="30"/>
      <c r="L108" s="30"/>
      <c r="M108" s="30"/>
      <c r="N108" s="30"/>
      <c r="O108" s="30"/>
      <c r="P108" s="30"/>
      <c r="Q108" s="30"/>
      <c r="R108" s="30"/>
      <c r="S108" s="96"/>
      <c r="T108" s="30"/>
      <c r="U108" s="30"/>
      <c r="V108" s="30"/>
      <c r="W108" s="30"/>
      <c r="X108" s="6"/>
      <c r="Y108" s="30"/>
      <c r="Z108" s="30"/>
      <c r="AA108" s="97"/>
      <c r="AB108" s="30"/>
      <c r="AC108" s="30"/>
      <c r="AD108" s="30"/>
      <c r="AE108" s="30"/>
      <c r="AF108" s="30"/>
      <c r="AG108" s="30"/>
      <c r="AH108" s="94"/>
      <c r="AI108" s="30"/>
      <c r="AJ108" s="88"/>
      <c r="AK108" s="17"/>
      <c r="AL108" s="95"/>
      <c r="AM108" s="30"/>
      <c r="AN108" s="30"/>
      <c r="AO108" s="30"/>
      <c r="AP108" s="30"/>
      <c r="AQ108" s="87"/>
      <c r="AR108" s="94"/>
      <c r="AS108" s="87"/>
      <c r="AT108" s="30">
        <v>113</v>
      </c>
      <c r="AU108" s="30" t="str">
        <v>Annisa Nabilah Ghaida Azzahra</v>
      </c>
      <c r="AV108" s="30" t="str">
        <v>(+62) 85156448250</v>
      </c>
      <c r="AW108" s="30" t="s">
        <v>165</v>
      </c>
      <c r="AX108" s="30" t="str">
        <v>ESSENTIAL MAHASISWA</v>
      </c>
      <c r="AY108" s="30">
        <v>1199000</v>
      </c>
      <c r="AZ108" s="30">
        <f>IF(AW108="","", IF(   COUNTIF($S$2:$S$176, AW108) +   SUMPRODUCT(--ISNUMBER(SEARCH(LOWER(REGEXEXTRACT(TRIM(AW108),"^[^@]+")), LOWER(TRIM($BB$2:$BB$86))))) &gt; 0,   "SUDAH BAYAR","BELUM" ))</f>
      </c>
      <c r="BB108" s="3"/>
      <c r="BF108" s="30"/>
      <c r="BG108" s="30"/>
    </row>
    <row r="109">
      <c r="F109" s="30"/>
      <c r="G109" s="30"/>
      <c r="H109" s="30"/>
      <c r="I109" s="30"/>
      <c r="J109" s="30"/>
      <c r="K109" s="30"/>
      <c r="L109" s="30"/>
      <c r="M109" s="30"/>
      <c r="N109" s="30"/>
      <c r="O109" s="30"/>
      <c r="P109" s="30"/>
      <c r="Q109" s="30"/>
      <c r="R109" s="30"/>
      <c r="S109" s="96"/>
      <c r="T109" s="30"/>
      <c r="U109" s="30"/>
      <c r="V109" s="30"/>
      <c r="W109" s="30"/>
      <c r="X109" s="6"/>
      <c r="Y109" s="30"/>
      <c r="Z109" s="30"/>
      <c r="AA109" s="97"/>
      <c r="AB109" s="30"/>
      <c r="AC109" s="30"/>
      <c r="AD109" s="30"/>
      <c r="AE109" s="30"/>
      <c r="AF109" s="30"/>
      <c r="AG109" s="30"/>
      <c r="AH109" s="94"/>
      <c r="AI109" s="30"/>
      <c r="AJ109" s="88"/>
      <c r="AK109" s="17"/>
      <c r="AL109" s="95"/>
      <c r="AM109" s="30"/>
      <c r="AN109" s="30"/>
      <c r="AO109" s="30"/>
      <c r="AP109" s="30"/>
      <c r="AQ109" s="87"/>
      <c r="AR109" s="94"/>
      <c r="AS109" s="87"/>
      <c r="AT109" s="30">
        <v>114</v>
      </c>
      <c r="AU109" s="30" t="str">
        <v>Yasmin menanda haliza</v>
      </c>
      <c r="AV109" s="30" t="str">
        <v>(+62) 89623676102</v>
      </c>
      <c r="AW109" s="30" t="s">
        <v>148</v>
      </c>
      <c r="AX109" s="30" t="str">
        <v>ESSENTIAL MAHASISWA</v>
      </c>
      <c r="AY109" s="30">
        <v>1199000</v>
      </c>
      <c r="AZ109" s="30">
        <f>IF(AW109="","", IF(   COUNTIF($S$2:$S$176, AW109) +   SUMPRODUCT(--ISNUMBER(SEARCH(LOWER(REGEXEXTRACT(TRIM(AW109),"^[^@]+")), LOWER(TRIM($BB$2:$BB$86))))) &gt; 0,   "SUDAH BAYAR","BELUM" ))</f>
      </c>
      <c r="BA109" s="30"/>
      <c r="BB109" s="30"/>
      <c r="BC109" s="30"/>
      <c r="BD109" s="30"/>
      <c r="BE109" s="30"/>
      <c r="BF109" s="30"/>
      <c r="BG109" s="30"/>
      <c r="BH109" s="30"/>
      <c r="BI109" s="30"/>
      <c r="BJ109" s="30"/>
      <c r="BK109" s="30"/>
    </row>
    <row r="110">
      <c r="F110" s="30"/>
      <c r="G110" s="30"/>
      <c r="H110" s="30"/>
      <c r="I110" s="30"/>
      <c r="J110" s="30"/>
      <c r="K110" s="30"/>
      <c r="L110" s="30"/>
      <c r="M110" s="30"/>
      <c r="N110" s="30"/>
      <c r="O110" s="30"/>
      <c r="P110" s="30"/>
      <c r="Q110" s="30"/>
      <c r="R110" s="30"/>
      <c r="S110" s="96"/>
      <c r="T110" s="30"/>
      <c r="U110" s="30"/>
      <c r="V110" s="30"/>
      <c r="W110" s="30"/>
      <c r="X110" s="6"/>
      <c r="Y110" s="30"/>
      <c r="Z110" s="30"/>
      <c r="AA110" s="97"/>
      <c r="AB110" s="30"/>
      <c r="AC110" s="30"/>
      <c r="AD110" s="30"/>
      <c r="AE110" s="30"/>
      <c r="AF110" s="30"/>
      <c r="AG110" s="30"/>
      <c r="AH110" s="94"/>
      <c r="AI110" s="30"/>
      <c r="AJ110" s="88"/>
      <c r="AK110" s="17"/>
      <c r="AL110" s="95"/>
      <c r="AM110" s="30"/>
      <c r="AN110" s="30"/>
      <c r="AO110" s="30"/>
      <c r="AP110" s="30"/>
      <c r="AQ110" s="87"/>
      <c r="AR110" s="94"/>
      <c r="AS110" s="87"/>
      <c r="AT110" s="30">
        <v>115</v>
      </c>
      <c r="AU110" s="30" t="str">
        <v>Aurelio Jeremi Basten Sitinjak</v>
      </c>
      <c r="AV110" s="30" t="str">
        <v>(+62) 089523324799</v>
      </c>
      <c r="AW110" s="30" t="s">
        <v>154</v>
      </c>
      <c r="AX110" s="30" t="str">
        <v>ESSENTIAL UMUM</v>
      </c>
      <c r="AY110" s="30">
        <v>1399000</v>
      </c>
      <c r="AZ110" s="30">
        <f>IF(AW110="","", IF(   COUNTIF($S$2:$S$176, AW110) +   SUMPRODUCT(--ISNUMBER(SEARCH(LOWER(REGEXEXTRACT(TRIM(AW110),"^[^@]+")), LOWER(TRIM($BB$2:$BB$86))))) &gt; 0,   "SUDAH BAYAR","BELUM" ))</f>
      </c>
      <c r="BA110" s="30"/>
      <c r="BB110" s="30"/>
      <c r="BC110" s="30"/>
      <c r="BD110" s="30"/>
      <c r="BE110" s="30"/>
      <c r="BF110" s="30"/>
      <c r="BG110" s="30"/>
      <c r="BH110" s="30"/>
      <c r="BI110" s="30"/>
      <c r="BJ110" s="30"/>
      <c r="BK110" s="30"/>
    </row>
    <row r="111">
      <c r="F111" s="30"/>
      <c r="G111" s="30"/>
      <c r="H111" s="30"/>
      <c r="I111" s="30"/>
      <c r="J111" s="30"/>
      <c r="K111" s="30"/>
      <c r="L111" s="30"/>
      <c r="M111" s="30"/>
      <c r="N111" s="30"/>
      <c r="O111" s="30"/>
      <c r="P111" s="30"/>
      <c r="Q111" s="30"/>
      <c r="R111" s="30"/>
      <c r="S111" s="96"/>
      <c r="T111" s="30"/>
      <c r="U111" s="30"/>
      <c r="V111" s="30"/>
      <c r="W111" s="30"/>
      <c r="X111" s="6"/>
      <c r="Y111" s="30"/>
      <c r="Z111" s="30"/>
      <c r="AA111" s="97"/>
      <c r="AB111" s="30"/>
      <c r="AC111" s="30"/>
      <c r="AD111" s="30"/>
      <c r="AE111" s="30"/>
      <c r="AF111" s="30"/>
      <c r="AG111" s="30"/>
      <c r="AH111" s="94"/>
      <c r="AI111" s="30"/>
      <c r="AJ111" s="88"/>
      <c r="AK111" s="17"/>
      <c r="AL111" s="95"/>
      <c r="AM111" s="30"/>
      <c r="AN111" s="30"/>
      <c r="AO111" s="30"/>
      <c r="AP111" s="30"/>
      <c r="AQ111" s="87"/>
      <c r="AR111" s="94"/>
      <c r="AS111" s="87"/>
      <c r="AT111" s="30">
        <v>116</v>
      </c>
      <c r="AU111" s="30" t="str">
        <v>Dany Eko Ramadhan</v>
      </c>
      <c r="AV111" s="30" t="str">
        <v>(+62) 85345570001</v>
      </c>
      <c r="AW111" s="30" t="s">
        <v>136</v>
      </c>
      <c r="AX111" s="30" t="str">
        <v>ESSENTIAL UMUM</v>
      </c>
      <c r="AY111" s="30">
        <v>1399000</v>
      </c>
      <c r="AZ111" s="30">
        <f>IF(AW111="","", IF(   COUNTIF($S$2:$S$176, AW111) +   SUMPRODUCT(--ISNUMBER(SEARCH(LOWER(REGEXEXTRACT(TRIM(AW111),"^[^@]+")), LOWER(TRIM($BB$2:$BB$86))))) &gt; 0,   "SUDAH BAYAR","BELUM" ))</f>
      </c>
      <c r="BA111" s="30"/>
      <c r="BB111" s="30"/>
      <c r="BC111" s="30"/>
      <c r="BD111" s="30"/>
      <c r="BE111" s="30"/>
      <c r="BF111" s="30"/>
      <c r="BG111" s="30"/>
      <c r="BH111" s="30"/>
      <c r="BI111" s="30"/>
      <c r="BJ111" s="30"/>
      <c r="BK111" s="30"/>
    </row>
    <row r="112">
      <c r="F112" s="30"/>
      <c r="G112" s="30"/>
      <c r="H112" s="30"/>
      <c r="I112" s="30"/>
      <c r="J112" s="30"/>
      <c r="K112" s="30"/>
      <c r="L112" s="30"/>
      <c r="M112" s="30"/>
      <c r="N112" s="30"/>
      <c r="O112" s="30"/>
      <c r="P112" s="30"/>
      <c r="Q112" s="30"/>
      <c r="R112" s="30"/>
      <c r="S112" s="96"/>
      <c r="T112" s="30"/>
      <c r="U112" s="30"/>
      <c r="V112" s="30"/>
      <c r="W112" s="30"/>
      <c r="X112" s="6"/>
      <c r="Y112" s="30"/>
      <c r="Z112" s="30"/>
      <c r="AA112" s="97"/>
      <c r="AB112" s="30"/>
      <c r="AC112" s="30"/>
      <c r="AD112" s="30"/>
      <c r="AE112" s="30"/>
      <c r="AF112" s="30"/>
      <c r="AG112" s="30"/>
      <c r="AH112" s="94"/>
      <c r="AI112" s="30"/>
      <c r="AJ112" s="88"/>
      <c r="AK112" s="17"/>
      <c r="AL112" s="95"/>
      <c r="AM112" s="30"/>
      <c r="AN112" s="30"/>
      <c r="AO112" s="30"/>
      <c r="AP112" s="30"/>
      <c r="AQ112" s="87"/>
      <c r="AR112" s="94"/>
      <c r="AS112" s="87"/>
      <c r="AT112" s="30">
        <v>117</v>
      </c>
      <c r="AU112" s="30" t="str">
        <v>Harianto</v>
      </c>
      <c r="AV112" s="30" t="str">
        <v>(+62) +62 8974820734</v>
      </c>
      <c r="AW112" s="30" t="s">
        <v>142</v>
      </c>
      <c r="AX112" s="30" t="str">
        <v>ESSENTIAL MAHASISWA</v>
      </c>
      <c r="AY112" s="30">
        <v>1199000</v>
      </c>
      <c r="AZ112" s="30">
        <f>IF(AW112="","", IF(   COUNTIF($S$2:$S$176, AW112) +   SUMPRODUCT(--ISNUMBER(SEARCH(LOWER(REGEXEXTRACT(TRIM(AW112),"^[^@]+")), LOWER(TRIM($BB$2:$BB$86))))) &gt; 0,   "SUDAH BAYAR","BELUM" ))</f>
      </c>
      <c r="BA112" s="30"/>
      <c r="BB112" s="30"/>
      <c r="BC112" s="30"/>
      <c r="BD112" s="30"/>
      <c r="BE112" s="30"/>
      <c r="BF112" s="30"/>
      <c r="BG112" s="30"/>
      <c r="BH112" s="30"/>
      <c r="BI112" s="30"/>
      <c r="BJ112" s="30"/>
      <c r="BK112" s="30"/>
    </row>
    <row r="113">
      <c r="F113" s="30"/>
      <c r="G113" s="30"/>
      <c r="H113" s="30"/>
      <c r="I113" s="30"/>
      <c r="J113" s="30"/>
      <c r="K113" s="30"/>
      <c r="L113" s="30"/>
      <c r="M113" s="30"/>
      <c r="N113" s="30"/>
      <c r="O113" s="30"/>
      <c r="P113" s="30"/>
      <c r="Q113" s="30"/>
      <c r="R113" s="30"/>
      <c r="S113" s="96"/>
      <c r="T113" s="30"/>
      <c r="U113" s="30"/>
      <c r="V113" s="30"/>
      <c r="W113" s="30"/>
      <c r="X113" s="6"/>
      <c r="Y113" s="30"/>
      <c r="Z113" s="30"/>
      <c r="AA113" s="97"/>
      <c r="AB113" s="30"/>
      <c r="AC113" s="30"/>
      <c r="AD113" s="30"/>
      <c r="AE113" s="30"/>
      <c r="AF113" s="30"/>
      <c r="AG113" s="30"/>
      <c r="AH113" s="94"/>
      <c r="AI113" s="30"/>
      <c r="AJ113" s="88"/>
      <c r="AK113" s="17"/>
      <c r="AL113" s="95"/>
      <c r="AM113" s="30"/>
      <c r="AN113" s="30"/>
      <c r="AO113" s="30"/>
      <c r="AP113" s="30"/>
      <c r="AQ113" s="87"/>
      <c r="AR113" s="94"/>
      <c r="AS113" s="87"/>
      <c r="AT113" s="30">
        <v>118</v>
      </c>
      <c r="AU113" s="30" t="str">
        <v>Nixon Mahesa Romulo Serang</v>
      </c>
      <c r="AV113" s="30" t="str">
        <v>(+62) 81254490514</v>
      </c>
      <c r="AW113" s="30" t="s">
        <v>199</v>
      </c>
      <c r="AX113" s="30" t="str">
        <v>ESSENTIAL MAHASISWA</v>
      </c>
      <c r="AY113" s="30">
        <v>1199000</v>
      </c>
      <c r="AZ113" s="30">
        <f>IF(AW113="","", IF(   COUNTIF($S$2:$S$176, AW113) +   SUMPRODUCT(--ISNUMBER(SEARCH(LOWER(REGEXEXTRACT(TRIM(AW113),"^[^@]+")), LOWER(TRIM($BB$2:$BB$86))))) &gt; 0,   "SUDAH BAYAR","BELUM" ))</f>
      </c>
      <c r="BA113" s="30"/>
      <c r="BB113" s="30"/>
      <c r="BC113" s="30"/>
      <c r="BD113" s="30"/>
      <c r="BE113" s="30"/>
      <c r="BF113" s="30"/>
      <c r="BG113" s="30"/>
      <c r="BH113" s="30"/>
      <c r="BI113" s="30"/>
      <c r="BJ113" s="30"/>
      <c r="BK113" s="30"/>
    </row>
    <row r="114">
      <c r="F114" s="30"/>
      <c r="G114" s="30"/>
      <c r="H114" s="30"/>
      <c r="I114" s="30"/>
      <c r="J114" s="30"/>
      <c r="K114" s="30"/>
      <c r="L114" s="30"/>
      <c r="M114" s="30"/>
      <c r="N114" s="30"/>
      <c r="O114" s="30"/>
      <c r="P114" s="30"/>
      <c r="Q114" s="30"/>
      <c r="R114" s="30"/>
      <c r="S114" s="96"/>
      <c r="T114" s="30"/>
      <c r="U114" s="30"/>
      <c r="V114" s="30"/>
      <c r="W114" s="30"/>
      <c r="X114" s="6"/>
      <c r="Y114" s="30"/>
      <c r="Z114" s="30"/>
      <c r="AA114" s="97"/>
      <c r="AB114" s="30"/>
      <c r="AC114" s="30"/>
      <c r="AD114" s="30"/>
      <c r="AE114" s="30"/>
      <c r="AF114" s="30"/>
      <c r="AG114" s="30"/>
      <c r="AH114" s="94"/>
      <c r="AI114" s="30"/>
      <c r="AJ114" s="88"/>
      <c r="AK114" s="17"/>
      <c r="AL114" s="95"/>
      <c r="AM114" s="30"/>
      <c r="AN114" s="30"/>
      <c r="AO114" s="30"/>
      <c r="AP114" s="30"/>
      <c r="AQ114" s="87"/>
      <c r="AR114" s="94"/>
      <c r="AS114" s="87"/>
      <c r="AT114" s="30"/>
      <c r="AU114" s="30"/>
      <c r="AV114" s="30"/>
      <c r="AW114" s="30"/>
      <c r="AX114" s="30"/>
      <c r="AY114" s="30"/>
      <c r="AZ114" s="30"/>
      <c r="BA114" s="30"/>
      <c r="BB114" s="30"/>
      <c r="BC114" s="30"/>
      <c r="BD114" s="30"/>
      <c r="BE114" s="30"/>
      <c r="BF114" s="30"/>
      <c r="BG114" s="30"/>
      <c r="BH114" s="30"/>
      <c r="BI114" s="30"/>
      <c r="BJ114" s="30"/>
      <c r="BK114" s="30"/>
    </row>
    <row r="115">
      <c r="F115" s="30"/>
      <c r="G115" s="30"/>
      <c r="H115" s="30"/>
      <c r="I115" s="30"/>
      <c r="J115" s="30"/>
      <c r="K115" s="30"/>
      <c r="L115" s="30"/>
      <c r="M115" s="30"/>
      <c r="N115" s="30"/>
      <c r="O115" s="30"/>
      <c r="P115" s="30"/>
      <c r="Q115" s="30"/>
      <c r="R115" s="30"/>
      <c r="S115" s="96"/>
      <c r="T115" s="30"/>
      <c r="U115" s="30"/>
      <c r="V115" s="30"/>
      <c r="W115" s="30"/>
      <c r="X115" s="6"/>
      <c r="Y115" s="30"/>
      <c r="Z115" s="30"/>
      <c r="AA115" s="97"/>
      <c r="AB115" s="30"/>
      <c r="AC115" s="30"/>
      <c r="AD115" s="30"/>
      <c r="AE115" s="30"/>
      <c r="AF115" s="30"/>
      <c r="AG115" s="30"/>
      <c r="AH115" s="94"/>
      <c r="AI115" s="30"/>
      <c r="AJ115" s="88"/>
      <c r="AK115" s="17"/>
      <c r="AL115" s="95"/>
      <c r="AM115" s="30"/>
      <c r="AN115" s="30"/>
      <c r="AO115" s="30"/>
      <c r="AP115" s="30"/>
      <c r="AQ115" s="87"/>
      <c r="AR115" s="94"/>
      <c r="AS115" s="87"/>
      <c r="AT115" s="30">
        <v>120</v>
      </c>
      <c r="AU115" s="30" t="str">
        <v>Syeiha Angelina Puspo Negoro</v>
      </c>
      <c r="AV115" s="30" t="str">
        <v>(+62) 081215236527</v>
      </c>
      <c r="AW115" s="30" t="s">
        <v>192</v>
      </c>
      <c r="AX115" s="30" t="str">
        <v>ESSENTIAL MAHASISWA</v>
      </c>
      <c r="AY115" s="30">
        <v>1199000</v>
      </c>
      <c r="AZ115" s="30">
        <f>IF(AW115="","", IF(   COUNTIF($S$2:$S$176, AW115) +   SUMPRODUCT(--ISNUMBER(SEARCH(LOWER(REGEXEXTRACT(TRIM(AW115),"^[^@]+")), LOWER(TRIM($BB$2:$BB$86))))) &gt; 0,   "SUDAH BAYAR","BELUM" ))</f>
      </c>
      <c r="BA115" s="30"/>
      <c r="BB115" s="30"/>
      <c r="BC115" s="30"/>
      <c r="BD115" s="30"/>
      <c r="BE115" s="30"/>
      <c r="BF115" s="30"/>
      <c r="BG115" s="30"/>
      <c r="BH115" s="30"/>
      <c r="BI115" s="30"/>
      <c r="BJ115" s="30"/>
      <c r="BK115" s="30"/>
    </row>
    <row r="116">
      <c r="F116" s="30"/>
      <c r="G116" s="30"/>
      <c r="H116" s="30"/>
      <c r="I116" s="30"/>
      <c r="J116" s="30"/>
      <c r="K116" s="30"/>
      <c r="L116" s="30"/>
      <c r="M116" s="30"/>
      <c r="N116" s="30"/>
      <c r="O116" s="30"/>
      <c r="P116" s="30"/>
      <c r="Q116" s="30"/>
      <c r="R116" s="30"/>
      <c r="S116" s="96"/>
      <c r="T116" s="30"/>
      <c r="U116" s="30"/>
      <c r="V116" s="30"/>
      <c r="W116" s="30"/>
      <c r="X116" s="6"/>
      <c r="Y116" s="30"/>
      <c r="Z116" s="30"/>
      <c r="AA116" s="97"/>
      <c r="AB116" s="30"/>
      <c r="AC116" s="30"/>
      <c r="AD116" s="30"/>
      <c r="AE116" s="30"/>
      <c r="AF116" s="30"/>
      <c r="AG116" s="30"/>
      <c r="AH116" s="94"/>
      <c r="AI116" s="30"/>
      <c r="AJ116" s="88"/>
      <c r="AK116" s="17"/>
      <c r="AL116" s="95"/>
      <c r="AM116" s="30"/>
      <c r="AN116" s="30"/>
      <c r="AO116" s="30"/>
      <c r="AP116" s="30"/>
      <c r="AQ116" s="87"/>
      <c r="AR116" s="94"/>
      <c r="AS116" s="87"/>
      <c r="AT116" s="30">
        <v>122</v>
      </c>
      <c r="AU116" s="30" t="str">
        <v>Muhammad Jiwa</v>
      </c>
      <c r="AV116" s="30" t="str">
        <v>(+62) 85265918381</v>
      </c>
      <c r="AW116" s="30" t="str">
        <v>Muhammad Jiwa</v>
      </c>
      <c r="AX116" s="30" t="str">
        <v>ESSENTIAL MAHASISWA</v>
      </c>
      <c r="AY116" s="30">
        <v>1199000</v>
      </c>
      <c r="AZ116" s="30">
        <f>IF(AW116="","", IF(   COUNTIF($S$2:$S$176, AW116) +   SUMPRODUCT(--ISNUMBER(SEARCH(LOWER(REGEXEXTRACT(TRIM(AW116),"^[^@]+")), LOWER(TRIM($BB$2:$BB$86))))) &gt; 0,   "SUDAH BAYAR","BELUM" ))</f>
      </c>
      <c r="BA116" s="30"/>
      <c r="BB116" s="30"/>
      <c r="BC116" s="30"/>
      <c r="BD116" s="30"/>
      <c r="BE116" s="30"/>
      <c r="BF116" s="30"/>
      <c r="BG116" s="30"/>
      <c r="BH116" s="30"/>
      <c r="BI116" s="30"/>
      <c r="BJ116" s="30"/>
      <c r="BK116" s="30"/>
    </row>
    <row r="117">
      <c r="F117" s="30"/>
      <c r="G117" s="30"/>
      <c r="H117" s="30"/>
      <c r="I117" s="30"/>
      <c r="J117" s="30"/>
      <c r="K117" s="30"/>
      <c r="L117" s="30"/>
      <c r="M117" s="30"/>
      <c r="N117" s="30"/>
      <c r="O117" s="30"/>
      <c r="P117" s="30"/>
      <c r="Q117" s="30"/>
      <c r="R117" s="30"/>
      <c r="S117" s="96"/>
      <c r="T117" s="30"/>
      <c r="U117" s="30"/>
      <c r="V117" s="30"/>
      <c r="W117" s="30"/>
      <c r="X117" s="6"/>
      <c r="Y117" s="30"/>
      <c r="Z117" s="30"/>
      <c r="AA117" s="97"/>
      <c r="AB117" s="30"/>
      <c r="AC117" s="30"/>
      <c r="AD117" s="30"/>
      <c r="AE117" s="30"/>
      <c r="AF117" s="30"/>
      <c r="AG117" s="30"/>
      <c r="AH117" s="94"/>
      <c r="AI117" s="30"/>
      <c r="AJ117" s="88"/>
      <c r="AK117" s="17"/>
      <c r="AL117" s="95"/>
      <c r="AM117" s="30"/>
      <c r="AN117" s="30"/>
      <c r="AO117" s="30"/>
      <c r="AP117" s="30"/>
      <c r="AQ117" s="87"/>
      <c r="AR117" s="94"/>
      <c r="AS117" s="87"/>
      <c r="AT117" s="30">
        <v>123</v>
      </c>
      <c r="AU117" s="30" t="str">
        <v>Teguh Budiman</v>
      </c>
      <c r="AV117" s="30" t="str">
        <v>(+62) 895321765942</v>
      </c>
      <c r="AW117" s="30" t="s">
        <v>185</v>
      </c>
      <c r="AX117" s="30" t="str">
        <v>ESSENTIAL UMUM</v>
      </c>
      <c r="AY117" s="30">
        <v>1399000</v>
      </c>
      <c r="AZ117" s="30">
        <f>IF(AW117="","", IF(   COUNTIF($S$2:$S$176, AW117) +   SUMPRODUCT(--ISNUMBER(SEARCH(LOWER(REGEXEXTRACT(TRIM(AW117),"^[^@]+")), LOWER(TRIM($BB$2:$BB$86))))) &gt; 0,   "SUDAH BAYAR","BELUM" ))</f>
      </c>
      <c r="BA117" s="30"/>
      <c r="BB117" s="30"/>
      <c r="BC117" s="30"/>
      <c r="BD117" s="30"/>
      <c r="BE117" s="30"/>
      <c r="BF117" s="30"/>
      <c r="BG117" s="30"/>
      <c r="BH117" s="30"/>
      <c r="BI117" s="30"/>
      <c r="BJ117" s="30"/>
      <c r="BK117" s="30"/>
    </row>
    <row r="118">
      <c r="F118" s="30"/>
      <c r="G118" s="30"/>
      <c r="H118" s="30"/>
      <c r="I118" s="30"/>
      <c r="J118" s="30"/>
      <c r="K118" s="30"/>
      <c r="L118" s="30"/>
      <c r="M118" s="30"/>
      <c r="N118" s="30"/>
      <c r="O118" s="30"/>
      <c r="P118" s="30"/>
      <c r="Q118" s="30"/>
      <c r="R118" s="30"/>
      <c r="S118" s="96"/>
      <c r="T118" s="30"/>
      <c r="U118" s="30"/>
      <c r="V118" s="30"/>
      <c r="W118" s="30"/>
      <c r="X118" s="6"/>
      <c r="Y118" s="30"/>
      <c r="Z118" s="30"/>
      <c r="AA118" s="97"/>
      <c r="AB118" s="30"/>
      <c r="AC118" s="30"/>
      <c r="AD118" s="30"/>
      <c r="AE118" s="30"/>
      <c r="AF118" s="30"/>
      <c r="AG118" s="30"/>
      <c r="AH118" s="94"/>
      <c r="AI118" s="30"/>
      <c r="AJ118" s="88"/>
      <c r="AK118" s="17"/>
      <c r="AL118" s="95"/>
      <c r="AM118" s="30"/>
      <c r="AN118" s="30"/>
      <c r="AO118" s="30"/>
      <c r="AP118" s="30"/>
      <c r="AQ118" s="87"/>
      <c r="AR118" s="94"/>
      <c r="AS118" s="87"/>
      <c r="AT118" s="30">
        <v>124</v>
      </c>
      <c r="AU118" s="30" t="str">
        <v>Natan Kristian</v>
      </c>
      <c r="AV118" s="30" t="str">
        <v>(+62) 89662004192</v>
      </c>
      <c r="AW118" s="30" t="s">
        <v>189</v>
      </c>
      <c r="AX118" s="30" t="str">
        <v>ESSENTIAL MAHASISWA</v>
      </c>
      <c r="AY118" s="30">
        <v>1199000</v>
      </c>
      <c r="AZ118" s="30">
        <f>IF(AW118="","", IF(   COUNTIF($S$2:$S$176, AW118) +   SUMPRODUCT(--ISNUMBER(SEARCH(LOWER(REGEXEXTRACT(TRIM(AW118),"^[^@]+")), LOWER(TRIM($BB$2:$BB$86))))) &gt; 0,   "SUDAH BAYAR","BELUM" ))</f>
      </c>
      <c r="BA118" s="30"/>
      <c r="BB118" s="30"/>
      <c r="BC118" s="30"/>
      <c r="BD118" s="30"/>
      <c r="BE118" s="30"/>
      <c r="BF118" s="30"/>
      <c r="BG118" s="30"/>
      <c r="BH118" s="30"/>
      <c r="BI118" s="30"/>
      <c r="BJ118" s="30"/>
      <c r="BK118" s="30"/>
    </row>
    <row r="119">
      <c r="F119" s="30"/>
      <c r="G119" s="30"/>
      <c r="H119" s="30"/>
      <c r="I119" s="30"/>
      <c r="J119" s="30"/>
      <c r="K119" s="30"/>
      <c r="L119" s="30"/>
      <c r="M119" s="30"/>
      <c r="N119" s="30"/>
      <c r="O119" s="30"/>
      <c r="P119" s="30"/>
      <c r="Q119" s="30"/>
      <c r="R119" s="30"/>
      <c r="S119" s="96"/>
      <c r="T119" s="30"/>
      <c r="U119" s="30"/>
      <c r="V119" s="30"/>
      <c r="W119" s="30"/>
      <c r="X119" s="6"/>
      <c r="Y119" s="30"/>
      <c r="Z119" s="30"/>
      <c r="AA119" s="97"/>
      <c r="AB119" s="30"/>
      <c r="AC119" s="30"/>
      <c r="AD119" s="30"/>
      <c r="AE119" s="30"/>
      <c r="AF119" s="30"/>
      <c r="AG119" s="30"/>
      <c r="AH119" s="94"/>
      <c r="AI119" s="30"/>
      <c r="AJ119" s="88"/>
      <c r="AK119" s="17"/>
      <c r="AL119" s="95"/>
      <c r="AM119" s="30"/>
      <c r="AN119" s="30"/>
      <c r="AO119" s="30"/>
      <c r="AP119" s="30"/>
      <c r="AQ119" s="87"/>
      <c r="AR119" s="94"/>
      <c r="AS119" s="87"/>
      <c r="AT119" s="30">
        <v>126</v>
      </c>
      <c r="AU119" s="30" t="str">
        <v>Muhammad Nabil Fahrezi</v>
      </c>
      <c r="AV119" s="30" t="str">
        <v>(+62) 83152536880</v>
      </c>
      <c r="AW119" s="30" t="s">
        <v>178</v>
      </c>
      <c r="AX119" s="30" t="str">
        <v>ESSENTIAL MAHASISWA</v>
      </c>
      <c r="AY119" s="30">
        <v>1199000</v>
      </c>
      <c r="AZ119" s="30">
        <f>IF(AW119="","", IF(   COUNTIF($S$2:$S$176, AW119) +   SUMPRODUCT(--ISNUMBER(SEARCH(LOWER(REGEXEXTRACT(TRIM(AW119),"^[^@]+")), LOWER(TRIM($BB$2:$BB$86))))) &gt; 0,   "SUDAH BAYAR","BELUM" ))</f>
      </c>
      <c r="BA119" s="30"/>
      <c r="BB119" s="30"/>
      <c r="BC119" s="30"/>
      <c r="BD119" s="30"/>
      <c r="BE119" s="30"/>
      <c r="BF119" s="30"/>
      <c r="BG119" s="30"/>
      <c r="BH119" s="30"/>
      <c r="BI119" s="30"/>
      <c r="BJ119" s="30"/>
      <c r="BK119" s="30"/>
    </row>
    <row r="120">
      <c r="F120" s="30"/>
      <c r="G120" s="30"/>
      <c r="H120" s="30"/>
      <c r="I120" s="30"/>
      <c r="J120" s="30"/>
      <c r="K120" s="30"/>
      <c r="L120" s="30"/>
      <c r="M120" s="30"/>
      <c r="N120" s="30"/>
      <c r="O120" s="30"/>
      <c r="P120" s="30"/>
      <c r="Q120" s="30"/>
      <c r="R120" s="30"/>
      <c r="S120" s="96"/>
      <c r="T120" s="30"/>
      <c r="U120" s="30"/>
      <c r="V120" s="30"/>
      <c r="W120" s="30"/>
      <c r="X120" s="6"/>
      <c r="Y120" s="30"/>
      <c r="Z120" s="30"/>
      <c r="AA120" s="97"/>
      <c r="AB120" s="30"/>
      <c r="AC120" s="30"/>
      <c r="AD120" s="30"/>
      <c r="AE120" s="30"/>
      <c r="AF120" s="30"/>
      <c r="AG120" s="30"/>
      <c r="AH120" s="94"/>
      <c r="AI120" s="30"/>
      <c r="AJ120" s="88"/>
      <c r="AK120" s="17"/>
      <c r="AL120" s="95"/>
      <c r="AM120" s="30"/>
      <c r="AN120" s="30"/>
      <c r="AO120" s="30"/>
      <c r="AP120" s="30"/>
      <c r="AQ120" s="87"/>
      <c r="AR120" s="94"/>
      <c r="AS120" s="87"/>
      <c r="AT120" s="30">
        <v>127</v>
      </c>
      <c r="AU120" s="30" t="str">
        <v>Anisa Hafidz Zulfa Salsabil</v>
      </c>
      <c r="AV120" s="30" t="str">
        <v>(+62) 85733567778</v>
      </c>
      <c r="AW120" s="30" t="s">
        <v>181</v>
      </c>
      <c r="AX120" s="30" t="str">
        <v>ESSENTIAL MAHASISWA</v>
      </c>
      <c r="AY120" s="30">
        <v>1199000</v>
      </c>
      <c r="AZ120" s="30">
        <f>IF(AW120="","", IF(   COUNTIF($S$2:$S$176, AW120) +   SUMPRODUCT(--ISNUMBER(SEARCH(LOWER(REGEXEXTRACT(TRIM(AW120),"^[^@]+")), LOWER(TRIM($BB$2:$BB$86))))) &gt; 0,   "SUDAH BAYAR","BELUM" ))</f>
      </c>
      <c r="BA120" s="30"/>
      <c r="BB120" s="30"/>
      <c r="BC120" s="30"/>
      <c r="BD120" s="30"/>
      <c r="BE120" s="30"/>
      <c r="BF120" s="30"/>
      <c r="BG120" s="30"/>
      <c r="BH120" s="30"/>
      <c r="BI120" s="30"/>
      <c r="BJ120" s="30"/>
      <c r="BK120" s="30"/>
    </row>
    <row r="121">
      <c r="F121" s="30"/>
      <c r="G121" s="30"/>
      <c r="H121" s="30"/>
      <c r="I121" s="30"/>
      <c r="J121" s="30"/>
      <c r="K121" s="30"/>
      <c r="L121" s="30"/>
      <c r="M121" s="30"/>
      <c r="N121" s="30"/>
      <c r="O121" s="30"/>
      <c r="P121" s="30"/>
      <c r="Q121" s="30"/>
      <c r="R121" s="30"/>
      <c r="S121" s="96"/>
      <c r="T121" s="30"/>
      <c r="U121" s="30"/>
      <c r="V121" s="30"/>
      <c r="W121" s="30"/>
      <c r="X121" s="6"/>
      <c r="Y121" s="30"/>
      <c r="Z121" s="30"/>
      <c r="AA121" s="97"/>
      <c r="AB121" s="30"/>
      <c r="AC121" s="30"/>
      <c r="AD121" s="30"/>
      <c r="AE121" s="30"/>
      <c r="AF121" s="30"/>
      <c r="AG121" s="30"/>
      <c r="AH121" s="94"/>
      <c r="AI121" s="30"/>
      <c r="AJ121" s="88"/>
      <c r="AK121" s="17"/>
      <c r="AL121" s="95"/>
      <c r="AM121" s="30"/>
      <c r="AN121" s="30"/>
      <c r="AO121" s="30"/>
      <c r="AP121" s="30"/>
      <c r="AQ121" s="87"/>
      <c r="AR121" s="94"/>
      <c r="AS121" s="87"/>
      <c r="AT121" s="30">
        <v>128</v>
      </c>
      <c r="AU121" s="30" t="str">
        <v>Wijdan Khairul Tsany Harli</v>
      </c>
      <c r="AV121" s="30" t="str">
        <v>(+62) 85158757001</v>
      </c>
      <c r="AW121" s="30" t="s">
        <v>227</v>
      </c>
      <c r="AX121" s="30" t="str">
        <v>ESSENTIAL UMUM</v>
      </c>
      <c r="AY121" s="30">
        <v>1399000</v>
      </c>
      <c r="AZ121" s="30">
        <f>IF(AW121="","", IF(   COUNTIF($S$2:$S$176, AW121) +   SUMPRODUCT(--ISNUMBER(SEARCH(LOWER(REGEXEXTRACT(TRIM(AW121),"^[^@]+")), LOWER(TRIM($BB$2:$BB$86))))) &gt; 0,   "SUDAH BAYAR","BELUM" ))</f>
      </c>
      <c r="BA121" s="30"/>
      <c r="BB121" s="30"/>
      <c r="BC121" s="30"/>
      <c r="BD121" s="30"/>
      <c r="BE121" s="30"/>
      <c r="BF121" s="30"/>
      <c r="BG121" s="30"/>
      <c r="BH121" s="30"/>
      <c r="BI121" s="30"/>
      <c r="BJ121" s="30"/>
      <c r="BK121" s="30"/>
    </row>
    <row r="122">
      <c r="F122" s="30"/>
      <c r="G122" s="30"/>
      <c r="H122" s="30"/>
      <c r="I122" s="30"/>
      <c r="J122" s="30"/>
      <c r="K122" s="30"/>
      <c r="L122" s="30"/>
      <c r="M122" s="30"/>
      <c r="N122" s="30"/>
      <c r="O122" s="30"/>
      <c r="P122" s="30"/>
      <c r="Q122" s="30"/>
      <c r="R122" s="30"/>
      <c r="S122" s="96"/>
      <c r="T122" s="30"/>
      <c r="U122" s="30"/>
      <c r="V122" s="30"/>
      <c r="W122" s="30"/>
      <c r="X122" s="6"/>
      <c r="Y122" s="30"/>
      <c r="Z122" s="30"/>
      <c r="AA122" s="97"/>
      <c r="AB122" s="30"/>
      <c r="AC122" s="30"/>
      <c r="AD122" s="30"/>
      <c r="AE122" s="30"/>
      <c r="AF122" s="30"/>
      <c r="AG122" s="30"/>
      <c r="AH122" s="94"/>
      <c r="AI122" s="30"/>
      <c r="AJ122" s="88"/>
      <c r="AK122" s="17"/>
      <c r="AL122" s="95"/>
      <c r="AM122" s="30"/>
      <c r="AN122" s="30"/>
      <c r="AO122" s="30"/>
      <c r="AP122" s="30"/>
      <c r="AQ122" s="87"/>
      <c r="AR122" s="94"/>
      <c r="AS122" s="87"/>
      <c r="AT122" s="30">
        <v>131</v>
      </c>
      <c r="AU122" s="30" t="str">
        <v>Nurlina Yustiningrum</v>
      </c>
      <c r="AV122" s="30" t="str">
        <v>(+62) 8157920088</v>
      </c>
      <c r="AW122" s="30" t="s">
        <v>235</v>
      </c>
      <c r="AX122" s="30" t="str">
        <v>ESSENTIAL MAHASISWA</v>
      </c>
      <c r="AY122" s="30">
        <v>1199000</v>
      </c>
      <c r="AZ122" s="30">
        <f>IF(AW122="","", IF(   COUNTIF($S$2:$S$176, AW122) +   SUMPRODUCT(--ISNUMBER(SEARCH(LOWER(REGEXEXTRACT(TRIM(AW122),"^[^@]+")), LOWER(TRIM($BB$2:$BB$86))))) &gt; 0,   "SUDAH BAYAR","BELUM" ))</f>
      </c>
      <c r="BA122" s="30"/>
      <c r="BB122" s="30"/>
      <c r="BC122" s="30"/>
      <c r="BD122" s="30"/>
      <c r="BE122" s="30"/>
      <c r="BF122" s="30"/>
      <c r="BG122" s="30"/>
      <c r="BH122" s="30"/>
      <c r="BI122" s="30"/>
      <c r="BJ122" s="30"/>
      <c r="BK122" s="30"/>
    </row>
    <row r="123">
      <c r="F123" s="30"/>
      <c r="G123" s="30"/>
      <c r="H123" s="30"/>
      <c r="I123" s="30"/>
      <c r="J123" s="30"/>
      <c r="K123" s="30"/>
      <c r="L123" s="30"/>
      <c r="M123" s="30"/>
      <c r="N123" s="30"/>
      <c r="O123" s="30"/>
      <c r="P123" s="30"/>
      <c r="Q123" s="30"/>
      <c r="R123" s="30"/>
      <c r="S123" s="96"/>
      <c r="T123" s="30"/>
      <c r="U123" s="30"/>
      <c r="V123" s="30"/>
      <c r="W123" s="30"/>
      <c r="X123" s="6"/>
      <c r="Y123" s="30"/>
      <c r="Z123" s="30"/>
      <c r="AA123" s="97"/>
      <c r="AB123" s="30"/>
      <c r="AC123" s="30"/>
      <c r="AD123" s="30"/>
      <c r="AE123" s="30"/>
      <c r="AF123" s="30"/>
      <c r="AG123" s="30"/>
      <c r="AH123" s="94"/>
      <c r="AI123" s="30"/>
      <c r="AJ123" s="88"/>
      <c r="AK123" s="17"/>
      <c r="AL123" s="95"/>
      <c r="AM123" s="30"/>
      <c r="AN123" s="30"/>
      <c r="AO123" s="30"/>
      <c r="AP123" s="30"/>
      <c r="AQ123" s="87"/>
      <c r="AR123" s="94"/>
      <c r="AS123" s="87"/>
      <c r="AT123" s="30">
        <v>132</v>
      </c>
      <c r="AU123" s="30" t="str">
        <v>Gilang Arya Dipayana</v>
      </c>
      <c r="AV123" s="30" t="str">
        <v>(+62) 82136681597</v>
      </c>
      <c r="AW123" s="30" t="s">
        <v>220</v>
      </c>
      <c r="AX123" s="30" t="str">
        <v>ESSENTIAL UMUM</v>
      </c>
      <c r="AY123" s="30">
        <v>1399000</v>
      </c>
      <c r="AZ123" s="30">
        <f>IF(AW123="","", IF(   COUNTIF($S$2:$S$176, AW123) +   SUMPRODUCT(--ISNUMBER(SEARCH(LOWER(REGEXEXTRACT(TRIM(AW123),"^[^@]+")), LOWER(TRIM($BB$2:$BB$86))))) &gt; 0,   "SUDAH BAYAR","BELUM" ))</f>
      </c>
      <c r="BA123" s="30"/>
      <c r="BB123" s="30"/>
      <c r="BC123" s="30"/>
      <c r="BD123" s="30"/>
      <c r="BE123" s="30"/>
      <c r="BF123" s="30"/>
      <c r="BG123" s="30"/>
      <c r="BH123" s="30"/>
      <c r="BI123" s="30"/>
      <c r="BJ123" s="30"/>
      <c r="BK123" s="30"/>
    </row>
    <row r="124">
      <c r="F124" s="30"/>
      <c r="G124" s="30"/>
      <c r="H124" s="30"/>
      <c r="I124" s="30"/>
      <c r="J124" s="30"/>
      <c r="K124" s="30"/>
      <c r="L124" s="30"/>
      <c r="M124" s="30"/>
      <c r="N124" s="30"/>
      <c r="O124" s="30"/>
      <c r="P124" s="30"/>
      <c r="Q124" s="30"/>
      <c r="R124" s="30"/>
      <c r="S124" s="96"/>
      <c r="T124" s="30"/>
      <c r="U124" s="30"/>
      <c r="V124" s="30"/>
      <c r="W124" s="30"/>
      <c r="X124" s="6"/>
      <c r="Y124" s="30"/>
      <c r="Z124" s="30"/>
      <c r="AA124" s="97"/>
      <c r="AB124" s="30"/>
      <c r="AC124" s="30"/>
      <c r="AD124" s="30"/>
      <c r="AE124" s="30"/>
      <c r="AF124" s="30"/>
      <c r="AG124" s="30"/>
      <c r="AH124" s="94"/>
      <c r="AI124" s="30"/>
      <c r="AJ124" s="88"/>
      <c r="AK124" s="17"/>
      <c r="AL124" s="95"/>
      <c r="AM124" s="30"/>
      <c r="AN124" s="30"/>
      <c r="AO124" s="30"/>
      <c r="AP124" s="30"/>
      <c r="AQ124" s="87"/>
      <c r="AR124" s="94"/>
      <c r="AS124" s="87"/>
      <c r="AT124" s="30">
        <v>133</v>
      </c>
      <c r="AU124" s="30" t="str">
        <v>Muhammad Faizal Rafli</v>
      </c>
      <c r="AV124" s="30" t="str">
        <v>(+62) 8988521549</v>
      </c>
      <c r="AW124" s="30" t="s">
        <v>223</v>
      </c>
      <c r="AX124" s="30" t="str">
        <v>ESSENTIAL MAHASISWA</v>
      </c>
      <c r="AY124" s="30">
        <v>1199000</v>
      </c>
      <c r="AZ124" s="30">
        <f>IF(AW124="","", IF(   COUNTIF($S$2:$S$176, AW124) +   SUMPRODUCT(--ISNUMBER(SEARCH(LOWER(REGEXEXTRACT(TRIM(AW124),"^[^@]+")), LOWER(TRIM($BB$2:$BB$86))))) &gt; 0,   "SUDAH BAYAR","BELUM" ))</f>
      </c>
      <c r="BA124" s="30"/>
      <c r="BB124" s="30"/>
      <c r="BC124" s="30"/>
      <c r="BD124" s="30"/>
      <c r="BE124" s="30"/>
      <c r="BF124" s="30"/>
      <c r="BG124" s="30"/>
      <c r="BH124" s="30"/>
      <c r="BI124" s="30"/>
      <c r="BJ124" s="30"/>
      <c r="BK124" s="30"/>
    </row>
    <row r="125">
      <c r="F125" s="30"/>
      <c r="G125" s="30"/>
      <c r="H125" s="30"/>
      <c r="I125" s="30"/>
      <c r="J125" s="30"/>
      <c r="K125" s="30"/>
      <c r="L125" s="30"/>
      <c r="M125" s="30"/>
      <c r="N125" s="30"/>
      <c r="O125" s="30"/>
      <c r="P125" s="30"/>
      <c r="Q125" s="30"/>
      <c r="R125" s="30"/>
      <c r="S125" s="96"/>
      <c r="T125" s="30"/>
      <c r="U125" s="30"/>
      <c r="V125" s="30"/>
      <c r="W125" s="30"/>
      <c r="X125" s="6"/>
      <c r="Y125" s="30"/>
      <c r="Z125" s="30"/>
      <c r="AA125" s="97"/>
      <c r="AB125" s="30"/>
      <c r="AC125" s="30"/>
      <c r="AD125" s="30"/>
      <c r="AE125" s="30"/>
      <c r="AF125" s="30"/>
      <c r="AG125" s="30"/>
      <c r="AH125" s="94"/>
      <c r="AI125" s="30"/>
      <c r="AJ125" s="92"/>
      <c r="AK125" s="17"/>
      <c r="AL125" s="95"/>
      <c r="AM125" s="30"/>
      <c r="AN125" s="30"/>
      <c r="AO125" s="30"/>
      <c r="AP125" s="30"/>
      <c r="AQ125" s="87"/>
      <c r="AR125" s="94"/>
      <c r="AS125" s="87"/>
      <c r="AT125" s="30">
        <v>134</v>
      </c>
      <c r="AU125" s="30" t="str">
        <v>AULIA NAUFAL NURHAQIQI</v>
      </c>
      <c r="AV125" s="30" t="str">
        <v>(+62) 81280085895</v>
      </c>
      <c r="AW125" s="30" t="s">
        <v>213</v>
      </c>
      <c r="AX125" s="30" t="str">
        <v>ESSENTIAL MAHASISWA</v>
      </c>
      <c r="AY125" s="30">
        <v>1199000</v>
      </c>
      <c r="AZ125" s="30">
        <f>IF(AW125="","", IF(   COUNTIF($S$2:$S$176, AW125) +   SUMPRODUCT(--ISNUMBER(SEARCH(LOWER(REGEXEXTRACT(TRIM(AW125),"^[^@]+")), LOWER(TRIM($BB$2:$BB$86))))) &gt; 0,   "SUDAH BAYAR","BELUM" ))</f>
      </c>
      <c r="BA125" s="30"/>
      <c r="BB125" s="30"/>
      <c r="BC125" s="30"/>
      <c r="BD125" s="30"/>
      <c r="BE125" s="30"/>
      <c r="BF125" s="30"/>
      <c r="BG125" s="30"/>
      <c r="BH125" s="30"/>
      <c r="BI125" s="30"/>
      <c r="BJ125" s="30"/>
      <c r="BK125" s="30"/>
    </row>
    <row r="126">
      <c r="F126" s="30"/>
      <c r="G126" s="30"/>
      <c r="H126" s="30"/>
      <c r="I126" s="30"/>
      <c r="J126" s="30"/>
      <c r="K126" s="30"/>
      <c r="L126" s="30"/>
      <c r="M126" s="30"/>
      <c r="N126" s="30"/>
      <c r="O126" s="30"/>
      <c r="P126" s="30"/>
      <c r="Q126" s="30"/>
      <c r="R126" s="30"/>
      <c r="S126" s="96"/>
      <c r="T126" s="30"/>
      <c r="U126" s="30"/>
      <c r="V126" s="30"/>
      <c r="W126" s="30"/>
      <c r="X126" s="6"/>
      <c r="Y126" s="30"/>
      <c r="Z126" s="30"/>
      <c r="AA126" s="97"/>
      <c r="AB126" s="30"/>
      <c r="AC126" s="30"/>
      <c r="AD126" s="30"/>
      <c r="AE126" s="30"/>
      <c r="AF126" s="30"/>
      <c r="AG126" s="30"/>
      <c r="AH126" s="94"/>
      <c r="AI126" s="30"/>
      <c r="AJ126" s="88"/>
      <c r="AK126" s="17"/>
      <c r="AL126" s="95"/>
      <c r="AM126" s="30"/>
      <c r="AN126" s="30"/>
      <c r="AO126" s="30"/>
      <c r="AP126" s="30"/>
      <c r="AQ126" s="87"/>
      <c r="AR126" s="94"/>
      <c r="AS126" s="87"/>
      <c r="AT126" s="30">
        <v>135</v>
      </c>
      <c r="AU126" s="30" t="str">
        <v>Aditama Nurrahman</v>
      </c>
      <c r="AV126" s="30" t="str">
        <v>(+62) 82165545145</v>
      </c>
      <c r="AW126" s="30" t="s">
        <v>217</v>
      </c>
      <c r="AX126" s="30" t="str">
        <v>ESSENTIAL MAHASISWA</v>
      </c>
      <c r="AY126" s="30">
        <v>1199000</v>
      </c>
      <c r="AZ126" s="30">
        <f>IF(AW126="","", IF(   COUNTIF($S$2:$S$176, AW126) +   SUMPRODUCT(--ISNUMBER(SEARCH(LOWER(REGEXEXTRACT(TRIM(AW126),"^[^@]+")), LOWER(TRIM($BB$2:$BB$86))))) &gt; 0,   "SUDAH BAYAR","BELUM" ))</f>
      </c>
      <c r="BA126" s="30"/>
      <c r="BB126" s="30"/>
      <c r="BC126" s="30"/>
      <c r="BD126" s="30"/>
      <c r="BE126" s="30"/>
      <c r="BF126" s="30"/>
      <c r="BG126" s="30"/>
      <c r="BH126" s="30"/>
      <c r="BI126" s="30"/>
      <c r="BJ126" s="30"/>
      <c r="BK126" s="30"/>
    </row>
    <row r="127">
      <c r="F127" s="30"/>
      <c r="G127" s="30"/>
      <c r="H127" s="30"/>
      <c r="I127" s="30"/>
      <c r="J127" s="30"/>
      <c r="K127" s="30"/>
      <c r="L127" s="30"/>
      <c r="M127" s="30"/>
      <c r="N127" s="30"/>
      <c r="O127" s="30"/>
      <c r="P127" s="30"/>
      <c r="Q127" s="30"/>
      <c r="R127" s="30"/>
      <c r="S127" s="96"/>
      <c r="T127" s="30"/>
      <c r="U127" s="30"/>
      <c r="V127" s="30"/>
      <c r="W127" s="30"/>
      <c r="X127" s="6"/>
      <c r="Y127" s="30"/>
      <c r="Z127" s="30"/>
      <c r="AA127" s="97"/>
      <c r="AB127" s="30"/>
      <c r="AC127" s="30"/>
      <c r="AD127" s="30"/>
      <c r="AE127" s="30"/>
      <c r="AF127" s="30"/>
      <c r="AG127" s="30"/>
      <c r="AH127" s="94"/>
      <c r="AI127" s="30"/>
      <c r="AJ127" s="88"/>
      <c r="AK127" s="17"/>
      <c r="AL127" s="95"/>
      <c r="AM127" s="30"/>
      <c r="AN127" s="30"/>
      <c r="AO127" s="30"/>
      <c r="AP127" s="30"/>
      <c r="AQ127" s="87"/>
      <c r="AR127" s="94"/>
      <c r="AS127" s="87"/>
      <c r="AT127" s="30">
        <v>136</v>
      </c>
      <c r="AU127" s="30" t="str">
        <v>Rizal Nazari</v>
      </c>
      <c r="AV127" s="30" t="str">
        <v>(+62) 82118245856</v>
      </c>
      <c r="AW127" s="30" t="s">
        <v>205</v>
      </c>
      <c r="AX127" s="30" t="str">
        <v>ESSENTIAL UMUM</v>
      </c>
      <c r="AY127" s="30">
        <v>1399000</v>
      </c>
      <c r="AZ127" s="30">
        <f>IF(AW127="","", IF(   COUNTIF($S$2:$S$176, AW127) +   SUMPRODUCT(--ISNUMBER(SEARCH(LOWER(REGEXEXTRACT(TRIM(AW127),"^[^@]+")), LOWER(TRIM($BB$2:$BB$86))))) &gt; 0,   "SUDAH BAYAR","BELUM" ))</f>
      </c>
      <c r="BA127" s="30"/>
      <c r="BB127" s="30"/>
      <c r="BC127" s="30"/>
      <c r="BD127" s="30"/>
      <c r="BE127" s="30"/>
      <c r="BF127" s="30"/>
      <c r="BG127" s="30"/>
      <c r="BH127" s="30"/>
      <c r="BI127" s="30"/>
      <c r="BJ127" s="30"/>
      <c r="BK127" s="30"/>
    </row>
    <row r="128">
      <c r="F128" s="30"/>
      <c r="G128" s="30"/>
      <c r="H128" s="30"/>
      <c r="I128" s="30"/>
      <c r="J128" s="30"/>
      <c r="K128" s="30"/>
      <c r="L128" s="30"/>
      <c r="M128" s="30"/>
      <c r="N128" s="30"/>
      <c r="O128" s="30"/>
      <c r="P128" s="30"/>
      <c r="Q128" s="30"/>
      <c r="R128" s="30"/>
      <c r="S128" s="96"/>
      <c r="T128" s="30"/>
      <c r="U128" s="30"/>
      <c r="V128" s="30"/>
      <c r="W128" s="30"/>
      <c r="X128" s="6"/>
      <c r="Y128" s="30"/>
      <c r="Z128" s="30"/>
      <c r="AA128" s="97"/>
      <c r="AB128" s="30"/>
      <c r="AC128" s="30"/>
      <c r="AD128" s="30"/>
      <c r="AE128" s="30"/>
      <c r="AF128" s="30"/>
      <c r="AG128" s="30"/>
      <c r="AH128" s="94"/>
      <c r="AI128" s="30"/>
      <c r="AJ128" s="88"/>
      <c r="AK128" s="17"/>
      <c r="AL128" s="95"/>
      <c r="AM128" s="30"/>
      <c r="AN128" s="30"/>
      <c r="AO128" s="30"/>
      <c r="AP128" s="30"/>
      <c r="AQ128" s="87"/>
      <c r="AR128" s="94"/>
      <c r="AS128" s="87"/>
      <c r="AT128" s="30">
        <v>137</v>
      </c>
      <c r="AU128" s="30" t="str">
        <v>Akbar Aksi Gemilang</v>
      </c>
      <c r="AV128" s="30" t="str">
        <v>(+62) 895383017360</v>
      </c>
      <c r="AW128" s="30" t="s">
        <v>209</v>
      </c>
      <c r="AX128" s="30" t="str">
        <v>ESSENTIAL UMUM</v>
      </c>
      <c r="AY128" s="30">
        <v>1399000</v>
      </c>
      <c r="AZ128" s="30">
        <f>IF(AW128="","", IF(   COUNTIF($S$2:$S$176, AW128) +   SUMPRODUCT(--ISNUMBER(SEARCH(LOWER(REGEXEXTRACT(TRIM(AW128),"^[^@]+")), LOWER(TRIM($BB$2:$BB$86))))) &gt; 0,   "SUDAH BAYAR","BELUM" ))</f>
      </c>
      <c r="BA128" s="30"/>
      <c r="BB128" s="30"/>
      <c r="BC128" s="30"/>
      <c r="BD128" s="30"/>
      <c r="BE128" s="30"/>
      <c r="BF128" s="30"/>
      <c r="BG128" s="30"/>
      <c r="BH128" s="30"/>
      <c r="BI128" s="30"/>
      <c r="BJ128" s="30"/>
      <c r="BK128" s="30"/>
    </row>
    <row r="129">
      <c r="F129" s="30"/>
      <c r="G129" s="30"/>
      <c r="H129" s="30"/>
      <c r="I129" s="30"/>
      <c r="J129" s="30"/>
      <c r="K129" s="30"/>
      <c r="L129" s="30"/>
      <c r="M129" s="30"/>
      <c r="N129" s="30"/>
      <c r="O129" s="30"/>
      <c r="P129" s="30"/>
      <c r="Q129" s="30"/>
      <c r="R129" s="30"/>
      <c r="S129" s="96"/>
      <c r="T129" s="30"/>
      <c r="U129" s="30"/>
      <c r="V129" s="30"/>
      <c r="W129" s="30"/>
      <c r="X129" s="6"/>
      <c r="Y129" s="30"/>
      <c r="Z129" s="30"/>
      <c r="AA129" s="97"/>
      <c r="AB129" s="30"/>
      <c r="AC129" s="30"/>
      <c r="AD129" s="30"/>
      <c r="AE129" s="30"/>
      <c r="AF129" s="30"/>
      <c r="AG129" s="30"/>
      <c r="AH129" s="94"/>
      <c r="AI129" s="30"/>
      <c r="AJ129" s="88"/>
      <c r="AK129" s="17"/>
      <c r="AL129" s="95"/>
      <c r="AM129" s="30"/>
      <c r="AN129" s="30"/>
      <c r="AO129" s="30"/>
      <c r="AP129" s="30"/>
      <c r="AQ129" s="87"/>
      <c r="AR129" s="94"/>
      <c r="AS129" s="87"/>
      <c r="AT129" s="30">
        <v>138</v>
      </c>
      <c r="AU129" s="30" t="str">
        <v>R ADITYA JOVAN ERLANDO</v>
      </c>
      <c r="AV129" s="30" t="str">
        <v>(+62) 81808414262</v>
      </c>
      <c r="AW129" s="30" t="s">
        <v>248</v>
      </c>
      <c r="AX129" s="30" t="str">
        <v>ESSENTIAL UMUM</v>
      </c>
      <c r="AY129" s="30">
        <v>1399000</v>
      </c>
      <c r="AZ129" s="30">
        <f>IF(AW129="","", IF(   COUNTIF($S$2:$S$176, AW129) +   SUMPRODUCT(--ISNUMBER(SEARCH(LOWER(REGEXEXTRACT(TRIM(AW129),"^[^@]+")), LOWER(TRIM($BB$2:$BB$86))))) &gt; 0,   "SUDAH BAYAR","BELUM" ))</f>
      </c>
      <c r="BA129" s="30"/>
      <c r="BB129" s="30"/>
      <c r="BC129" s="30"/>
      <c r="BD129" s="30"/>
      <c r="BE129" s="30"/>
      <c r="BF129" s="30"/>
      <c r="BG129" s="30"/>
      <c r="BH129" s="30"/>
      <c r="BI129" s="30"/>
      <c r="BJ129" s="30"/>
      <c r="BK129" s="30"/>
    </row>
    <row r="130">
      <c r="F130" s="30"/>
      <c r="G130" s="30"/>
      <c r="H130" s="30"/>
      <c r="I130" s="30"/>
      <c r="J130" s="30"/>
      <c r="K130" s="30"/>
      <c r="L130" s="30"/>
      <c r="M130" s="30"/>
      <c r="N130" s="30"/>
      <c r="O130" s="30"/>
      <c r="P130" s="30"/>
      <c r="Q130" s="30"/>
      <c r="R130" s="30"/>
      <c r="S130" s="96"/>
      <c r="T130" s="30"/>
      <c r="U130" s="30"/>
      <c r="V130" s="30"/>
      <c r="W130" s="30"/>
      <c r="X130" s="6"/>
      <c r="Y130" s="30"/>
      <c r="Z130" s="30"/>
      <c r="AA130" s="97"/>
      <c r="AB130" s="30"/>
      <c r="AC130" s="30"/>
      <c r="AD130" s="30"/>
      <c r="AE130" s="30"/>
      <c r="AF130" s="30"/>
      <c r="AG130" s="30"/>
      <c r="AH130" s="94"/>
      <c r="AI130" s="30"/>
      <c r="AJ130" s="88"/>
      <c r="AK130" s="17"/>
      <c r="AL130" s="95"/>
      <c r="AM130" s="30"/>
      <c r="AN130" s="30"/>
      <c r="AO130" s="30"/>
      <c r="AP130" s="30"/>
      <c r="AQ130" s="87"/>
      <c r="AR130" s="94"/>
      <c r="AS130" s="87"/>
      <c r="AT130" s="30"/>
      <c r="AU130" s="30"/>
      <c r="AV130" s="30"/>
      <c r="AW130" s="30"/>
      <c r="AX130" s="30"/>
      <c r="AY130" s="30"/>
      <c r="AZ130" s="30">
        <f>IF(AW130="","", IF(   COUNTIF($S$2:$S$176, AW130) +   SUMPRODUCT(--ISNUMBER(SEARCH(LOWER(REGEXEXTRACT(TRIM(AW130),"^[^@]+")), LOWER(TRIM($BB$2:$BB$86))))) &gt; 0,   "SUDAH BAYAR","BELUM" ))</f>
      </c>
      <c r="BA130" s="30"/>
      <c r="BB130" s="30"/>
      <c r="BC130" s="30"/>
      <c r="BD130" s="30"/>
      <c r="BE130" s="30"/>
      <c r="BF130" s="30"/>
      <c r="BG130" s="30"/>
      <c r="BH130" s="30"/>
      <c r="BI130" s="30"/>
      <c r="BJ130" s="30"/>
      <c r="BK130" s="30"/>
    </row>
    <row r="131">
      <c r="F131" s="30"/>
      <c r="G131" s="30"/>
      <c r="H131" s="30"/>
      <c r="I131" s="30"/>
      <c r="J131" s="30"/>
      <c r="K131" s="30"/>
      <c r="L131" s="30"/>
      <c r="M131" s="30"/>
      <c r="N131" s="30"/>
      <c r="O131" s="30"/>
      <c r="P131" s="30"/>
      <c r="Q131" s="30"/>
      <c r="R131" s="30"/>
      <c r="S131" s="96"/>
      <c r="T131" s="30"/>
      <c r="U131" s="30"/>
      <c r="V131" s="30"/>
      <c r="W131" s="30"/>
      <c r="X131" s="6"/>
      <c r="Y131" s="30"/>
      <c r="Z131" s="30"/>
      <c r="AA131" s="97"/>
      <c r="AB131" s="30"/>
      <c r="AC131" s="30"/>
      <c r="AD131" s="30"/>
      <c r="AE131" s="30"/>
      <c r="AF131" s="30"/>
      <c r="AG131" s="30"/>
      <c r="AH131" s="94"/>
      <c r="AI131" s="30"/>
      <c r="AJ131" s="88"/>
      <c r="AK131" s="17"/>
      <c r="AL131" s="95"/>
      <c r="AM131" s="30"/>
      <c r="AN131" s="30"/>
      <c r="AO131" s="30"/>
      <c r="AP131" s="30"/>
      <c r="AQ131" s="87"/>
      <c r="AR131" s="94"/>
      <c r="AS131" s="87"/>
      <c r="AT131" s="30">
        <v>140</v>
      </c>
      <c r="AU131" s="30" t="str">
        <v>Hanif Abiyyu Rachmadana</v>
      </c>
      <c r="AV131" s="30" t="str">
        <v>(+62) 89637824315</v>
      </c>
      <c r="AW131" s="30" t="s">
        <v>250</v>
      </c>
      <c r="AX131" s="30" t="str">
        <v>ESSENTIAL MAHASISWA</v>
      </c>
      <c r="AY131" s="30">
        <v>1199000</v>
      </c>
      <c r="AZ131" s="30">
        <f>IF(AW131="","", IF(   COUNTIF($S$2:$S$176, AW131) +   SUMPRODUCT(--ISNUMBER(SEARCH(LOWER(REGEXEXTRACT(TRIM(AW131),"^[^@]+")), LOWER(TRIM($BB$2:$BB$86))))) &gt; 0,   "SUDAH BAYAR","BELUM" ))</f>
      </c>
      <c r="BA131" s="30"/>
      <c r="BB131" s="30"/>
      <c r="BC131" s="30"/>
      <c r="BD131" s="30"/>
      <c r="BE131" s="30"/>
      <c r="BF131" s="30"/>
      <c r="BG131" s="30"/>
      <c r="BH131" s="30"/>
      <c r="BI131" s="30"/>
      <c r="BJ131" s="30"/>
      <c r="BK131" s="30"/>
    </row>
    <row r="132">
      <c r="F132" s="30"/>
      <c r="G132" s="30"/>
      <c r="H132" s="30"/>
      <c r="I132" s="30"/>
      <c r="J132" s="30"/>
      <c r="K132" s="30"/>
      <c r="L132" s="30"/>
      <c r="M132" s="30"/>
      <c r="N132" s="30"/>
      <c r="O132" s="30"/>
      <c r="P132" s="30"/>
      <c r="Q132" s="30"/>
      <c r="R132" s="30"/>
      <c r="S132" s="96"/>
      <c r="T132" s="30"/>
      <c r="U132" s="30"/>
      <c r="V132" s="30"/>
      <c r="W132" s="30"/>
      <c r="X132" s="6"/>
      <c r="Y132" s="30"/>
      <c r="Z132" s="30"/>
      <c r="AA132" s="97"/>
      <c r="AB132" s="30"/>
      <c r="AC132" s="30"/>
      <c r="AD132" s="30"/>
      <c r="AE132" s="30"/>
      <c r="AF132" s="30"/>
      <c r="AG132" s="30"/>
      <c r="AH132" s="94"/>
      <c r="AI132" s="30"/>
      <c r="AJ132" s="88"/>
      <c r="AK132" s="17"/>
      <c r="AL132" s="95"/>
      <c r="AM132" s="30"/>
      <c r="AN132" s="30"/>
      <c r="AO132" s="30"/>
      <c r="AP132" s="30"/>
      <c r="AQ132" s="87"/>
      <c r="AR132" s="94"/>
      <c r="AS132" s="87"/>
      <c r="AT132" s="106">
        <v>141</v>
      </c>
      <c r="AU132" s="106" t="str">
        <v>Dian Nugraheni</v>
      </c>
      <c r="AV132" s="106" t="str">
        <v>(+62) 85838779743</v>
      </c>
      <c r="AW132" s="106" t="s">
        <v>257</v>
      </c>
      <c r="AX132" s="106" t="str">
        <v>ESSENSIAL MAHASISWA</v>
      </c>
      <c r="AY132" s="106">
        <v>999000</v>
      </c>
      <c r="AZ132" s="30">
        <f>IF(AW132="","", IF(   COUNTIF($S$2:$S$176, AW132) +   SUMPRODUCT(--ISNUMBER(SEARCH(LOWER(REGEXEXTRACT(TRIM(AW132),"^[^@]+")), LOWER(TRIM($BB$2:$BB$86))))) &gt; 0,   "SUDAH BAYAR","BELUM" ))</f>
      </c>
      <c r="BA132" s="30"/>
      <c r="BB132" s="30"/>
      <c r="BC132" s="30"/>
      <c r="BD132" s="30"/>
      <c r="BE132" s="30"/>
      <c r="BF132" s="30"/>
      <c r="BG132" s="30"/>
      <c r="BH132" s="30"/>
      <c r="BI132" s="30"/>
      <c r="BJ132" s="30"/>
      <c r="BK132" s="30"/>
    </row>
    <row r="133">
      <c r="F133" s="30"/>
      <c r="G133" s="30"/>
      <c r="H133" s="30"/>
      <c r="I133" s="30"/>
      <c r="J133" s="30"/>
      <c r="K133" s="30"/>
      <c r="L133" s="30"/>
      <c r="M133" s="30"/>
      <c r="N133" s="30"/>
      <c r="O133" s="30"/>
      <c r="P133" s="30"/>
      <c r="Q133" s="30"/>
      <c r="R133" s="30"/>
      <c r="S133" s="96"/>
      <c r="T133" s="30"/>
      <c r="U133" s="30"/>
      <c r="V133" s="30"/>
      <c r="W133" s="30"/>
      <c r="X133" s="6"/>
      <c r="Y133" s="30"/>
      <c r="Z133" s="30"/>
      <c r="AA133" s="97"/>
      <c r="AB133" s="30"/>
      <c r="AC133" s="30"/>
      <c r="AD133" s="30"/>
      <c r="AE133" s="30"/>
      <c r="AF133" s="30"/>
      <c r="AG133" s="30"/>
      <c r="AH133" s="94"/>
      <c r="AI133" s="30"/>
      <c r="AJ133" s="88"/>
      <c r="AK133" s="17"/>
      <c r="AL133" s="95"/>
      <c r="AM133" s="30"/>
      <c r="AN133" s="30"/>
      <c r="AO133" s="30"/>
      <c r="AP133" s="30"/>
      <c r="AQ133" s="87"/>
      <c r="AR133" s="94"/>
      <c r="AS133" s="87"/>
      <c r="AT133" s="106">
        <v>142</v>
      </c>
      <c r="AU133" s="106" t="str">
        <v>Rizal Ardi Affandi</v>
      </c>
      <c r="AV133" s="106" t="str">
        <v>(+62) 895335053222</v>
      </c>
      <c r="AW133" s="106" t="s">
        <v>236</v>
      </c>
      <c r="AX133" s="106" t="str">
        <v>ESSENSIAL BIRD UMUM</v>
      </c>
      <c r="AY133" s="106">
        <v>1190000</v>
      </c>
      <c r="AZ133" s="30">
        <f>IF(AW133="","", IF(   COUNTIF($S$2:$S$176, AW133) +   SUMPRODUCT(--ISNUMBER(SEARCH(LOWER(REGEXEXTRACT(TRIM(AW133),"^[^@]+")), LOWER(TRIM($BB$2:$BB$86))))) &gt; 0,   "SUDAH BAYAR","BELUM" ))</f>
      </c>
      <c r="BA133" s="30"/>
      <c r="BB133" s="30"/>
      <c r="BC133" s="30"/>
      <c r="BD133" s="30"/>
      <c r="BE133" s="30"/>
      <c r="BF133" s="30"/>
      <c r="BG133" s="30"/>
      <c r="BH133" s="30"/>
      <c r="BI133" s="30"/>
      <c r="BJ133" s="30"/>
      <c r="BK133" s="30"/>
    </row>
    <row r="134">
      <c r="F134" s="30"/>
      <c r="G134" s="30"/>
      <c r="H134" s="30"/>
      <c r="I134" s="30"/>
      <c r="J134" s="30"/>
      <c r="K134" s="30"/>
      <c r="L134" s="30"/>
      <c r="M134" s="30"/>
      <c r="N134" s="30"/>
      <c r="O134" s="30"/>
      <c r="P134" s="30"/>
      <c r="Q134" s="30"/>
      <c r="R134" s="30"/>
      <c r="S134" s="96"/>
      <c r="T134" s="30"/>
      <c r="U134" s="30"/>
      <c r="V134" s="30"/>
      <c r="W134" s="30"/>
      <c r="X134" s="6"/>
      <c r="Y134" s="30"/>
      <c r="Z134" s="30"/>
      <c r="AA134" s="97"/>
      <c r="AB134" s="30"/>
      <c r="AC134" s="30"/>
      <c r="AD134" s="30"/>
      <c r="AE134" s="30"/>
      <c r="AF134" s="30"/>
      <c r="AG134" s="30"/>
      <c r="AH134" s="94"/>
      <c r="AI134" s="30"/>
      <c r="AJ134" s="88"/>
      <c r="AK134" s="17"/>
      <c r="AL134" s="95"/>
      <c r="AM134" s="30"/>
      <c r="AN134" s="30"/>
      <c r="AO134" s="30"/>
      <c r="AP134" s="30"/>
      <c r="AQ134" s="87"/>
      <c r="AR134" s="94"/>
      <c r="AS134" s="87"/>
      <c r="AT134" s="30">
        <v>143</v>
      </c>
      <c r="AU134" s="30" t="str">
        <v>Hanapi,S.Kel</v>
      </c>
      <c r="AV134" s="30" t="str">
        <v>(+62) 08194250412</v>
      </c>
      <c r="AW134" s="30" t="s">
        <v>243</v>
      </c>
      <c r="AX134" s="30" t="str">
        <v>ESSENTIAL UMUM</v>
      </c>
      <c r="AY134" s="30">
        <v>1399000</v>
      </c>
      <c r="AZ134" s="30">
        <f>IF(AW134="","", IF(   COUNTIF($S$2:$S$176, AW134) +   SUMPRODUCT(--ISNUMBER(SEARCH(LOWER(REGEXEXTRACT(TRIM(AW134),"^[^@]+")), LOWER(TRIM($BB$2:$BB$86))))) &gt; 0,   "SUDAH BAYAR","BELUM" ))</f>
      </c>
      <c r="BA134" s="30"/>
      <c r="BB134" s="30"/>
      <c r="BC134" s="30"/>
      <c r="BD134" s="30"/>
      <c r="BE134" s="30"/>
      <c r="BF134" s="30"/>
      <c r="BG134" s="30"/>
      <c r="BH134" s="30"/>
      <c r="BI134" s="30"/>
      <c r="BJ134" s="30"/>
      <c r="BK134" s="30"/>
    </row>
    <row r="135">
      <c r="F135" s="30"/>
      <c r="G135" s="30"/>
      <c r="H135" s="30"/>
      <c r="I135" s="30"/>
      <c r="J135" s="30"/>
      <c r="K135" s="30"/>
      <c r="L135" s="30"/>
      <c r="M135" s="30"/>
      <c r="N135" s="30"/>
      <c r="O135" s="30"/>
      <c r="P135" s="30"/>
      <c r="Q135" s="30"/>
      <c r="R135" s="30"/>
      <c r="S135" s="96"/>
      <c r="T135" s="30"/>
      <c r="U135" s="30"/>
      <c r="V135" s="30"/>
      <c r="W135" s="30"/>
      <c r="X135" s="6"/>
      <c r="Y135" s="30"/>
      <c r="Z135" s="30"/>
      <c r="AA135" s="97"/>
      <c r="AB135" s="30"/>
      <c r="AC135" s="30"/>
      <c r="AD135" s="30"/>
      <c r="AE135" s="30"/>
      <c r="AF135" s="30"/>
      <c r="AG135" s="30"/>
      <c r="AH135" s="94"/>
      <c r="AI135" s="30"/>
      <c r="AJ135" s="88"/>
      <c r="AK135" s="17"/>
      <c r="AL135" s="95"/>
      <c r="AM135" s="30"/>
      <c r="AN135" s="30"/>
      <c r="AO135" s="30"/>
      <c r="AP135" s="30"/>
      <c r="AQ135" s="87"/>
      <c r="AR135" s="94"/>
      <c r="AS135" s="87"/>
      <c r="AT135" s="30">
        <v>144</v>
      </c>
      <c r="AU135" s="30" t="str">
        <v>Fajar Nugraha</v>
      </c>
      <c r="AV135" s="30" t="str">
        <v>(+62) 85396573558</v>
      </c>
      <c r="AW135" s="30" t="s">
        <v>224</v>
      </c>
      <c r="AX135" s="30" t="str">
        <v>ESSENTIAL MAHASISWA</v>
      </c>
      <c r="AY135" s="30">
        <v>1199000</v>
      </c>
      <c r="AZ135" s="30">
        <f>IF(AW135="","", IF(   COUNTIF($S$2:$S$176, AW135) +   SUMPRODUCT(--ISNUMBER(SEARCH(LOWER(REGEXEXTRACT(TRIM(AW135),"^[^@]+")), LOWER(TRIM($BB$2:$BB$86))))) &gt; 0,   "SUDAH BAYAR","BELUM" ))</f>
      </c>
      <c r="BA135" s="30"/>
      <c r="BB135" s="30"/>
      <c r="BC135" s="30"/>
      <c r="BD135" s="30"/>
      <c r="BE135" s="30"/>
      <c r="BF135" s="30"/>
      <c r="BG135" s="30"/>
      <c r="BH135" s="30"/>
      <c r="BI135" s="30"/>
      <c r="BJ135" s="30"/>
      <c r="BK135" s="30"/>
    </row>
    <row r="136">
      <c r="F136" s="30"/>
      <c r="G136" s="30"/>
      <c r="H136" s="30"/>
      <c r="I136" s="30"/>
      <c r="J136" s="30"/>
      <c r="K136" s="30"/>
      <c r="L136" s="30"/>
      <c r="M136" s="30"/>
      <c r="N136" s="30"/>
      <c r="O136" s="30"/>
      <c r="P136" s="30"/>
      <c r="Q136" s="30"/>
      <c r="R136" s="30"/>
      <c r="S136" s="96"/>
      <c r="T136" s="30"/>
      <c r="U136" s="30"/>
      <c r="V136" s="30"/>
      <c r="W136" s="30"/>
      <c r="X136" s="6"/>
      <c r="Y136" s="30"/>
      <c r="Z136" s="30"/>
      <c r="AA136" s="97"/>
      <c r="AB136" s="30"/>
      <c r="AC136" s="30"/>
      <c r="AD136" s="30"/>
      <c r="AE136" s="30"/>
      <c r="AF136" s="30"/>
      <c r="AG136" s="30"/>
      <c r="AH136" s="94"/>
      <c r="AI136" s="30"/>
      <c r="AJ136" s="88"/>
      <c r="AK136" s="17"/>
      <c r="AL136" s="95"/>
      <c r="AM136" s="30"/>
      <c r="AN136" s="30"/>
      <c r="AO136" s="30"/>
      <c r="AP136" s="30"/>
      <c r="AQ136" s="87"/>
      <c r="AR136" s="94"/>
      <c r="AS136" s="87"/>
      <c r="AT136" s="30">
        <v>145</v>
      </c>
      <c r="AU136" s="30" t="str">
        <v>SRI WENNI AMELIA PURBA</v>
      </c>
      <c r="AV136" s="30" t="str">
        <v>(+62) 081331580482</v>
      </c>
      <c r="AW136" s="30" t="s">
        <v>228</v>
      </c>
      <c r="AX136" s="30" t="str">
        <v>ESSENTIAL MAHASISWA</v>
      </c>
      <c r="AY136" s="30">
        <v>1199000</v>
      </c>
      <c r="AZ136" s="30">
        <f>IF(AW136="","", IF(   COUNTIF($S$2:$S$176, AW136) +   SUMPRODUCT(--ISNUMBER(SEARCH(LOWER(REGEXEXTRACT(TRIM(AW136),"^[^@]+")), LOWER(TRIM($BB$2:$BB$86))))) &gt; 0,   "SUDAH BAYAR","BELUM" ))</f>
      </c>
      <c r="BF136" s="30"/>
      <c r="BG136" s="30"/>
    </row>
    <row r="137">
      <c r="F137" s="30"/>
      <c r="G137" s="30"/>
      <c r="H137" s="30"/>
      <c r="I137" s="30"/>
      <c r="J137" s="30"/>
      <c r="K137" s="30"/>
      <c r="L137" s="30"/>
      <c r="M137" s="30"/>
      <c r="N137" s="30"/>
      <c r="O137" s="30"/>
      <c r="P137" s="30"/>
      <c r="Q137" s="30"/>
      <c r="R137" s="30"/>
      <c r="S137" s="96"/>
      <c r="T137" s="30"/>
      <c r="U137" s="30"/>
      <c r="V137" s="30"/>
      <c r="W137" s="30"/>
      <c r="X137" s="6"/>
      <c r="Y137" s="30"/>
      <c r="Z137" s="30"/>
      <c r="AA137" s="97"/>
      <c r="AB137" s="30"/>
      <c r="AC137" s="30"/>
      <c r="AD137" s="30"/>
      <c r="AE137" s="30"/>
      <c r="AF137" s="30"/>
      <c r="AG137" s="30"/>
      <c r="AH137" s="94"/>
      <c r="AI137" s="30"/>
      <c r="AJ137" s="88"/>
      <c r="AK137" s="17"/>
      <c r="AL137" s="95"/>
      <c r="AM137" s="30"/>
      <c r="AN137" s="30"/>
      <c r="AO137" s="30"/>
      <c r="AP137" s="30"/>
      <c r="AQ137" s="87"/>
      <c r="AR137" s="94"/>
      <c r="AS137" s="87"/>
      <c r="AT137" s="30">
        <v>146</v>
      </c>
      <c r="AU137" s="30" t="str">
        <v>Cipriano Pereira</v>
      </c>
      <c r="AV137" s="30" t="str">
        <v>(+62) 8122916811</v>
      </c>
      <c r="AW137" s="30" t="s">
        <v>310</v>
      </c>
      <c r="AX137" s="30" t="str">
        <v>ESSENTIAL MAHASISWA</v>
      </c>
      <c r="AY137" s="30">
        <v>1199000</v>
      </c>
      <c r="AZ137" s="30">
        <f>IF(AW137="","", IF(   COUNTIF($S$2:$S$176, AW137) +   SUMPRODUCT(--ISNUMBER(SEARCH(LOWER(REGEXEXTRACT(TRIM(AW137),"^[^@]+")), LOWER(TRIM($BB$2:$BB$86))))) &gt; 0,   "SUDAH BAYAR","BELUM" ))</f>
      </c>
      <c r="BF137" s="30"/>
      <c r="BG137" s="30"/>
    </row>
    <row r="138">
      <c r="F138" s="30"/>
      <c r="G138" s="30"/>
      <c r="H138" s="30"/>
      <c r="I138" s="30"/>
      <c r="J138" s="30"/>
      <c r="K138" s="30"/>
      <c r="L138" s="30"/>
      <c r="M138" s="30"/>
      <c r="N138" s="30"/>
      <c r="O138" s="30"/>
      <c r="P138" s="30"/>
      <c r="Q138" s="30"/>
      <c r="R138" s="30"/>
      <c r="S138" s="96"/>
      <c r="T138" s="30"/>
      <c r="U138" s="30"/>
      <c r="V138" s="30"/>
      <c r="W138" s="30"/>
      <c r="X138" s="6"/>
      <c r="Y138" s="30"/>
      <c r="Z138" s="30"/>
      <c r="AA138" s="97"/>
      <c r="AB138" s="30"/>
      <c r="AC138" s="30"/>
      <c r="AD138" s="30"/>
      <c r="AE138" s="30"/>
      <c r="AF138" s="30"/>
      <c r="AG138" s="30"/>
      <c r="AH138" s="94"/>
      <c r="AI138" s="30"/>
      <c r="AJ138" s="88"/>
      <c r="AK138" s="17"/>
      <c r="AL138" s="95"/>
      <c r="AM138" s="30"/>
      <c r="AN138" s="30"/>
      <c r="AO138" s="30"/>
      <c r="AP138" s="30"/>
      <c r="AQ138" s="87"/>
      <c r="AR138" s="94"/>
      <c r="AS138" s="87"/>
      <c r="AT138" s="30">
        <v>147</v>
      </c>
      <c r="AU138" s="30" t="str">
        <v>Syadza Husnun Hanifah</v>
      </c>
      <c r="AV138" s="30" t="str">
        <v>(+62) 85279249058</v>
      </c>
      <c r="AW138" s="30" t="s">
        <v>231</v>
      </c>
      <c r="AX138" s="30" t="str">
        <v>ESSENTIAL MAHASISWA</v>
      </c>
      <c r="AY138" s="30">
        <v>1199000</v>
      </c>
      <c r="AZ138" s="30">
        <f>IF(AW138="","", IF(   COUNTIF($S$2:$S$176, AW138) +   SUMPRODUCT(--ISNUMBER(SEARCH(LOWER(REGEXEXTRACT(TRIM(AW138),"^[^@]+")), LOWER(TRIM($BB$2:$BB$86))))) &gt; 0,   "SUDAH BAYAR","BELUM" ))</f>
      </c>
      <c r="BF138" s="30"/>
      <c r="BG138" s="30"/>
    </row>
    <row r="139">
      <c r="F139" s="30"/>
      <c r="G139" s="30"/>
      <c r="H139" s="30"/>
      <c r="I139" s="30"/>
      <c r="J139" s="30"/>
      <c r="K139" s="30"/>
      <c r="L139" s="30"/>
      <c r="M139" s="30"/>
      <c r="N139" s="30"/>
      <c r="O139" s="30"/>
      <c r="P139" s="30"/>
      <c r="Q139" s="30"/>
      <c r="R139" s="30"/>
      <c r="S139" s="96"/>
      <c r="T139" s="30"/>
      <c r="U139" s="30"/>
      <c r="V139" s="30"/>
      <c r="W139" s="30"/>
      <c r="X139" s="6"/>
      <c r="Y139" s="30"/>
      <c r="Z139" s="30"/>
      <c r="AA139" s="97"/>
      <c r="AB139" s="30"/>
      <c r="AC139" s="30"/>
      <c r="AD139" s="30"/>
      <c r="AE139" s="30"/>
      <c r="AF139" s="30"/>
      <c r="AG139" s="30"/>
      <c r="AH139" s="94"/>
      <c r="AI139" s="30"/>
      <c r="AJ139" s="88"/>
      <c r="AK139" s="17"/>
      <c r="AL139" s="95"/>
      <c r="AM139" s="30"/>
      <c r="AN139" s="30"/>
      <c r="AO139" s="30"/>
      <c r="AP139" s="30"/>
      <c r="AQ139" s="87"/>
      <c r="AR139" s="94"/>
      <c r="AS139" s="87"/>
      <c r="AT139" s="30">
        <v>148</v>
      </c>
      <c r="AU139" s="30" t="str">
        <v>Muhammad Fiqih</v>
      </c>
      <c r="AV139" s="30" t="str">
        <v>(+62) 87783049222</v>
      </c>
      <c r="AW139" s="30" t="s">
        <v>239</v>
      </c>
      <c r="AX139" s="30" t="str">
        <v>ESSENTIAL UMUM</v>
      </c>
      <c r="AY139" s="30">
        <v>1399000</v>
      </c>
      <c r="AZ139" s="30">
        <f>IF(AW139="","", IF(   COUNTIF($S$2:$S$176, AW139) +   SUMPRODUCT(--ISNUMBER(SEARCH(LOWER(REGEXEXTRACT(TRIM(AW139),"^[^@]+")), LOWER(TRIM($BB$2:$BB$86))))) &gt; 0,   "SUDAH BAYAR","BELUM" ))</f>
      </c>
      <c r="BF139" s="30"/>
      <c r="BG139" s="30"/>
    </row>
    <row r="140">
      <c r="F140" s="30"/>
      <c r="G140" s="30"/>
      <c r="H140" s="30"/>
      <c r="I140" s="30"/>
      <c r="J140" s="30"/>
      <c r="K140" s="30"/>
      <c r="L140" s="30"/>
      <c r="M140" s="30"/>
      <c r="N140" s="30"/>
      <c r="O140" s="30"/>
      <c r="P140" s="30"/>
      <c r="Q140" s="30"/>
      <c r="R140" s="30"/>
      <c r="S140" s="96"/>
      <c r="T140" s="30"/>
      <c r="U140" s="30"/>
      <c r="V140" s="30"/>
      <c r="W140" s="30"/>
      <c r="X140" s="6"/>
      <c r="Y140" s="30"/>
      <c r="Z140" s="30"/>
      <c r="AA140" s="97"/>
      <c r="AB140" s="30"/>
      <c r="AC140" s="30"/>
      <c r="AD140" s="30"/>
      <c r="AE140" s="30"/>
      <c r="AF140" s="30"/>
      <c r="AG140" s="30"/>
      <c r="AH140" s="94"/>
      <c r="AI140" s="30"/>
      <c r="AJ140" s="88"/>
      <c r="AK140" s="17"/>
      <c r="AL140" s="95"/>
      <c r="AM140" s="30"/>
      <c r="AN140" s="30"/>
      <c r="AO140" s="30"/>
      <c r="AP140" s="30"/>
      <c r="AQ140" s="87"/>
      <c r="AR140" s="94"/>
      <c r="AS140" s="87"/>
      <c r="AT140" s="30">
        <v>149</v>
      </c>
      <c r="AU140" s="30" t="str">
        <v>Zaenal Abidin</v>
      </c>
      <c r="AV140" s="30" t="str">
        <v>(+62) 85870503423</v>
      </c>
      <c r="AW140" s="30" t="s">
        <v>304</v>
      </c>
      <c r="AX140" s="30" t="str">
        <v>ESSENTIAL UMUM</v>
      </c>
      <c r="AY140" s="30">
        <v>1399000</v>
      </c>
      <c r="AZ140" s="30">
        <f>IF(AW140="","", IF(   COUNTIF($S$2:$S$176, AW140) +   SUMPRODUCT(--ISNUMBER(SEARCH(LOWER(REGEXEXTRACT(TRIM(AW140),"^[^@]+")), LOWER(TRIM($BB$2:$BB$86))))) &gt; 0,   "SUDAH BAYAR","BELUM" ))</f>
      </c>
      <c r="BF140" s="30"/>
      <c r="BG140" s="30"/>
    </row>
    <row r="141">
      <c r="F141" s="30"/>
      <c r="G141" s="30"/>
      <c r="H141" s="30"/>
      <c r="I141" s="30"/>
      <c r="J141" s="30"/>
      <c r="K141" s="30"/>
      <c r="L141" s="30"/>
      <c r="M141" s="30"/>
      <c r="N141" s="30"/>
      <c r="O141" s="30"/>
      <c r="P141" s="30"/>
      <c r="Q141" s="30"/>
      <c r="R141" s="30"/>
      <c r="S141" s="96"/>
      <c r="T141" s="30"/>
      <c r="U141" s="30"/>
      <c r="V141" s="30"/>
      <c r="W141" s="30"/>
      <c r="X141" s="6"/>
      <c r="Y141" s="30"/>
      <c r="Z141" s="30"/>
      <c r="AA141" s="97"/>
      <c r="AB141" s="30"/>
      <c r="AC141" s="30"/>
      <c r="AD141" s="30"/>
      <c r="AE141" s="30"/>
      <c r="AF141" s="30"/>
      <c r="AG141" s="30"/>
      <c r="AH141" s="94"/>
      <c r="AI141" s="30"/>
      <c r="AJ141" s="88"/>
      <c r="AK141" s="17"/>
      <c r="AL141" s="95"/>
      <c r="AM141" s="30"/>
      <c r="AN141" s="30"/>
      <c r="AO141" s="30"/>
      <c r="AP141" s="30"/>
      <c r="AQ141" s="87"/>
      <c r="AR141" s="94"/>
      <c r="AS141" s="87"/>
      <c r="AT141" s="30">
        <v>150</v>
      </c>
      <c r="AU141" s="30" t="str">
        <v>Kasya Muthia Fatin</v>
      </c>
      <c r="AV141" s="30" t="str">
        <v>(+62) 087770422794</v>
      </c>
      <c r="AW141" s="30" t="s">
        <v>285</v>
      </c>
      <c r="AX141" s="30" t="str">
        <v>ESSENTIAL MAHASISWA</v>
      </c>
      <c r="AY141" s="30">
        <v>1199000</v>
      </c>
      <c r="AZ141" s="30">
        <f>IF(AW141="","", IF(   COUNTIF($S$2:$S$176, AW141) +   SUMPRODUCT(--ISNUMBER(SEARCH(LOWER(REGEXEXTRACT(TRIM(AW141),"^[^@]+")), LOWER(TRIM($BB$2:$BB$86))))) &gt; 0,   "SUDAH BAYAR","BELUM" ))</f>
      </c>
      <c r="BF141" s="30"/>
      <c r="BG141" s="30"/>
    </row>
    <row r="142">
      <c r="F142" s="30"/>
      <c r="G142" s="30"/>
      <c r="H142" s="30"/>
      <c r="I142" s="30"/>
      <c r="J142" s="30"/>
      <c r="K142" s="30"/>
      <c r="L142" s="30"/>
      <c r="M142" s="30"/>
      <c r="N142" s="30"/>
      <c r="O142" s="30"/>
      <c r="P142" s="30"/>
      <c r="Q142" s="30"/>
      <c r="R142" s="30"/>
      <c r="S142" s="96"/>
      <c r="T142" s="30"/>
      <c r="U142" s="30"/>
      <c r="V142" s="30"/>
      <c r="W142" s="30"/>
      <c r="X142" s="6"/>
      <c r="Y142" s="30"/>
      <c r="Z142" s="30"/>
      <c r="AA142" s="97"/>
      <c r="AB142" s="30"/>
      <c r="AC142" s="30"/>
      <c r="AD142" s="30"/>
      <c r="AE142" s="30"/>
      <c r="AF142" s="30"/>
      <c r="AG142" s="30"/>
      <c r="AH142" s="94"/>
      <c r="AI142" s="30"/>
      <c r="AJ142" s="88"/>
      <c r="AK142" s="17"/>
      <c r="AL142" s="95"/>
      <c r="AM142" s="30"/>
      <c r="AN142" s="30"/>
      <c r="AO142" s="30"/>
      <c r="AP142" s="30"/>
      <c r="AQ142" s="87"/>
      <c r="AR142" s="94"/>
      <c r="AS142" s="87"/>
      <c r="AT142" s="30"/>
      <c r="AU142" s="30"/>
      <c r="AV142" s="30"/>
      <c r="AW142" s="30"/>
      <c r="AX142" s="30"/>
      <c r="AY142" s="30"/>
      <c r="AZ142" s="30"/>
      <c r="BF142" s="30"/>
      <c r="BG142" s="30"/>
    </row>
    <row r="143">
      <c r="F143" s="30"/>
      <c r="G143" s="30"/>
      <c r="H143" s="30"/>
      <c r="I143" s="30"/>
      <c r="J143" s="30"/>
      <c r="K143" s="30"/>
      <c r="L143" s="30"/>
      <c r="M143" s="30"/>
      <c r="N143" s="30"/>
      <c r="O143" s="30"/>
      <c r="P143" s="30"/>
      <c r="Q143" s="30"/>
      <c r="R143" s="30"/>
      <c r="S143" s="96"/>
      <c r="T143" s="30"/>
      <c r="U143" s="30"/>
      <c r="V143" s="30"/>
      <c r="W143" s="30"/>
      <c r="X143" s="6"/>
      <c r="Y143" s="30"/>
      <c r="Z143" s="30"/>
      <c r="AA143" s="97"/>
      <c r="AB143" s="30"/>
      <c r="AC143" s="30"/>
      <c r="AD143" s="30"/>
      <c r="AE143" s="30"/>
      <c r="AF143" s="30"/>
      <c r="AG143" s="30"/>
      <c r="AH143" s="94"/>
      <c r="AI143" s="30"/>
      <c r="AJ143" s="88"/>
      <c r="AK143" s="17"/>
      <c r="AL143" s="95"/>
      <c r="AM143" s="30"/>
      <c r="AN143" s="30"/>
      <c r="AO143" s="30"/>
      <c r="AP143" s="30"/>
      <c r="AQ143" s="87"/>
      <c r="AR143" s="94"/>
      <c r="AS143" s="87"/>
      <c r="AT143" s="30">
        <v>152</v>
      </c>
      <c r="AU143" s="30" t="str">
        <v>Bimantara Faqih</v>
      </c>
      <c r="AV143" s="30" t="str">
        <v>(+62) 895329909200</v>
      </c>
      <c r="AW143" s="30" t="s">
        <v>275</v>
      </c>
      <c r="AX143" s="30" t="str">
        <v>ESSENTIAL MAHASISWA</v>
      </c>
      <c r="AY143" s="30">
        <v>1199000</v>
      </c>
      <c r="AZ143" s="30">
        <f>IF(AW143="","", IF(   COUNTIF($S$2:$S$176, AW143) +   SUMPRODUCT(--ISNUMBER(SEARCH(LOWER(REGEXEXTRACT(TRIM(AW143),"^[^@]+")), LOWER(TRIM($BB$2:$BB$86))))) &gt; 0,   "SUDAH BAYAR","BELUM" ))</f>
      </c>
      <c r="BF143" s="30"/>
      <c r="BG143" s="30"/>
    </row>
    <row r="144">
      <c r="F144" s="30"/>
      <c r="G144" s="30"/>
      <c r="H144" s="30"/>
      <c r="I144" s="30"/>
      <c r="J144" s="30"/>
      <c r="K144" s="30"/>
      <c r="L144" s="30"/>
      <c r="M144" s="30"/>
      <c r="N144" s="30"/>
      <c r="O144" s="30"/>
      <c r="P144" s="30"/>
      <c r="Q144" s="30"/>
      <c r="R144" s="30"/>
      <c r="S144" s="96"/>
      <c r="T144" s="30"/>
      <c r="U144" s="30"/>
      <c r="V144" s="30"/>
      <c r="W144" s="30"/>
      <c r="X144" s="6"/>
      <c r="Y144" s="30"/>
      <c r="Z144" s="30"/>
      <c r="AA144" s="97"/>
      <c r="AB144" s="30"/>
      <c r="AC144" s="30"/>
      <c r="AD144" s="30"/>
      <c r="AE144" s="30"/>
      <c r="AF144" s="30"/>
      <c r="AG144" s="30"/>
      <c r="AH144" s="94"/>
      <c r="AI144" s="30"/>
      <c r="AJ144" s="88"/>
      <c r="AK144" s="17"/>
      <c r="AL144" s="95"/>
      <c r="AM144" s="30"/>
      <c r="AN144" s="30"/>
      <c r="AO144" s="30"/>
      <c r="AP144" s="30"/>
      <c r="AQ144" s="87"/>
      <c r="AR144" s="94"/>
      <c r="AS144" s="87"/>
      <c r="AT144" s="30">
        <v>153</v>
      </c>
      <c r="AU144" s="30" t="str">
        <v>Karizma Fahlevy</v>
      </c>
      <c r="AV144" s="30" t="str">
        <v>(+62) 87860142571</v>
      </c>
      <c r="AW144" s="30" t="s">
        <v>279</v>
      </c>
      <c r="AX144" s="30" t="str">
        <v>ESSENTIAL UMUM</v>
      </c>
      <c r="AY144" s="30">
        <v>1399000</v>
      </c>
      <c r="AZ144" s="30">
        <f>IF(AW144="","", IF(   COUNTIF($S$2:$S$176, AW144) +   SUMPRODUCT(--ISNUMBER(SEARCH(LOWER(REGEXEXTRACT(TRIM(AW144),"^[^@]+")), LOWER(TRIM($BB$2:$BB$86))))) &gt; 0,   "SUDAH BAYAR","BELUM" ))</f>
      </c>
      <c r="BF144" s="30"/>
      <c r="BG144" s="30"/>
    </row>
    <row r="145">
      <c r="F145" s="30"/>
      <c r="G145" s="30"/>
      <c r="H145" s="30"/>
      <c r="I145" s="30"/>
      <c r="J145" s="30"/>
      <c r="K145" s="30"/>
      <c r="L145" s="30"/>
      <c r="M145" s="30"/>
      <c r="N145" s="30"/>
      <c r="O145" s="30"/>
      <c r="P145" s="30"/>
      <c r="Q145" s="30"/>
      <c r="R145" s="30"/>
      <c r="S145" s="96"/>
      <c r="T145" s="30"/>
      <c r="U145" s="30"/>
      <c r="V145" s="30"/>
      <c r="W145" s="30"/>
      <c r="X145" s="6"/>
      <c r="Y145" s="30"/>
      <c r="Z145" s="30"/>
      <c r="AA145" s="97"/>
      <c r="AB145" s="30"/>
      <c r="AC145" s="30"/>
      <c r="AD145" s="30"/>
      <c r="AE145" s="30"/>
      <c r="AF145" s="30"/>
      <c r="AG145" s="30"/>
      <c r="AH145" s="94"/>
      <c r="AI145" s="30"/>
      <c r="AJ145" s="88"/>
      <c r="AK145" s="17"/>
      <c r="AL145" s="95"/>
      <c r="AM145" s="30"/>
      <c r="AN145" s="30"/>
      <c r="AO145" s="30"/>
      <c r="AP145" s="30"/>
      <c r="AQ145" s="87"/>
      <c r="AR145" s="94"/>
      <c r="AS145" s="87"/>
      <c r="AT145" s="30">
        <v>154</v>
      </c>
      <c r="AU145" s="30" t="str">
        <v>Amelia Herawati</v>
      </c>
      <c r="AV145" s="30" t="str">
        <v>(+62) 82223815245</v>
      </c>
      <c r="AW145" s="30" t="s">
        <v>35</v>
      </c>
      <c r="AX145" s="30" t="str">
        <v>ESSENTIAL MAHASISWA</v>
      </c>
      <c r="AY145" s="30">
        <v>1199000</v>
      </c>
      <c r="AZ145" s="30">
        <f>IF(AW145="","", IF(   COUNTIF($S$2:$S$176, AW145) +   SUMPRODUCT(--ISNUMBER(SEARCH(LOWER(REGEXEXTRACT(TRIM(AW145),"^[^@]+")), LOWER(TRIM($BB$2:$BB$86))))) &gt; 0,   "SUDAH BAYAR","BELUM" ))</f>
      </c>
      <c r="BF145" s="30"/>
      <c r="BG145" s="30"/>
    </row>
    <row r="146">
      <c r="F146" s="30"/>
      <c r="G146" s="30"/>
      <c r="H146" s="30"/>
      <c r="I146" s="30"/>
      <c r="J146" s="30"/>
      <c r="K146" s="30"/>
      <c r="L146" s="30"/>
      <c r="M146" s="30"/>
      <c r="N146" s="30"/>
      <c r="O146" s="30"/>
      <c r="P146" s="30"/>
      <c r="Q146" s="30"/>
      <c r="R146" s="30"/>
      <c r="S146" s="96"/>
      <c r="T146" s="30"/>
      <c r="U146" s="30"/>
      <c r="V146" s="30"/>
      <c r="W146" s="30"/>
      <c r="X146" s="6"/>
      <c r="Y146" s="30"/>
      <c r="Z146" s="30"/>
      <c r="AA146" s="97"/>
      <c r="AB146" s="30"/>
      <c r="AC146" s="30"/>
      <c r="AD146" s="30"/>
      <c r="AE146" s="30"/>
      <c r="AF146" s="30"/>
      <c r="AG146" s="30"/>
      <c r="AH146" s="94"/>
      <c r="AI146" s="30"/>
      <c r="AJ146" s="88"/>
      <c r="AK146" s="17"/>
      <c r="AL146" s="95"/>
      <c r="AM146" s="30"/>
      <c r="AN146" s="30"/>
      <c r="AO146" s="30"/>
      <c r="AP146" s="30"/>
      <c r="AQ146" s="87"/>
      <c r="AR146" s="94"/>
      <c r="AS146" s="87"/>
      <c r="AT146" s="30">
        <v>155</v>
      </c>
      <c r="AU146" s="30" t="str">
        <v>Fauzan Nurrachman</v>
      </c>
      <c r="AV146" s="30" t="str">
        <v>(+62) 81280880874</v>
      </c>
      <c r="AW146" s="30" t="s">
        <v>36</v>
      </c>
      <c r="AX146" s="30" t="str">
        <v>ESSENTIAL UMUM</v>
      </c>
      <c r="AY146" s="30">
        <v>1399000</v>
      </c>
      <c r="AZ146" s="30">
        <f>IF(AW146="","", IF(   COUNTIF($S$2:$S$176, AW146) +   SUMPRODUCT(--ISNUMBER(SEARCH(LOWER(REGEXEXTRACT(TRIM(AW146),"^[^@]+")), LOWER(TRIM($BB$2:$BB$86))))) &gt; 0,   "SUDAH BAYAR","BELUM" ))</f>
      </c>
      <c r="BF146" s="30"/>
      <c r="BG146" s="30"/>
    </row>
    <row r="147">
      <c r="F147" s="30"/>
      <c r="G147" s="30"/>
      <c r="H147" s="30"/>
      <c r="I147" s="30"/>
      <c r="J147" s="30"/>
      <c r="K147" s="30"/>
      <c r="L147" s="30"/>
      <c r="M147" s="30"/>
      <c r="N147" s="30"/>
      <c r="O147" s="30"/>
      <c r="P147" s="30"/>
      <c r="Q147" s="30"/>
      <c r="R147" s="30"/>
      <c r="S147" s="96"/>
      <c r="T147" s="30"/>
      <c r="U147" s="30"/>
      <c r="V147" s="30"/>
      <c r="W147" s="30"/>
      <c r="X147" s="6"/>
      <c r="Y147" s="30"/>
      <c r="Z147" s="30"/>
      <c r="AA147" s="97"/>
      <c r="AB147" s="30"/>
      <c r="AC147" s="30"/>
      <c r="AD147" s="30"/>
      <c r="AE147" s="30"/>
      <c r="AF147" s="30"/>
      <c r="AG147" s="30"/>
      <c r="AH147" s="94"/>
      <c r="AI147" s="30"/>
      <c r="AJ147" s="88"/>
      <c r="AK147" s="17"/>
      <c r="AL147" s="95"/>
      <c r="AM147" s="30"/>
      <c r="AN147" s="30"/>
      <c r="AO147" s="30"/>
      <c r="AP147" s="30"/>
      <c r="AQ147" s="87"/>
      <c r="AR147" s="94"/>
      <c r="AS147" s="87"/>
      <c r="AT147" s="30">
        <v>156</v>
      </c>
      <c r="AU147" s="30" t="str">
        <v>Rizki Amilia</v>
      </c>
      <c r="AV147" s="30" t="str">
        <v>(+62) 85391020108</v>
      </c>
      <c r="AW147" s="30" t="s">
        <v>19</v>
      </c>
      <c r="AX147" s="30" t="str">
        <v>ESSENTIAL UMUM</v>
      </c>
      <c r="AY147" s="30">
        <v>1399000</v>
      </c>
      <c r="AZ147" s="30">
        <f>IF(AW147="","", IF(   COUNTIF($S$2:$S$176, AW147) +   SUMPRODUCT(--ISNUMBER(SEARCH(LOWER(REGEXEXTRACT(TRIM(AW147),"^[^@]+")), LOWER(TRIM($BB$2:$BB$86))))) &gt; 0,   "SUDAH BAYAR","BELUM" ))</f>
      </c>
      <c r="BF147" s="30"/>
      <c r="BG147" s="30"/>
    </row>
    <row r="148">
      <c r="F148" s="30"/>
      <c r="G148" s="30"/>
      <c r="H148" s="30"/>
      <c r="I148" s="30"/>
      <c r="J148" s="30"/>
      <c r="K148" s="30"/>
      <c r="L148" s="30"/>
      <c r="M148" s="30"/>
      <c r="N148" s="30"/>
      <c r="O148" s="30"/>
      <c r="P148" s="30"/>
      <c r="Q148" s="30"/>
      <c r="R148" s="30"/>
      <c r="S148" s="96"/>
      <c r="T148" s="30"/>
      <c r="U148" s="30"/>
      <c r="V148" s="30"/>
      <c r="W148" s="30"/>
      <c r="X148" s="6"/>
      <c r="Y148" s="30"/>
      <c r="Z148" s="30"/>
      <c r="AA148" s="97"/>
      <c r="AB148" s="30"/>
      <c r="AC148" s="30"/>
      <c r="AD148" s="30"/>
      <c r="AE148" s="30"/>
      <c r="AF148" s="30"/>
      <c r="AG148" s="30"/>
      <c r="AH148" s="94"/>
      <c r="AI148" s="30"/>
      <c r="AJ148" s="88"/>
      <c r="AK148" s="17"/>
      <c r="AL148" s="95"/>
      <c r="AM148" s="30"/>
      <c r="AN148" s="30"/>
      <c r="AO148" s="30"/>
      <c r="AP148" s="30"/>
      <c r="AQ148" s="87"/>
      <c r="AR148" s="94"/>
      <c r="AS148" s="87"/>
      <c r="AT148" s="30">
        <v>157</v>
      </c>
      <c r="AU148" s="30" t="str">
        <v>Choirun Nisa Nur Rahmadhani</v>
      </c>
      <c r="AV148" s="30" t="str">
        <v>(+62) 81330086411</v>
      </c>
      <c r="AW148" s="30" t="s">
        <v>27</v>
      </c>
      <c r="AX148" s="30" t="str">
        <v>ESSENTIAL MAHASISWA</v>
      </c>
      <c r="AY148" s="30">
        <v>1199000</v>
      </c>
      <c r="AZ148" s="30">
        <f>IF(AW148="","", IF(   COUNTIF($S$2:$S$176, AW148) +   SUMPRODUCT(--ISNUMBER(SEARCH(LOWER(REGEXEXTRACT(TRIM(AW148),"^[^@]+")), LOWER(TRIM($BB$2:$BB$86))))) &gt; 0,   "SUDAH BAYAR","BELUM" ))</f>
      </c>
      <c r="BF148" s="30"/>
      <c r="BG148" s="30"/>
    </row>
    <row r="149">
      <c r="F149" s="30"/>
      <c r="G149" s="30"/>
      <c r="H149" s="30"/>
      <c r="I149" s="30"/>
      <c r="J149" s="30"/>
      <c r="K149" s="30"/>
      <c r="L149" s="30"/>
      <c r="M149" s="30"/>
      <c r="N149" s="30"/>
      <c r="O149" s="30"/>
      <c r="P149" s="30"/>
      <c r="Q149" s="30"/>
      <c r="R149" s="30"/>
      <c r="S149" s="96"/>
      <c r="T149" s="30"/>
      <c r="U149" s="30"/>
      <c r="V149" s="30"/>
      <c r="W149" s="30"/>
      <c r="X149" s="6"/>
      <c r="Y149" s="30"/>
      <c r="Z149" s="30"/>
      <c r="AA149" s="97"/>
      <c r="AB149" s="30"/>
      <c r="AC149" s="30"/>
      <c r="AD149" s="30"/>
      <c r="AE149" s="30"/>
      <c r="AF149" s="30"/>
      <c r="AG149" s="30"/>
      <c r="AH149" s="94"/>
      <c r="AI149" s="30"/>
      <c r="AJ149" s="88"/>
      <c r="AK149" s="17"/>
      <c r="AL149" s="95"/>
      <c r="AM149" s="30"/>
      <c r="AN149" s="30"/>
      <c r="AO149" s="30"/>
      <c r="AP149" s="30"/>
      <c r="AQ149" s="87"/>
      <c r="AR149" s="94"/>
      <c r="AS149" s="87"/>
      <c r="AT149" s="30">
        <v>158</v>
      </c>
      <c r="AU149" s="30" t="str">
        <v>Muhammad Raffi Shorim</v>
      </c>
      <c r="AV149" s="30" t="str">
        <v>(+62) +6285882464721</v>
      </c>
      <c r="AW149" s="30" t="s">
        <v>328</v>
      </c>
      <c r="AX149" s="30" t="str">
        <v>ESSENTIAL MAHASISWA</v>
      </c>
      <c r="AY149" s="30">
        <v>1199000</v>
      </c>
      <c r="AZ149" s="30">
        <f>IF(AW149="","", IF(   COUNTIF($S$2:$S$176, AW149) +   SUMPRODUCT(--ISNUMBER(SEARCH(LOWER(REGEXEXTRACT(TRIM(AW149),"^[^@]+")), LOWER(TRIM($BB$2:$BB$86))))) &gt; 0,   "SUDAH BAYAR","BELUM" ))</f>
      </c>
      <c r="BF149" s="30"/>
      <c r="BG149" s="30"/>
    </row>
    <row r="150">
      <c r="F150" s="30"/>
      <c r="G150" s="30"/>
      <c r="H150" s="30"/>
      <c r="I150" s="30"/>
      <c r="J150" s="30"/>
      <c r="K150" s="30"/>
      <c r="L150" s="30"/>
      <c r="M150" s="30"/>
      <c r="N150" s="30"/>
      <c r="O150" s="30"/>
      <c r="P150" s="30"/>
      <c r="Q150" s="30"/>
      <c r="R150" s="30"/>
      <c r="S150" s="96"/>
      <c r="T150" s="30"/>
      <c r="U150" s="30"/>
      <c r="V150" s="30"/>
      <c r="W150" s="30"/>
      <c r="X150" s="6"/>
      <c r="Y150" s="30"/>
      <c r="Z150" s="30"/>
      <c r="AA150" s="97"/>
      <c r="AB150" s="30"/>
      <c r="AC150" s="30"/>
      <c r="AD150" s="30"/>
      <c r="AE150" s="30"/>
      <c r="AF150" s="30"/>
      <c r="AG150" s="30"/>
      <c r="AH150" s="94"/>
      <c r="AI150" s="30"/>
      <c r="AJ150" s="88"/>
      <c r="AK150" s="17"/>
      <c r="AL150" s="95"/>
      <c r="AM150" s="30"/>
      <c r="AN150" s="30"/>
      <c r="AO150" s="30"/>
      <c r="AP150" s="30"/>
      <c r="AQ150" s="87"/>
      <c r="AR150" s="94"/>
      <c r="AS150" s="87"/>
      <c r="AT150" s="30">
        <v>159</v>
      </c>
      <c r="AU150" s="30" t="str">
        <v>Nurannisah Putri Sormin</v>
      </c>
      <c r="AV150" s="30" t="str">
        <v>(+62) 81267757763</v>
      </c>
      <c r="AW150" s="30" t="s">
        <v>13</v>
      </c>
      <c r="AX150" s="30" t="str">
        <v>ESSENTIAL UMUM</v>
      </c>
      <c r="AY150" s="30">
        <v>1399000</v>
      </c>
      <c r="AZ150" s="30">
        <f>IF(AW150="","", IF(   COUNTIF($S$2:$S$176, AW150) +   SUMPRODUCT(--ISNUMBER(SEARCH(LOWER(REGEXEXTRACT(TRIM(AW150),"^[^@]+")), LOWER(TRIM($BB$2:$BB$86))))) &gt; 0,   "SUDAH BAYAR","BELUM" ))</f>
      </c>
      <c r="BF150" s="30"/>
      <c r="BG150" s="30"/>
    </row>
    <row r="151">
      <c r="F151" s="30"/>
      <c r="G151" s="30"/>
      <c r="H151" s="30"/>
      <c r="I151" s="30"/>
      <c r="J151" s="30"/>
      <c r="K151" s="30"/>
      <c r="L151" s="30"/>
      <c r="M151" s="30"/>
      <c r="N151" s="30"/>
      <c r="O151" s="30"/>
      <c r="P151" s="30"/>
      <c r="Q151" s="30"/>
      <c r="R151" s="30"/>
      <c r="S151" s="96"/>
      <c r="T151" s="30"/>
      <c r="U151" s="30"/>
      <c r="V151" s="30"/>
      <c r="W151" s="30"/>
      <c r="X151" s="6"/>
      <c r="Y151" s="30"/>
      <c r="Z151" s="30"/>
      <c r="AA151" s="97"/>
      <c r="AB151" s="30"/>
      <c r="AC151" s="30"/>
      <c r="AD151" s="30"/>
      <c r="AE151" s="30"/>
      <c r="AF151" s="30"/>
      <c r="AG151" s="30"/>
      <c r="AH151" s="94"/>
      <c r="AI151" s="30"/>
      <c r="AJ151" s="88"/>
      <c r="AK151" s="17"/>
      <c r="AL151" s="95"/>
      <c r="AM151" s="30"/>
      <c r="AN151" s="30"/>
      <c r="AO151" s="30"/>
      <c r="AP151" s="30"/>
      <c r="AQ151" s="87"/>
      <c r="AR151" s="94"/>
      <c r="AS151" s="87"/>
      <c r="AT151" s="30">
        <v>160</v>
      </c>
      <c r="AU151" s="30" t="str">
        <v>Zulkifli</v>
      </c>
      <c r="AV151" s="30" t="str">
        <v>(+62) 85399120001</v>
      </c>
      <c r="AW151" s="30" t="s">
        <v>321</v>
      </c>
      <c r="AX151" s="30" t="str">
        <v>ESSENTIAL MAHASISWA</v>
      </c>
      <c r="AY151" s="30">
        <v>1199000</v>
      </c>
      <c r="AZ151" s="30">
        <f>IF(AW151="","", IF(   COUNTIF($S$2:$S$176, AW151) +   SUMPRODUCT(--ISNUMBER(SEARCH(LOWER(REGEXEXTRACT(TRIM(AW151),"^[^@]+")), LOWER(TRIM($BB$2:$BB$86))))) &gt; 0,   "SUDAH BAYAR","BELUM" ))</f>
      </c>
      <c r="BF151" s="30"/>
      <c r="BG151" s="30"/>
    </row>
    <row r="152">
      <c r="F152" s="30"/>
      <c r="G152" s="30"/>
      <c r="H152" s="30"/>
      <c r="I152" s="30"/>
      <c r="J152" s="30"/>
      <c r="K152" s="30"/>
      <c r="L152" s="30"/>
      <c r="M152" s="30"/>
      <c r="N152" s="30"/>
      <c r="O152" s="30"/>
      <c r="P152" s="30"/>
      <c r="Q152" s="30"/>
      <c r="R152" s="30"/>
      <c r="S152" s="96"/>
      <c r="T152" s="30"/>
      <c r="U152" s="30"/>
      <c r="V152" s="30"/>
      <c r="W152" s="30"/>
      <c r="X152" s="6"/>
      <c r="Y152" s="30"/>
      <c r="Z152" s="30"/>
      <c r="AA152" s="97"/>
      <c r="AB152" s="30"/>
      <c r="AC152" s="30"/>
      <c r="AD152" s="30"/>
      <c r="AE152" s="30"/>
      <c r="AF152" s="30"/>
      <c r="AG152" s="30"/>
      <c r="AH152" s="94"/>
      <c r="AI152" s="30"/>
      <c r="AJ152" s="88"/>
      <c r="AK152" s="17"/>
      <c r="AL152" s="95"/>
      <c r="AM152" s="30"/>
      <c r="AN152" s="30"/>
      <c r="AO152" s="30"/>
      <c r="AP152" s="30"/>
      <c r="AQ152" s="87"/>
      <c r="AR152" s="94"/>
      <c r="AS152" s="87"/>
      <c r="AT152" s="30">
        <v>161</v>
      </c>
      <c r="AU152" s="30" t="str">
        <v>Riko Saputra</v>
      </c>
      <c r="AV152" s="30" t="str">
        <v>(+62) 081268831930</v>
      </c>
      <c r="AW152" s="30" t="s">
        <v>325</v>
      </c>
      <c r="AX152" s="30" t="str">
        <v>ESSENTIAL UMUM</v>
      </c>
      <c r="AY152" s="30">
        <v>1399000</v>
      </c>
      <c r="AZ152" s="30">
        <f>IF(AW152="","", IF(   COUNTIF($S$2:$S$176, AW152) +   SUMPRODUCT(--ISNUMBER(SEARCH(LOWER(REGEXEXTRACT(TRIM(AW152),"^[^@]+")), LOWER(TRIM($BB$2:$BB$86))))) &gt; 0,   "SUDAH BAYAR","BELUM" ))</f>
      </c>
      <c r="BF152" s="30"/>
      <c r="BG152" s="30"/>
    </row>
    <row r="153">
      <c r="F153" s="30"/>
      <c r="G153" s="30"/>
      <c r="H153" s="30"/>
      <c r="I153" s="30"/>
      <c r="J153" s="30"/>
      <c r="K153" s="30"/>
      <c r="L153" s="30"/>
      <c r="M153" s="30"/>
      <c r="N153" s="30"/>
      <c r="O153" s="30"/>
      <c r="P153" s="30"/>
      <c r="Q153" s="30"/>
      <c r="R153" s="30"/>
      <c r="S153" s="96"/>
      <c r="T153" s="30"/>
      <c r="U153" s="30"/>
      <c r="V153" s="30"/>
      <c r="W153" s="30"/>
      <c r="X153" s="6"/>
      <c r="Y153" s="30"/>
      <c r="Z153" s="30"/>
      <c r="AA153" s="97"/>
      <c r="AB153" s="30"/>
      <c r="AC153" s="30"/>
      <c r="AD153" s="30"/>
      <c r="AE153" s="30"/>
      <c r="AF153" s="30"/>
      <c r="AG153" s="30"/>
      <c r="AH153" s="94"/>
      <c r="AI153" s="30"/>
      <c r="AJ153" s="88"/>
      <c r="AK153" s="17"/>
      <c r="AL153" s="95"/>
      <c r="AM153" s="30"/>
      <c r="AN153" s="30"/>
      <c r="AO153" s="30"/>
      <c r="AP153" s="30"/>
      <c r="AQ153" s="87"/>
      <c r="AR153" s="94"/>
      <c r="AS153" s="87"/>
      <c r="AT153" s="30">
        <v>162</v>
      </c>
      <c r="AU153" s="106" t="str">
        <v>Aqilla Fitdhea Anesta</v>
      </c>
      <c r="AV153" s="106" t="str">
        <v>(+62) 81287568588</v>
      </c>
      <c r="AW153" s="84" t="s">
        <v>70</v>
      </c>
      <c r="AX153" s="106" t="str">
        <v>ESSENSIAL BIRD UMUM</v>
      </c>
      <c r="AY153" s="106">
        <v>1199000</v>
      </c>
      <c r="AZ153" s="30">
        <f>IF(AW153="","", IF(   COUNTIF($S$2:$S$176, AW153) +   SUMPRODUCT(--ISNUMBER(SEARCH(LOWER(REGEXEXTRACT(TRIM(AW153),"^[^@]+")), LOWER(TRIM($BB$2:$BB$86))))) &gt; 0,   "SUDAH BAYAR","BELUM" ))</f>
      </c>
      <c r="BF153" s="30"/>
      <c r="BG153" s="30"/>
    </row>
    <row r="154">
      <c r="F154" s="30"/>
      <c r="G154" s="30"/>
      <c r="H154" s="30"/>
      <c r="I154" s="30"/>
      <c r="J154" s="30"/>
      <c r="K154" s="30"/>
      <c r="L154" s="30"/>
      <c r="M154" s="30"/>
      <c r="N154" s="30"/>
      <c r="O154" s="30"/>
      <c r="P154" s="30"/>
      <c r="Q154" s="30"/>
      <c r="R154" s="30"/>
      <c r="S154" s="96"/>
      <c r="T154" s="30"/>
      <c r="U154" s="30"/>
      <c r="V154" s="30"/>
      <c r="W154" s="30"/>
      <c r="X154" s="6"/>
      <c r="Y154" s="30"/>
      <c r="Z154" s="30"/>
      <c r="AA154" s="97"/>
      <c r="AB154" s="30"/>
      <c r="AC154" s="30"/>
      <c r="AD154" s="30"/>
      <c r="AE154" s="30"/>
      <c r="AF154" s="30"/>
      <c r="AG154" s="30"/>
      <c r="AH154" s="94"/>
      <c r="AI154" s="30"/>
      <c r="AJ154" s="88"/>
      <c r="AK154" s="17"/>
      <c r="AL154" s="95"/>
      <c r="AM154" s="30"/>
      <c r="AN154" s="30"/>
      <c r="AO154" s="30"/>
      <c r="AP154" s="30"/>
      <c r="AQ154" s="87"/>
      <c r="AR154" s="94"/>
      <c r="AS154" s="87"/>
      <c r="AT154" s="30">
        <v>163</v>
      </c>
      <c r="AU154" s="106" t="str">
        <v>Azman Sidi Habibie</v>
      </c>
      <c r="AV154" s="106" t="str">
        <v>(+62) 81310428447</v>
      </c>
      <c r="AW154" s="106" t="s">
        <v>75</v>
      </c>
      <c r="AX154" s="106" t="str">
        <v>ESSENSIAL MAHASISWA</v>
      </c>
      <c r="AY154" s="106">
        <v>999000</v>
      </c>
      <c r="AZ154" s="30">
        <f>IF(AW154="","", IF(   COUNTIF($S$2:$S$176, AW154) +   SUMPRODUCT(--ISNUMBER(SEARCH(LOWER(REGEXEXTRACT(TRIM(AW154),"^[^@]+")), LOWER(TRIM($BB$2:$BB$86))))) &gt; 0,   "SUDAH BAYAR","BELUM" ))</f>
      </c>
      <c r="BB154" s="30"/>
      <c r="BC154" s="30"/>
      <c r="BD154" s="30"/>
      <c r="BE154" s="30"/>
      <c r="BF154" s="30"/>
      <c r="BG154" s="30"/>
      <c r="BH154" s="30"/>
      <c r="BI154" s="30"/>
      <c r="BJ154" s="30"/>
      <c r="BK154" s="30"/>
      <c r="BL154" s="30"/>
      <c r="BM154" s="30"/>
      <c r="BN154" s="30"/>
      <c r="BO154" s="30"/>
      <c r="BP154" s="30"/>
      <c r="BQ154" s="30"/>
      <c r="BR154" s="30"/>
    </row>
    <row r="155">
      <c r="F155" s="30"/>
      <c r="G155" s="30"/>
      <c r="H155" s="30"/>
      <c r="I155" s="30"/>
      <c r="J155" s="30"/>
      <c r="K155" s="30"/>
      <c r="L155" s="30"/>
      <c r="M155" s="30"/>
      <c r="N155" s="30"/>
      <c r="O155" s="30"/>
      <c r="P155" s="30"/>
      <c r="Q155" s="30"/>
      <c r="R155" s="30"/>
      <c r="S155" s="96"/>
      <c r="T155" s="30"/>
      <c r="U155" s="30"/>
      <c r="V155" s="30"/>
      <c r="W155" s="30"/>
      <c r="X155" s="6"/>
      <c r="Y155" s="30"/>
      <c r="Z155" s="30"/>
      <c r="AA155" s="97"/>
      <c r="AB155" s="30"/>
      <c r="AC155" s="30"/>
      <c r="AD155" s="30"/>
      <c r="AE155" s="30"/>
      <c r="AF155" s="30"/>
      <c r="AG155" s="30"/>
      <c r="AH155" s="94"/>
      <c r="AI155" s="30"/>
      <c r="AJ155" s="88"/>
      <c r="AK155" s="17"/>
      <c r="AL155" s="95"/>
      <c r="AM155" s="30"/>
      <c r="AN155" s="30"/>
      <c r="AO155" s="30"/>
      <c r="AP155" s="30"/>
      <c r="AQ155" s="87"/>
      <c r="AR155" s="94"/>
      <c r="AS155" s="87"/>
      <c r="AT155" s="30">
        <v>164</v>
      </c>
      <c r="AU155" s="111" t="str">
        <v>Khalisya Syagina Anggie Bahrend</v>
      </c>
      <c r="AV155" s="111" t="str">
        <v>(+62) 82213664088</v>
      </c>
      <c r="AW155" s="111" t="s">
        <v>33</v>
      </c>
      <c r="AX155" s="112" t="str">
        <v>EARLY BIRD MAHASISWA COMMUNITY</v>
      </c>
      <c r="AY155" s="30">
        <v>394500</v>
      </c>
      <c r="AZ155" s="30">
        <f>IF(AW155="","", IF(   COUNTIF($S$2:$S$176, AW155) +   SUMPRODUCT(--ISNUMBER(SEARCH(LOWER(REGEXEXTRACT(TRIM(AW155),"^[^@]+")), LOWER(TRIM($BB$2:$BB$86))))) &gt; 0,   "SUDAH BAYAR","BELUM" ))</f>
      </c>
      <c r="BB155" s="30"/>
      <c r="BC155" s="30"/>
      <c r="BD155" s="30"/>
      <c r="BE155" s="30"/>
      <c r="BF155" s="30"/>
      <c r="BG155" s="30"/>
      <c r="BH155" s="30"/>
      <c r="BI155" s="30"/>
      <c r="BJ155" s="30"/>
      <c r="BK155" s="30"/>
      <c r="BL155" s="30"/>
      <c r="BM155" s="30"/>
      <c r="BN155" s="30"/>
      <c r="BO155" s="30"/>
      <c r="BP155" s="30"/>
      <c r="BQ155" s="30"/>
      <c r="BR155" s="30"/>
    </row>
    <row r="156">
      <c r="F156" s="30"/>
      <c r="G156" s="30"/>
      <c r="H156" s="30"/>
      <c r="I156" s="30"/>
      <c r="J156" s="30"/>
      <c r="K156" s="30"/>
      <c r="L156" s="30"/>
      <c r="M156" s="30"/>
      <c r="N156" s="30"/>
      <c r="O156" s="30"/>
      <c r="P156" s="30"/>
      <c r="Q156" s="30"/>
      <c r="R156" s="30"/>
      <c r="S156" s="96"/>
      <c r="T156" s="30"/>
      <c r="U156" s="30"/>
      <c r="V156" s="30"/>
      <c r="W156" s="30"/>
      <c r="X156" s="6"/>
      <c r="Y156" s="30"/>
      <c r="Z156" s="30"/>
      <c r="AA156" s="97"/>
      <c r="AB156" s="30"/>
      <c r="AC156" s="30"/>
      <c r="AD156" s="30"/>
      <c r="AE156" s="30"/>
      <c r="AF156" s="30"/>
      <c r="AG156" s="30"/>
      <c r="AH156" s="94"/>
      <c r="AI156" s="30"/>
      <c r="AJ156" s="88"/>
      <c r="AK156" s="17"/>
      <c r="AL156" s="95"/>
      <c r="AM156" s="30"/>
      <c r="AN156" s="30"/>
      <c r="AO156" s="30"/>
      <c r="AP156" s="30"/>
      <c r="AQ156" s="87"/>
      <c r="AR156" s="94"/>
      <c r="AS156" s="87"/>
      <c r="AT156" s="30">
        <v>165</v>
      </c>
      <c r="AU156" s="30" t="str">
        <v>Yohanes Gerardus Haga Zai</v>
      </c>
      <c r="AV156" s="30" t="str">
        <v>(+62) 82214572438</v>
      </c>
      <c r="AW156" s="30" t="s">
        <v>45</v>
      </c>
      <c r="AX156" s="30" t="str">
        <v>ESSENTIAL MAHASISWA</v>
      </c>
      <c r="AY156" s="30">
        <v>1199000</v>
      </c>
      <c r="AZ156" s="30">
        <f>IF(AW156="","", IF(   COUNTIF($S$2:$S$176, AW156) +   SUMPRODUCT(--ISNUMBER(SEARCH(LOWER(REGEXEXTRACT(TRIM(AW156),"^[^@]+")), LOWER(TRIM($BB$2:$BB$86))))) &gt; 0,   "SUDAH BAYAR","BELUM" ))</f>
      </c>
      <c r="BF156" s="30"/>
      <c r="BG156" s="30"/>
    </row>
    <row r="157">
      <c r="F157" s="30"/>
      <c r="G157" s="30"/>
      <c r="H157" s="30"/>
      <c r="I157" s="30"/>
      <c r="J157" s="30"/>
      <c r="K157" s="30"/>
      <c r="L157" s="30"/>
      <c r="M157" s="30"/>
      <c r="N157" s="30"/>
      <c r="O157" s="30"/>
      <c r="P157" s="30"/>
      <c r="Q157" s="30"/>
      <c r="R157" s="30"/>
      <c r="S157" s="96"/>
      <c r="T157" s="30"/>
      <c r="U157" s="30"/>
      <c r="V157" s="30"/>
      <c r="W157" s="30"/>
      <c r="X157" s="6"/>
      <c r="Y157" s="30"/>
      <c r="Z157" s="30"/>
      <c r="AA157" s="97"/>
      <c r="AB157" s="30"/>
      <c r="AC157" s="30"/>
      <c r="AD157" s="30"/>
      <c r="AE157" s="30"/>
      <c r="AF157" s="30"/>
      <c r="AG157" s="30"/>
      <c r="AH157" s="94"/>
      <c r="AI157" s="30"/>
      <c r="AJ157" s="88"/>
      <c r="AK157" s="17"/>
      <c r="AL157" s="95"/>
      <c r="AM157" s="30"/>
      <c r="AN157" s="30"/>
      <c r="AO157" s="30"/>
      <c r="AP157" s="30"/>
      <c r="AQ157" s="87"/>
      <c r="AR157" s="94"/>
      <c r="AS157" s="87"/>
      <c r="AT157" s="30">
        <v>166</v>
      </c>
      <c r="AU157" s="30" t="str">
        <v>Nabila Nahdatul Husna</v>
      </c>
      <c r="AV157" s="30" t="str">
        <v>(+62) 85975449829</v>
      </c>
      <c r="AW157" s="30" t="s">
        <v>53</v>
      </c>
      <c r="AX157" s="30" t="str">
        <v>ESSENTIAL UMUM</v>
      </c>
      <c r="AY157" s="30">
        <v>1399000</v>
      </c>
      <c r="AZ157" s="30">
        <f>IF(AW157="","", IF(   COUNTIF($S$2:$S$176, AW157) +   SUMPRODUCT(--ISNUMBER(SEARCH(LOWER(REGEXEXTRACT(TRIM(AW157),"^[^@]+")), LOWER(TRIM($BB$2:$BB$86))))) &gt; 0,   "SUDAH BAYAR","BELUM" ))</f>
      </c>
      <c r="BF157" s="30"/>
      <c r="BG157" s="30"/>
    </row>
    <row r="158">
      <c r="F158" s="30"/>
      <c r="G158" s="30"/>
      <c r="H158" s="30"/>
      <c r="I158" s="30"/>
      <c r="J158" s="30"/>
      <c r="K158" s="30"/>
      <c r="L158" s="30"/>
      <c r="M158" s="30"/>
      <c r="N158" s="30"/>
      <c r="O158" s="30"/>
      <c r="P158" s="30"/>
      <c r="Q158" s="30"/>
      <c r="R158" s="30"/>
      <c r="S158" s="96"/>
      <c r="T158" s="30"/>
      <c r="U158" s="30"/>
      <c r="V158" s="30"/>
      <c r="W158" s="30"/>
      <c r="X158" s="6"/>
      <c r="Y158" s="30"/>
      <c r="Z158" s="30"/>
      <c r="AA158" s="97"/>
      <c r="AB158" s="30"/>
      <c r="AC158" s="30"/>
      <c r="AD158" s="30"/>
      <c r="AE158" s="30"/>
      <c r="AF158" s="30"/>
      <c r="AG158" s="30"/>
      <c r="AH158" s="94"/>
      <c r="AI158" s="30"/>
      <c r="AJ158" s="88"/>
      <c r="AK158" s="17"/>
      <c r="AL158" s="95"/>
      <c r="AM158" s="30"/>
      <c r="AN158" s="30"/>
      <c r="AO158" s="30"/>
      <c r="AP158" s="30"/>
      <c r="AQ158" s="87"/>
      <c r="AR158" s="94"/>
      <c r="AS158" s="87"/>
      <c r="AT158" s="30">
        <v>167</v>
      </c>
      <c r="AU158" s="30" t="str">
        <v>Muhammad Fauzil Adhim Sulistyo</v>
      </c>
      <c r="AV158" s="30" t="str">
        <v>(+62) 8985580408</v>
      </c>
      <c r="AW158" s="30" t="s">
        <v>59</v>
      </c>
      <c r="AX158" s="30" t="str">
        <v>ESSENTIAL MAHASISWA</v>
      </c>
      <c r="AY158" s="30">
        <v>1199000</v>
      </c>
      <c r="AZ158" s="30">
        <f>IF(AW158="","", IF(   COUNTIF($S$2:$S$176, AW158) +   SUMPRODUCT(--ISNUMBER(SEARCH(LOWER(REGEXEXTRACT(TRIM(AW158),"^[^@]+")), LOWER(TRIM($BB$2:$BB$86))))) &gt; 0,   "SUDAH BAYAR","BELUM" ))</f>
      </c>
      <c r="BF158" s="30"/>
      <c r="BG158" s="30"/>
    </row>
    <row r="159">
      <c r="F159" s="30"/>
      <c r="G159" s="30"/>
      <c r="H159" s="30"/>
      <c r="I159" s="30"/>
      <c r="J159" s="30"/>
      <c r="K159" s="30"/>
      <c r="L159" s="30"/>
      <c r="M159" s="30"/>
      <c r="N159" s="30"/>
      <c r="O159" s="30"/>
      <c r="P159" s="30"/>
      <c r="Q159" s="30"/>
      <c r="R159" s="30"/>
      <c r="S159" s="96"/>
      <c r="T159" s="30"/>
      <c r="U159" s="30"/>
      <c r="V159" s="30"/>
      <c r="W159" s="30"/>
      <c r="X159" s="6"/>
      <c r="Y159" s="30"/>
      <c r="Z159" s="30"/>
      <c r="AA159" s="97"/>
      <c r="AB159" s="30"/>
      <c r="AC159" s="30"/>
      <c r="AD159" s="30"/>
      <c r="AE159" s="30"/>
      <c r="AF159" s="30"/>
      <c r="AG159" s="30"/>
      <c r="AH159" s="94"/>
      <c r="AI159" s="30"/>
      <c r="AJ159" s="88"/>
      <c r="AK159" s="17"/>
      <c r="AL159" s="95"/>
      <c r="AM159" s="30"/>
      <c r="AN159" s="30"/>
      <c r="AO159" s="30"/>
      <c r="AP159" s="30"/>
      <c r="AQ159" s="87"/>
      <c r="AR159" s="94"/>
      <c r="AS159" s="87"/>
      <c r="AT159" s="30">
        <v>168</v>
      </c>
      <c r="AU159" s="30" t="str">
        <v>Salma Muvidayanti</v>
      </c>
      <c r="AV159" s="30" t="str">
        <v>(+62) 89684488574</v>
      </c>
      <c r="AW159" s="30" t="s">
        <v>42</v>
      </c>
      <c r="AX159" s="30" t="str">
        <v>ESSENTIAL UMUM</v>
      </c>
      <c r="AY159" s="30">
        <v>1199000</v>
      </c>
      <c r="AZ159" s="30">
        <f>IF(AW159="","", IF(   COUNTIF($S$2:$S$176, AW159) +   SUMPRODUCT(--ISNUMBER(SEARCH(LOWER(REGEXEXTRACT(TRIM(AW159),"^[^@]+")), LOWER(TRIM($BB$2:$BB$86))))) &gt; 0,   "SUDAH BAYAR","BELUM" ))</f>
      </c>
      <c r="BF159" s="30"/>
      <c r="BG159" s="30"/>
    </row>
    <row r="160">
      <c r="F160" s="30"/>
      <c r="G160" s="30"/>
      <c r="H160" s="30"/>
      <c r="I160" s="30"/>
      <c r="J160" s="30"/>
      <c r="K160" s="30"/>
      <c r="L160" s="30"/>
      <c r="M160" s="30"/>
      <c r="N160" s="30"/>
      <c r="O160" s="30"/>
      <c r="P160" s="30"/>
      <c r="Q160" s="30"/>
      <c r="R160" s="30"/>
      <c r="S160" s="96"/>
      <c r="T160" s="30"/>
      <c r="U160" s="30"/>
      <c r="V160" s="30"/>
      <c r="W160" s="30"/>
      <c r="X160" s="6"/>
      <c r="Y160" s="30"/>
      <c r="Z160" s="30"/>
      <c r="AA160" s="97"/>
      <c r="AB160" s="30"/>
      <c r="AC160" s="30"/>
      <c r="AD160" s="30"/>
      <c r="AE160" s="30"/>
      <c r="AF160" s="30"/>
      <c r="AG160" s="30"/>
      <c r="AH160" s="94"/>
      <c r="AI160" s="30"/>
      <c r="AJ160" s="88"/>
      <c r="AK160" s="17"/>
      <c r="AL160" s="95"/>
      <c r="AM160" s="30"/>
      <c r="AN160" s="30"/>
      <c r="AO160" s="30"/>
      <c r="AP160" s="30"/>
      <c r="AQ160" s="87"/>
      <c r="AR160" s="94"/>
      <c r="AS160" s="87"/>
      <c r="AT160" s="30">
        <v>169</v>
      </c>
      <c r="AU160" s="30" t="str">
        <v>Rivan Aji Wahyu Dyan Syafitri</v>
      </c>
      <c r="AV160" s="30" t="str">
        <v>(+62) 81326636328</v>
      </c>
      <c r="AW160" s="30" t="s">
        <v>24</v>
      </c>
      <c r="AX160" s="30" t="str">
        <v>ESSENTIAL UMUM</v>
      </c>
      <c r="AY160" s="30">
        <v>1399000</v>
      </c>
      <c r="AZ160" s="30">
        <f>IF(AW160="","", IF(   COUNTIF($S$2:$S$176, AW160) +   SUMPRODUCT(--ISNUMBER(SEARCH(LOWER(REGEXEXTRACT(TRIM(AW160),"^[^@]+")), LOWER(TRIM($BB$2:$BB$86))))) &gt; 0,   "SUDAH BAYAR","BELUM" ))</f>
      </c>
      <c r="BF160" s="30"/>
      <c r="BG160" s="30"/>
    </row>
    <row r="161">
      <c r="F161" s="30"/>
      <c r="G161" s="30"/>
      <c r="H161" s="30"/>
      <c r="I161" s="30"/>
      <c r="J161" s="30"/>
      <c r="K161" s="30"/>
      <c r="L161" s="30"/>
      <c r="M161" s="30"/>
      <c r="N161" s="30"/>
      <c r="O161" s="30"/>
      <c r="P161" s="30"/>
      <c r="Q161" s="30"/>
      <c r="R161" s="30"/>
      <c r="S161" s="96"/>
      <c r="T161" s="30"/>
      <c r="U161" s="30"/>
      <c r="V161" s="30"/>
      <c r="W161" s="30"/>
      <c r="X161" s="6"/>
      <c r="Y161" s="30"/>
      <c r="Z161" s="30"/>
      <c r="AA161" s="97"/>
      <c r="AB161" s="30"/>
      <c r="AC161" s="30"/>
      <c r="AD161" s="30"/>
      <c r="AE161" s="30"/>
      <c r="AF161" s="30"/>
      <c r="AG161" s="30"/>
      <c r="AH161" s="94"/>
      <c r="AI161" s="30"/>
      <c r="AJ161" s="88"/>
      <c r="AK161" s="17"/>
      <c r="AL161" s="95"/>
      <c r="AM161" s="30"/>
      <c r="AN161" s="30"/>
      <c r="AO161" s="30"/>
      <c r="AP161" s="30"/>
      <c r="AQ161" s="87"/>
      <c r="AR161" s="94"/>
      <c r="AS161" s="87"/>
      <c r="AT161" s="30">
        <v>170</v>
      </c>
      <c r="AU161" s="30" t="str">
        <v>Nathanael Boyke Oeluan</v>
      </c>
      <c r="AV161" s="30" t="str">
        <v>(+62) 81269574986</v>
      </c>
      <c r="AW161" s="30" t="s">
        <v>8</v>
      </c>
      <c r="AX161" s="30" t="str">
        <v>ESSENTIAL UMUM</v>
      </c>
      <c r="AY161" s="30">
        <v>1399000</v>
      </c>
      <c r="AZ161" s="30">
        <f>IF(AW161="","", IF(   COUNTIF($S$2:$S$176, AW161) +   SUMPRODUCT(--ISNUMBER(SEARCH(LOWER(REGEXEXTRACT(TRIM(AW161),"^[^@]+")), LOWER(TRIM($BB$2:$BB$86))))) &gt; 0,   "SUDAH BAYAR","BELUM" ))</f>
      </c>
      <c r="BF161" s="30"/>
      <c r="BG161" s="30"/>
    </row>
    <row r="162">
      <c r="F162" s="30"/>
      <c r="G162" s="30"/>
      <c r="H162" s="30"/>
      <c r="I162" s="30"/>
      <c r="J162" s="30"/>
      <c r="K162" s="30"/>
      <c r="L162" s="30"/>
      <c r="M162" s="30"/>
      <c r="N162" s="30"/>
      <c r="O162" s="30"/>
      <c r="P162" s="30"/>
      <c r="Q162" s="30"/>
      <c r="R162" s="30"/>
      <c r="S162" s="96"/>
      <c r="T162" s="30"/>
      <c r="U162" s="30"/>
      <c r="V162" s="30"/>
      <c r="W162" s="30"/>
      <c r="X162" s="6"/>
      <c r="Y162" s="30"/>
      <c r="Z162" s="30"/>
      <c r="AA162" s="97"/>
      <c r="AB162" s="30"/>
      <c r="AC162" s="30"/>
      <c r="AD162" s="30"/>
      <c r="AE162" s="30"/>
      <c r="AF162" s="30"/>
      <c r="AG162" s="30"/>
      <c r="AH162" s="94"/>
      <c r="AI162" s="30"/>
      <c r="AJ162" s="88"/>
      <c r="AK162" s="17"/>
      <c r="AL162" s="95"/>
      <c r="AM162" s="30"/>
      <c r="AN162" s="30"/>
      <c r="AO162" s="30"/>
      <c r="AP162" s="30"/>
      <c r="AQ162" s="87"/>
      <c r="AR162" s="94"/>
      <c r="AS162" s="87"/>
      <c r="AT162" s="30">
        <v>171</v>
      </c>
      <c r="AU162" s="30" t="str">
        <v>Sri wenni amelia purba</v>
      </c>
      <c r="AV162" s="30" t="str">
        <v>(+62) 882015809228</v>
      </c>
      <c r="AW162" s="30" t="s">
        <v>116</v>
      </c>
      <c r="AX162" s="30" t="str">
        <v>ESSENTIAL MAHASISWA</v>
      </c>
      <c r="AY162" s="30">
        <v>1199000</v>
      </c>
      <c r="AZ162" s="30">
        <f>IF(AW162="","", IF(   COUNTIF($S$2:$S$176, AW162) +   SUMPRODUCT(--ISNUMBER(SEARCH(LOWER(REGEXEXTRACT(TRIM(AW162),"^[^@]+")), LOWER(TRIM($BB$2:$BB$86))))) &gt; 0,   "SUDAH BAYAR","BELUM" ))</f>
      </c>
      <c r="BF162" s="30"/>
      <c r="BG162" s="30"/>
    </row>
    <row r="163">
      <c r="F163" s="30"/>
      <c r="G163" s="30"/>
      <c r="H163" s="30"/>
      <c r="I163" s="30"/>
      <c r="J163" s="30"/>
      <c r="K163" s="30"/>
      <c r="L163" s="30"/>
      <c r="M163" s="30"/>
      <c r="N163" s="30"/>
      <c r="O163" s="30"/>
      <c r="P163" s="30"/>
      <c r="Q163" s="30"/>
      <c r="R163" s="30"/>
      <c r="S163" s="96"/>
      <c r="T163" s="30"/>
      <c r="U163" s="30"/>
      <c r="V163" s="30"/>
      <c r="W163" s="30"/>
      <c r="X163" s="6"/>
      <c r="Y163" s="30"/>
      <c r="Z163" s="30"/>
      <c r="AA163" s="97"/>
      <c r="AB163" s="30"/>
      <c r="AC163" s="30"/>
      <c r="AD163" s="30"/>
      <c r="AE163" s="30"/>
      <c r="AF163" s="30"/>
      <c r="AG163" s="30"/>
      <c r="AH163" s="94"/>
      <c r="AI163" s="30"/>
      <c r="AJ163" s="88"/>
      <c r="AK163" s="17"/>
      <c r="AL163" s="95"/>
      <c r="AM163" s="30"/>
      <c r="AN163" s="30"/>
      <c r="AO163" s="30"/>
      <c r="AP163" s="30"/>
      <c r="AQ163" s="87"/>
      <c r="AR163" s="94"/>
      <c r="AS163" s="87"/>
      <c r="AT163" s="30"/>
      <c r="AU163" s="30"/>
      <c r="AV163" s="30"/>
      <c r="AW163" s="30"/>
      <c r="AX163" s="30"/>
      <c r="AY163" s="30"/>
      <c r="AZ163" s="30"/>
      <c r="BF163" s="30"/>
      <c r="BG163" s="30"/>
    </row>
    <row r="164">
      <c r="F164" s="87"/>
      <c r="G164" s="87"/>
      <c r="H164" s="87"/>
      <c r="I164" s="87"/>
      <c r="J164" s="87"/>
      <c r="K164" s="87"/>
      <c r="L164" s="87"/>
      <c r="M164" s="87"/>
      <c r="N164" s="87"/>
      <c r="O164" s="87"/>
      <c r="P164" s="87"/>
      <c r="Q164" s="87"/>
      <c r="R164" s="87"/>
      <c r="S164" s="99"/>
      <c r="T164" s="87"/>
      <c r="U164" s="87"/>
      <c r="V164" s="87"/>
      <c r="W164" s="87"/>
      <c r="X164" s="101"/>
      <c r="Y164" s="87"/>
      <c r="Z164" s="87"/>
      <c r="AA164" s="100"/>
      <c r="AB164" s="87"/>
      <c r="AC164" s="87"/>
      <c r="AD164" s="87"/>
      <c r="AE164" s="87"/>
      <c r="AF164" s="87"/>
      <c r="AG164" s="87"/>
      <c r="AH164" s="102"/>
      <c r="AI164" s="87"/>
      <c r="AJ164" s="88"/>
      <c r="AK164" s="17"/>
      <c r="AL164" s="95"/>
      <c r="AM164" s="30"/>
      <c r="AN164" s="30"/>
      <c r="AO164" s="30"/>
      <c r="AP164" s="30"/>
      <c r="AQ164" s="87"/>
      <c r="AR164" s="94"/>
      <c r="AS164" s="87"/>
      <c r="AT164" s="30">
        <v>173</v>
      </c>
      <c r="AU164" s="30" t="str">
        <v>Devi Damayanti</v>
      </c>
      <c r="AV164" s="30" t="str">
        <v>(+62) 82137734085</v>
      </c>
      <c r="AW164" s="30" t="s">
        <v>107</v>
      </c>
      <c r="AX164" s="30" t="str">
        <v>ESSENTIAL MAHASISWA</v>
      </c>
      <c r="AY164" s="30">
        <v>1199000</v>
      </c>
      <c r="AZ164" s="30">
        <f>IF(AW164="","", IF(   COUNTIF($S$2:$S$176, AW164) +   SUMPRODUCT(--ISNUMBER(SEARCH(LOWER(REGEXEXTRACT(TRIM(AW164),"^[^@]+")), LOWER(TRIM($BB$2:$BB$86))))) &gt; 0,   "SUDAH BAYAR","BELUM" ))</f>
      </c>
    </row>
    <row r="165">
      <c r="F165" s="87"/>
      <c r="G165" s="87"/>
      <c r="H165" s="87"/>
      <c r="I165" s="87"/>
      <c r="J165" s="87"/>
      <c r="K165" s="87"/>
      <c r="L165" s="87"/>
      <c r="M165" s="87"/>
      <c r="N165" s="87"/>
      <c r="O165" s="87"/>
      <c r="P165" s="87"/>
      <c r="Q165" s="87"/>
      <c r="R165" s="87"/>
      <c r="S165" s="99"/>
      <c r="T165" s="87"/>
      <c r="U165" s="87"/>
      <c r="V165" s="87"/>
      <c r="W165" s="87"/>
      <c r="X165" s="101"/>
      <c r="Y165" s="87"/>
      <c r="Z165" s="87"/>
      <c r="AA165" s="100"/>
      <c r="AB165" s="87"/>
      <c r="AC165" s="87"/>
      <c r="AD165" s="87"/>
      <c r="AE165" s="87"/>
      <c r="AF165" s="87"/>
      <c r="AG165" s="87"/>
      <c r="AH165" s="102"/>
      <c r="AI165" s="87"/>
      <c r="AJ165" s="88"/>
      <c r="AK165" s="17"/>
      <c r="AL165" s="95"/>
      <c r="AM165" s="30"/>
      <c r="AN165" s="30"/>
      <c r="AO165" s="30"/>
      <c r="AP165" s="30"/>
      <c r="AQ165" s="87"/>
      <c r="AR165" s="94"/>
      <c r="AS165" s="87"/>
      <c r="AT165" s="30">
        <v>174</v>
      </c>
      <c r="AU165" s="84" t="str">
        <v>Surya pranata</v>
      </c>
      <c r="AV165" s="84" t="str">
        <v>(+62) 85299961216</v>
      </c>
      <c r="AW165" s="120" t="s">
        <v>90</v>
      </c>
      <c r="AX165" s="84" t="str">
        <v>ESSENTIAL UMUM</v>
      </c>
      <c r="AY165" s="84">
        <v>1399000</v>
      </c>
      <c r="AZ165" s="30">
        <f>IF(AW165="","", IF(   COUNTIF($S$2:$S$176, AW165) +   SUMPRODUCT(--ISNUMBER(SEARCH(LOWER(REGEXEXTRACT(TRIM(AW165),"^[^@]+")), LOWER(TRIM($BB$2:$BB$86))))) &gt; 0,   "SUDAH BAYAR","BELUM" ))</f>
      </c>
    </row>
    <row r="166">
      <c r="F166" s="87"/>
      <c r="G166" s="87"/>
      <c r="H166" s="87"/>
      <c r="I166" s="87"/>
      <c r="J166" s="87"/>
      <c r="K166" s="87"/>
      <c r="L166" s="87"/>
      <c r="M166" s="87"/>
      <c r="N166" s="87"/>
      <c r="O166" s="87"/>
      <c r="P166" s="87"/>
      <c r="Q166" s="87"/>
      <c r="R166" s="87"/>
      <c r="S166" s="99"/>
      <c r="T166" s="87"/>
      <c r="U166" s="87"/>
      <c r="V166" s="87"/>
      <c r="W166" s="87"/>
      <c r="X166" s="101"/>
      <c r="Y166" s="87"/>
      <c r="Z166" s="87"/>
      <c r="AA166" s="100"/>
      <c r="AB166" s="87"/>
      <c r="AC166" s="87"/>
      <c r="AD166" s="87"/>
      <c r="AE166" s="87"/>
      <c r="AF166" s="87"/>
      <c r="AG166" s="87"/>
      <c r="AH166" s="102"/>
      <c r="AI166" s="87"/>
      <c r="AJ166" s="88"/>
      <c r="AK166" s="17"/>
      <c r="AL166" s="95"/>
      <c r="AM166" s="30"/>
      <c r="AN166" s="30"/>
      <c r="AO166" s="30"/>
      <c r="AP166" s="30"/>
      <c r="AQ166" s="87"/>
      <c r="AR166" s="94"/>
      <c r="AS166" s="87"/>
      <c r="AT166" s="30">
        <v>175</v>
      </c>
      <c r="AU166" s="84" t="str">
        <v>Muzakia Azzahra</v>
      </c>
      <c r="AV166" s="84" t="str">
        <v>(+62) 82115476303</v>
      </c>
      <c r="AW166" s="84" t="s">
        <v>96</v>
      </c>
      <c r="AX166" s="84" t="str">
        <v>ESSENTIAL MAHASISWA</v>
      </c>
      <c r="AY166" s="84">
        <v>1199000</v>
      </c>
      <c r="AZ166" s="30">
        <f>IF(AW166="","", IF(   COUNTIF($S$2:$S$176, AW166) +   SUMPRODUCT(--ISNUMBER(SEARCH(LOWER(REGEXEXTRACT(TRIM(AW166),"^[^@]+")), LOWER(TRIM($BB$2:$BB$86))))) &gt; 0,   "SUDAH BAYAR","BELUM" ))</f>
      </c>
    </row>
    <row r="167">
      <c r="F167" s="87"/>
      <c r="G167" s="87"/>
      <c r="H167" s="87"/>
      <c r="I167" s="87"/>
      <c r="J167" s="87"/>
      <c r="K167" s="87"/>
      <c r="L167" s="87"/>
      <c r="M167" s="87"/>
      <c r="N167" s="87"/>
      <c r="O167" s="87"/>
      <c r="P167" s="87"/>
      <c r="Q167" s="87"/>
      <c r="R167" s="87"/>
      <c r="S167" s="99"/>
      <c r="T167" s="87"/>
      <c r="U167" s="87"/>
      <c r="V167" s="87"/>
      <c r="W167" s="87"/>
      <c r="X167" s="101"/>
      <c r="Y167" s="87"/>
      <c r="Z167" s="87"/>
      <c r="AA167" s="100"/>
      <c r="AB167" s="87"/>
      <c r="AC167" s="87"/>
      <c r="AD167" s="87"/>
      <c r="AE167" s="87"/>
      <c r="AF167" s="87"/>
      <c r="AG167" s="87"/>
      <c r="AH167" s="102"/>
      <c r="AI167" s="87"/>
      <c r="AJ167" s="88"/>
      <c r="AK167" s="17"/>
      <c r="AL167" s="95"/>
      <c r="AM167" s="30"/>
      <c r="AN167" s="30"/>
      <c r="AO167" s="30"/>
      <c r="AP167" s="30"/>
      <c r="AQ167" s="87"/>
      <c r="AR167" s="94"/>
      <c r="AS167" s="87"/>
      <c r="AT167" s="30">
        <v>176</v>
      </c>
      <c r="AU167" s="84" t="str">
        <v>Farouq</v>
      </c>
      <c r="AV167" s="84" t="str">
        <v>(+62) 81396764522</v>
      </c>
      <c r="AW167" s="84" t="s">
        <v>83</v>
      </c>
      <c r="AX167" s="84" t="str">
        <v>ESSENTIAL UMUM</v>
      </c>
      <c r="AY167" s="84">
        <v>1399000</v>
      </c>
      <c r="AZ167" s="30">
        <f>IF(AW167="","", IF(   COUNTIF($S$2:$S$176, AW167) +   SUMPRODUCT(--ISNUMBER(SEARCH(LOWER(REGEXEXTRACT(TRIM(AW167),"^[^@]+")), LOWER(TRIM($BB$2:$BB$86))))) &gt; 0,   "SUDAH BAYAR","BELUM" ))</f>
      </c>
    </row>
    <row r="168">
      <c r="F168" s="87"/>
      <c r="G168" s="87"/>
      <c r="H168" s="87"/>
      <c r="I168" s="87"/>
      <c r="J168" s="87"/>
      <c r="K168" s="87"/>
      <c r="L168" s="87"/>
      <c r="M168" s="87"/>
      <c r="N168" s="87"/>
      <c r="O168" s="87"/>
      <c r="P168" s="87"/>
      <c r="Q168" s="87"/>
      <c r="R168" s="87"/>
      <c r="S168" s="99"/>
      <c r="T168" s="87"/>
      <c r="U168" s="87"/>
      <c r="V168" s="87"/>
      <c r="W168" s="87"/>
      <c r="X168" s="101"/>
      <c r="Y168" s="87"/>
      <c r="Z168" s="87"/>
      <c r="AA168" s="100"/>
      <c r="AB168" s="87"/>
      <c r="AC168" s="87"/>
      <c r="AD168" s="87"/>
      <c r="AE168" s="87"/>
      <c r="AF168" s="87"/>
      <c r="AG168" s="87"/>
      <c r="AH168" s="102"/>
      <c r="AI168" s="87"/>
      <c r="AJ168" s="88"/>
      <c r="AK168" s="17"/>
      <c r="AL168" s="95"/>
      <c r="AM168" s="30"/>
      <c r="AN168" s="30"/>
      <c r="AO168" s="30"/>
      <c r="AP168" s="30"/>
      <c r="AQ168" s="87"/>
      <c r="AR168" s="94"/>
      <c r="AS168" s="87"/>
      <c r="AT168" s="30">
        <v>177</v>
      </c>
      <c r="AU168" s="84" t="str">
        <v>Mochamad Akmal Rania Daniswara</v>
      </c>
      <c r="AV168" s="84" t="str">
        <v>(+62) 87851784137</v>
      </c>
      <c r="AW168" s="84" t="s">
        <v>85</v>
      </c>
      <c r="AX168" s="84" t="str">
        <v>ESSENTIAL MAHASISWA</v>
      </c>
      <c r="AY168" s="84">
        <v>1199000</v>
      </c>
      <c r="AZ168" s="30">
        <f>IF(AW168="","", IF(   COUNTIF($S$2:$S$176, AW168) +   SUMPRODUCT(--ISNUMBER(SEARCH(LOWER(REGEXEXTRACT(TRIM(AW168),"^[^@]+")), LOWER(TRIM($BB$2:$BB$86))))) &gt; 0,   "SUDAH BAYAR","BELUM" ))</f>
      </c>
    </row>
    <row r="169">
      <c r="F169" s="87"/>
      <c r="G169" s="87"/>
      <c r="H169" s="87"/>
      <c r="I169" s="87"/>
      <c r="J169" s="87"/>
      <c r="K169" s="87"/>
      <c r="L169" s="87"/>
      <c r="M169" s="87"/>
      <c r="N169" s="87"/>
      <c r="O169" s="87"/>
      <c r="P169" s="87"/>
      <c r="Q169" s="87"/>
      <c r="R169" s="87"/>
      <c r="S169" s="99"/>
      <c r="T169" s="87"/>
      <c r="U169" s="87"/>
      <c r="V169" s="87"/>
      <c r="W169" s="87"/>
      <c r="X169" s="101"/>
      <c r="Y169" s="87"/>
      <c r="Z169" s="87"/>
      <c r="AA169" s="100"/>
      <c r="AB169" s="87"/>
      <c r="AC169" s="87"/>
      <c r="AD169" s="87"/>
      <c r="AE169" s="87"/>
      <c r="AF169" s="87"/>
      <c r="AG169" s="87"/>
      <c r="AH169" s="102"/>
      <c r="AI169" s="87"/>
      <c r="AJ169" s="88"/>
      <c r="AK169" s="17"/>
      <c r="AL169" s="95"/>
      <c r="AM169" s="30"/>
      <c r="AN169" s="30"/>
      <c r="AO169" s="30"/>
      <c r="AP169" s="30"/>
      <c r="AQ169" s="87"/>
      <c r="AR169" s="94"/>
      <c r="AS169" s="87"/>
      <c r="AT169" s="30">
        <v>178</v>
      </c>
      <c r="AU169" s="84" t="str">
        <v>Zahir Ahmad</v>
      </c>
      <c r="AV169" s="84" t="str">
        <v>(+62) 82219915226</v>
      </c>
      <c r="AW169" s="84" t="s">
        <v>155</v>
      </c>
      <c r="AX169" s="84" t="str">
        <v>ESSENTIAL MAHASISWA</v>
      </c>
      <c r="AY169" s="84">
        <v>1199000</v>
      </c>
      <c r="AZ169" s="30">
        <f>IF(AW169="","", IF(   COUNTIF($S$2:$S$176, AW169) +   SUMPRODUCT(--ISNUMBER(SEARCH(LOWER(REGEXEXTRACT(TRIM(AW169),"^[^@]+")), LOWER(TRIM($BB$2:$BB$86))))) &gt; 0,   "SUDAH BAYAR","BELUM" ))</f>
      </c>
    </row>
    <row r="170">
      <c r="F170" s="87"/>
      <c r="G170" s="87"/>
      <c r="H170" s="87"/>
      <c r="I170" s="87"/>
      <c r="J170" s="87"/>
      <c r="K170" s="87"/>
      <c r="L170" s="87"/>
      <c r="M170" s="87"/>
      <c r="N170" s="87"/>
      <c r="O170" s="87"/>
      <c r="P170" s="87"/>
      <c r="Q170" s="87"/>
      <c r="R170" s="87"/>
      <c r="S170" s="99"/>
      <c r="T170" s="87"/>
      <c r="U170" s="87"/>
      <c r="V170" s="87"/>
      <c r="W170" s="87"/>
      <c r="X170" s="101"/>
      <c r="Y170" s="87"/>
      <c r="Z170" s="87"/>
      <c r="AA170" s="100"/>
      <c r="AB170" s="87"/>
      <c r="AC170" s="87"/>
      <c r="AD170" s="87"/>
      <c r="AE170" s="87"/>
      <c r="AF170" s="87"/>
      <c r="AG170" s="87"/>
      <c r="AH170" s="102"/>
      <c r="AI170" s="87"/>
      <c r="AJ170" s="88"/>
      <c r="AK170" s="17"/>
      <c r="AL170" s="95"/>
      <c r="AM170" s="30"/>
      <c r="AN170" s="30"/>
      <c r="AO170" s="30"/>
      <c r="AP170" s="30"/>
      <c r="AQ170" s="87"/>
      <c r="AR170" s="94"/>
      <c r="AS170" s="87"/>
      <c r="AT170" s="30">
        <v>179</v>
      </c>
      <c r="AU170" s="84" t="str">
        <v>I Made Dirgayusa</v>
      </c>
      <c r="AV170" s="84" t="str">
        <v>(+62) 895610093431</v>
      </c>
      <c r="AW170" s="84" t="s">
        <v>160</v>
      </c>
      <c r="AX170" s="84" t="str">
        <v>ESSENTIAL MAHASISWA</v>
      </c>
      <c r="AY170" s="84">
        <v>1199000</v>
      </c>
      <c r="AZ170" s="30">
        <f>IF(AW170="","", IF(   COUNTIF($S$2:$S$176, AW170) +   SUMPRODUCT(--ISNUMBER(SEARCH(LOWER(REGEXEXTRACT(TRIM(AW170),"^[^@]+")), LOWER(TRIM($BB$2:$BB$86))))) &gt; 0,   "SUDAH BAYAR","BELUM" ))</f>
      </c>
    </row>
    <row r="171">
      <c r="F171" s="87"/>
      <c r="G171" s="87"/>
      <c r="H171" s="87"/>
      <c r="I171" s="87"/>
      <c r="J171" s="87"/>
      <c r="K171" s="87"/>
      <c r="L171" s="87"/>
      <c r="M171" s="87"/>
      <c r="N171" s="87"/>
      <c r="O171" s="87"/>
      <c r="P171" s="87"/>
      <c r="Q171" s="87"/>
      <c r="R171" s="87"/>
      <c r="S171" s="99"/>
      <c r="T171" s="87"/>
      <c r="U171" s="87"/>
      <c r="V171" s="87"/>
      <c r="W171" s="87"/>
      <c r="X171" s="101"/>
      <c r="Y171" s="87"/>
      <c r="Z171" s="87"/>
      <c r="AA171" s="100"/>
      <c r="AB171" s="87"/>
      <c r="AC171" s="87"/>
      <c r="AD171" s="87"/>
      <c r="AE171" s="87"/>
      <c r="AF171" s="87"/>
      <c r="AG171" s="87"/>
      <c r="AH171" s="102"/>
      <c r="AI171" s="87"/>
      <c r="AJ171" s="88"/>
      <c r="AK171" s="17"/>
      <c r="AL171" s="95"/>
      <c r="AM171" s="30"/>
      <c r="AN171" s="30"/>
      <c r="AO171" s="30"/>
      <c r="AP171" s="30"/>
      <c r="AQ171" s="87"/>
      <c r="AR171" s="94"/>
      <c r="AS171" s="87"/>
      <c r="AT171" s="30">
        <v>180</v>
      </c>
      <c r="AU171" s="84" t="str">
        <v>Budi andresi</v>
      </c>
      <c r="AV171" s="84" t="str">
        <v>(+62) 85241013706</v>
      </c>
      <c r="AW171" s="84" t="s">
        <v>143</v>
      </c>
      <c r="AX171" s="84" t="str">
        <v>ESSENTIAL UMUM</v>
      </c>
      <c r="AY171" s="84">
        <v>1399000</v>
      </c>
      <c r="AZ171" s="30">
        <f>IF(AW171="","", IF(   COUNTIF($S$2:$S$176, AW171) +   SUMPRODUCT(--ISNUMBER(SEARCH(LOWER(REGEXEXTRACT(TRIM(AW171),"^[^@]+")), LOWER(TRIM($BB$2:$BB$86))))) &gt; 0,   "SUDAH BAYAR","BELUM" ))</f>
      </c>
    </row>
    <row r="172">
      <c r="F172" s="87"/>
      <c r="G172" s="87"/>
      <c r="H172" s="87"/>
      <c r="I172" s="87"/>
      <c r="J172" s="87"/>
      <c r="K172" s="87"/>
      <c r="L172" s="87"/>
      <c r="M172" s="87"/>
      <c r="N172" s="87"/>
      <c r="O172" s="87"/>
      <c r="P172" s="87"/>
      <c r="Q172" s="87"/>
      <c r="R172" s="87"/>
      <c r="S172" s="99"/>
      <c r="T172" s="87"/>
      <c r="U172" s="87"/>
      <c r="V172" s="87"/>
      <c r="W172" s="87"/>
      <c r="X172" s="101"/>
      <c r="Y172" s="87"/>
      <c r="Z172" s="87"/>
      <c r="AA172" s="100"/>
      <c r="AB172" s="87"/>
      <c r="AC172" s="87"/>
      <c r="AD172" s="87"/>
      <c r="AE172" s="87"/>
      <c r="AF172" s="87"/>
      <c r="AG172" s="87"/>
      <c r="AH172" s="102"/>
      <c r="AI172" s="87"/>
      <c r="AJ172" s="88"/>
      <c r="AK172" s="17"/>
      <c r="AL172" s="95"/>
      <c r="AM172" s="30"/>
      <c r="AN172" s="30"/>
      <c r="AO172" s="30"/>
      <c r="AP172" s="30"/>
      <c r="AQ172" s="87"/>
      <c r="AR172" s="94"/>
      <c r="AS172" s="87"/>
      <c r="AT172" s="30">
        <v>181</v>
      </c>
      <c r="AU172" s="84" t="str">
        <v>Ahmad Fauzy Habiby Prasetya</v>
      </c>
      <c r="AV172" s="84" t="str">
        <v>(+62) 82125664077</v>
      </c>
      <c r="AW172" s="84" t="s">
        <v>149</v>
      </c>
      <c r="AX172" s="84" t="str">
        <v>ESSENTIAL UMUM</v>
      </c>
      <c r="AY172" s="84">
        <v>1399000</v>
      </c>
      <c r="AZ172" s="30">
        <f>IF(AW172="","", IF(   COUNTIF($S$2:$S$176, AW172) +   SUMPRODUCT(--ISNUMBER(SEARCH(LOWER(REGEXEXTRACT(TRIM(AW172),"^[^@]+")), LOWER(TRIM($BB$2:$BB$86))))) &gt; 0,   "SUDAH BAYAR","BELUM" ))</f>
      </c>
    </row>
    <row r="173">
      <c r="F173" s="87"/>
      <c r="G173" s="87"/>
      <c r="H173" s="87"/>
      <c r="I173" s="87"/>
      <c r="J173" s="87"/>
      <c r="K173" s="87"/>
      <c r="L173" s="87"/>
      <c r="M173" s="87"/>
      <c r="N173" s="87"/>
      <c r="O173" s="87"/>
      <c r="P173" s="87"/>
      <c r="Q173" s="87"/>
      <c r="R173" s="87"/>
      <c r="S173" s="99"/>
      <c r="T173" s="87"/>
      <c r="U173" s="87"/>
      <c r="V173" s="87"/>
      <c r="W173" s="87"/>
      <c r="X173" s="101"/>
      <c r="Y173" s="87"/>
      <c r="Z173" s="87"/>
      <c r="AA173" s="100"/>
      <c r="AB173" s="87"/>
      <c r="AC173" s="87"/>
      <c r="AD173" s="87"/>
      <c r="AE173" s="87"/>
      <c r="AF173" s="87"/>
      <c r="AG173" s="87"/>
      <c r="AH173" s="102"/>
      <c r="AI173" s="87"/>
      <c r="AJ173" s="88"/>
      <c r="AK173" s="17"/>
      <c r="AL173" s="95"/>
      <c r="AM173" s="30"/>
      <c r="AN173" s="30"/>
      <c r="AO173" s="30"/>
      <c r="AP173" s="30"/>
      <c r="AQ173" s="87"/>
      <c r="AR173" s="94"/>
      <c r="AS173" s="87"/>
      <c r="AT173" s="30">
        <v>182</v>
      </c>
      <c r="AU173" s="84" t="str">
        <v>Jasmine Triyadi</v>
      </c>
      <c r="AV173" s="84" t="str">
        <v>(+62) 82111932224</v>
      </c>
      <c r="AW173" s="84" t="s">
        <v>131</v>
      </c>
      <c r="AX173" s="84" t="str">
        <v>ESSENTIAL MAHASISWA</v>
      </c>
      <c r="AY173" s="84">
        <v>1199000</v>
      </c>
      <c r="AZ173" s="30">
        <f>IF(AW173="","", IF(   COUNTIF($S$2:$S$176, AW173) +   SUMPRODUCT(--ISNUMBER(SEARCH(LOWER(REGEXEXTRACT(TRIM(AW173),"^[^@]+")), LOWER(TRIM($BB$2:$BB$86))))) &gt; 0,   "SUDAH BAYAR","BELUM" ))</f>
      </c>
    </row>
    <row r="174">
      <c r="F174" s="87"/>
      <c r="G174" s="87"/>
      <c r="H174" s="87"/>
      <c r="I174" s="87"/>
      <c r="J174" s="87"/>
      <c r="K174" s="87"/>
      <c r="L174" s="87"/>
      <c r="M174" s="87"/>
      <c r="N174" s="87"/>
      <c r="O174" s="87"/>
      <c r="P174" s="87"/>
      <c r="Q174" s="87"/>
      <c r="R174" s="87"/>
      <c r="S174" s="99"/>
      <c r="T174" s="87"/>
      <c r="U174" s="87"/>
      <c r="V174" s="87"/>
      <c r="W174" s="87"/>
      <c r="X174" s="101"/>
      <c r="Y174" s="87"/>
      <c r="Z174" s="87"/>
      <c r="AA174" s="100"/>
      <c r="AB174" s="87"/>
      <c r="AC174" s="87"/>
      <c r="AD174" s="87"/>
      <c r="AE174" s="87"/>
      <c r="AF174" s="87"/>
      <c r="AG174" s="87"/>
      <c r="AH174" s="102"/>
      <c r="AI174" s="87"/>
      <c r="AJ174" s="88"/>
      <c r="AK174" s="17"/>
      <c r="AL174" s="95"/>
      <c r="AM174" s="30"/>
      <c r="AN174" s="30"/>
      <c r="AO174" s="30"/>
      <c r="AP174" s="30"/>
      <c r="AQ174" s="87"/>
      <c r="AR174" s="94"/>
      <c r="AS174" s="87"/>
      <c r="AT174" s="30">
        <v>183</v>
      </c>
      <c r="AU174" s="84" t="str">
        <v>Hafshah Betari Andhika</v>
      </c>
      <c r="AV174" s="84" t="str">
        <v>(+62) 85647123442</v>
      </c>
      <c r="AW174" s="84" t="s">
        <v>137</v>
      </c>
      <c r="AX174" s="84" t="str">
        <v>ESSENTIAL UMUM</v>
      </c>
      <c r="AY174" s="84">
        <v>1399000</v>
      </c>
      <c r="AZ174" s="30">
        <f>IF(AW174="","", IF(   COUNTIF($S$2:$S$176, AW174) +   SUMPRODUCT(--ISNUMBER(SEARCH(LOWER(REGEXEXTRACT(TRIM(AW174),"^[^@]+")), LOWER(TRIM($BB$2:$BB$86))))) &gt; 0,   "SUDAH BAYAR","BELUM" ))</f>
      </c>
    </row>
    <row r="175">
      <c r="F175" s="87"/>
      <c r="G175" s="87"/>
      <c r="H175" s="87"/>
      <c r="I175" s="87"/>
      <c r="J175" s="87"/>
      <c r="K175" s="87"/>
      <c r="L175" s="87"/>
      <c r="M175" s="87"/>
      <c r="N175" s="87"/>
      <c r="O175" s="87"/>
      <c r="P175" s="87"/>
      <c r="Q175" s="87"/>
      <c r="R175" s="87"/>
      <c r="S175" s="99"/>
      <c r="T175" s="87"/>
      <c r="U175" s="87"/>
      <c r="V175" s="87"/>
      <c r="W175" s="87"/>
      <c r="X175" s="101"/>
      <c r="Y175" s="87"/>
      <c r="Z175" s="87"/>
      <c r="AA175" s="100"/>
      <c r="AB175" s="87"/>
      <c r="AC175" s="87"/>
      <c r="AD175" s="87"/>
      <c r="AE175" s="87"/>
      <c r="AF175" s="87"/>
      <c r="AG175" s="87"/>
      <c r="AH175" s="102"/>
      <c r="AI175" s="87"/>
      <c r="AJ175" s="88"/>
      <c r="AK175" s="17"/>
      <c r="AL175" s="95"/>
      <c r="AM175" s="30"/>
      <c r="AN175" s="30"/>
      <c r="AO175" s="30"/>
      <c r="AP175" s="30"/>
      <c r="AQ175" s="87"/>
      <c r="AR175" s="94"/>
      <c r="AS175" s="87"/>
      <c r="AT175" s="30">
        <v>184</v>
      </c>
      <c r="AU175" s="84" t="str">
        <v>Akbar Ramanda</v>
      </c>
      <c r="AV175" s="84" t="str">
        <v>(+62) 82271443027</v>
      </c>
      <c r="AW175" s="84" t="s">
        <v>121</v>
      </c>
      <c r="AX175" s="84" t="str">
        <v>ESSENTIAL UMUM</v>
      </c>
      <c r="AY175" s="84">
        <v>1399000</v>
      </c>
      <c r="AZ175" s="30">
        <f>IF(AW175="","", IF(   COUNTIF($S$2:$S$176, AW175) +   SUMPRODUCT(--ISNUMBER(SEARCH(LOWER(REGEXEXTRACT(TRIM(AW175),"^[^@]+")), LOWER(TRIM($BB$2:$BB$86))))) &gt; 0,   "SUDAH BAYAR","BELUM" ))</f>
      </c>
    </row>
    <row r="176">
      <c r="F176" s="87"/>
      <c r="G176" s="87"/>
      <c r="H176" s="87"/>
      <c r="I176" s="87"/>
      <c r="J176" s="87"/>
      <c r="K176" s="87"/>
      <c r="L176" s="87"/>
      <c r="M176" s="87"/>
      <c r="N176" s="87"/>
      <c r="O176" s="87"/>
      <c r="P176" s="87"/>
      <c r="Q176" s="87"/>
      <c r="R176" s="87"/>
      <c r="S176" s="99"/>
      <c r="T176" s="87"/>
      <c r="U176" s="87"/>
      <c r="V176" s="87"/>
      <c r="W176" s="87"/>
      <c r="X176" s="101"/>
      <c r="Y176" s="87"/>
      <c r="Z176" s="87"/>
      <c r="AA176" s="100"/>
      <c r="AB176" s="87"/>
      <c r="AC176" s="87"/>
      <c r="AD176" s="87"/>
      <c r="AE176" s="87"/>
      <c r="AF176" s="87"/>
      <c r="AG176" s="87"/>
      <c r="AH176" s="102"/>
      <c r="AI176" s="87"/>
      <c r="AJ176" s="88"/>
      <c r="AK176" s="17"/>
      <c r="AL176" s="95"/>
      <c r="AM176" s="30"/>
      <c r="AN176" s="30"/>
      <c r="AO176" s="30"/>
      <c r="AP176" s="30"/>
      <c r="AQ176" s="87"/>
      <c r="AR176" s="94"/>
      <c r="AS176" s="87"/>
      <c r="AT176" s="30">
        <v>185</v>
      </c>
      <c r="AU176" s="84" t="str">
        <v>Briliant Natasya Nivani</v>
      </c>
      <c r="AV176" s="84" t="str">
        <v>(+62) 82265477924</v>
      </c>
      <c r="AW176" s="84" t="s">
        <v>126</v>
      </c>
      <c r="AX176" s="84" t="str">
        <v>ESSENTIAL MAHASISWA</v>
      </c>
      <c r="AY176" s="84">
        <v>1199000</v>
      </c>
      <c r="AZ176" s="30">
        <f>IF(AW176="","", IF(   COUNTIF($S$2:$S$176, AW176) +   SUMPRODUCT(--ISNUMBER(SEARCH(LOWER(REGEXEXTRACT(TRIM(AW176),"^[^@]+")), LOWER(TRIM($BB$2:$BB$86))))) &gt; 0,   "SUDAH BAYAR","BELUM" ))</f>
      </c>
    </row>
    <row r="177">
      <c r="F177" s="87"/>
      <c r="G177" s="87"/>
      <c r="H177" s="87"/>
      <c r="I177" s="87"/>
      <c r="J177" s="87"/>
      <c r="K177" s="87"/>
      <c r="L177" s="87"/>
      <c r="M177" s="87"/>
      <c r="N177" s="87"/>
      <c r="O177" s="87"/>
      <c r="P177" s="87"/>
      <c r="Q177" s="87"/>
      <c r="R177" s="87"/>
      <c r="S177" s="99"/>
      <c r="T177" s="87"/>
      <c r="U177" s="87"/>
      <c r="V177" s="87"/>
      <c r="W177" s="87"/>
      <c r="X177" s="101"/>
      <c r="Y177" s="87"/>
      <c r="Z177" s="87"/>
      <c r="AA177" s="100"/>
      <c r="AB177" s="87"/>
      <c r="AC177" s="87"/>
      <c r="AD177" s="87"/>
      <c r="AE177" s="87"/>
      <c r="AF177" s="87"/>
      <c r="AG177" s="87"/>
      <c r="AH177" s="102"/>
      <c r="AI177" s="87"/>
      <c r="AJ177" s="88"/>
      <c r="AK177" s="17"/>
      <c r="AL177" s="95"/>
      <c r="AM177" s="30"/>
      <c r="AN177" s="30"/>
      <c r="AO177" s="30"/>
      <c r="AP177" s="30"/>
      <c r="AQ177" s="87"/>
      <c r="AR177" s="94"/>
      <c r="AS177" s="87"/>
      <c r="AT177" s="30">
        <v>186</v>
      </c>
      <c r="AU177" s="84" t="str">
        <v>Mus Muliadi</v>
      </c>
      <c r="AV177" s="84" t="str">
        <v>(+62) 81370394443</v>
      </c>
      <c r="AW177" s="84" t="s">
        <v>177</v>
      </c>
      <c r="AX177" s="84" t="str">
        <v>ESSENTIAL UMUM</v>
      </c>
      <c r="AY177" s="84">
        <v>1399000</v>
      </c>
      <c r="AZ177" s="30">
        <f>IF(AW177="","", IF(   COUNTIF($S$2:$S$176, AW177) +   SUMPRODUCT(--ISNUMBER(SEARCH(LOWER(REGEXEXTRACT(TRIM(AW177),"^[^@]+")), LOWER(TRIM($BB$2:$BB$86))))) &gt; 0,   "SUDAH BAYAR","BELUM" ))</f>
      </c>
    </row>
    <row r="178">
      <c r="F178" s="87"/>
      <c r="G178" s="87"/>
      <c r="H178" s="87"/>
      <c r="I178" s="87"/>
      <c r="J178" s="87"/>
      <c r="K178" s="87"/>
      <c r="L178" s="87"/>
      <c r="M178" s="87"/>
      <c r="N178" s="87"/>
      <c r="O178" s="87"/>
      <c r="P178" s="87"/>
      <c r="Q178" s="87"/>
      <c r="R178" s="87"/>
      <c r="S178" s="99"/>
      <c r="T178" s="87"/>
      <c r="U178" s="87"/>
      <c r="V178" s="87"/>
      <c r="W178" s="87"/>
      <c r="X178" s="101"/>
      <c r="Y178" s="87"/>
      <c r="Z178" s="87"/>
      <c r="AA178" s="100"/>
      <c r="AB178" s="87"/>
      <c r="AC178" s="87"/>
      <c r="AD178" s="87"/>
      <c r="AE178" s="87"/>
      <c r="AF178" s="87"/>
      <c r="AG178" s="87"/>
      <c r="AH178" s="102"/>
      <c r="AI178" s="87"/>
      <c r="AJ178" s="103"/>
      <c r="AK178" s="87"/>
      <c r="AL178" s="87"/>
      <c r="AM178" s="87"/>
      <c r="AN178" s="87"/>
      <c r="AO178" s="87"/>
      <c r="AP178" s="87"/>
      <c r="AQ178" s="87"/>
      <c r="AR178" s="104"/>
      <c r="AS178" s="87"/>
      <c r="AT178" s="30">
        <v>187</v>
      </c>
      <c r="AU178" s="30" t="str">
        <v>Semeru al Ghazali yusup</v>
      </c>
      <c r="AV178" s="30" t="str">
        <v>(+62) 81295200280</v>
      </c>
      <c r="AW178" s="30" t="s">
        <v>193</v>
      </c>
      <c r="AX178" s="30" t="str">
        <v>ESSENTIAL MAHASISWA</v>
      </c>
      <c r="AY178" s="30">
        <v>1199000</v>
      </c>
      <c r="AZ178" s="30">
        <f>IF(AW178="","", IF(   COUNTIF($S$2:$S$176, AW178) +   SUMPRODUCT(--ISNUMBER(SEARCH(LOWER(REGEXEXTRACT(TRIM(AW178),"^[^@]+")), LOWER(TRIM($BB$2:$BB$86))))) &gt; 0,   "SUDAH BAYAR","BELUM" ))</f>
      </c>
    </row>
    <row r="179">
      <c r="F179" s="87"/>
      <c r="G179" s="87"/>
      <c r="H179" s="87"/>
      <c r="I179" s="87"/>
      <c r="J179" s="87"/>
      <c r="K179" s="87"/>
      <c r="L179" s="87"/>
      <c r="M179" s="87"/>
      <c r="N179" s="87"/>
      <c r="O179" s="87"/>
      <c r="P179" s="87"/>
      <c r="Q179" s="87"/>
      <c r="R179" s="87"/>
      <c r="S179" s="99"/>
      <c r="T179" s="87"/>
      <c r="U179" s="87"/>
      <c r="V179" s="87"/>
      <c r="W179" s="87"/>
      <c r="X179" s="101"/>
      <c r="Y179" s="87"/>
      <c r="Z179" s="87"/>
      <c r="AA179" s="100"/>
      <c r="AB179" s="87"/>
      <c r="AC179" s="87"/>
      <c r="AD179" s="87"/>
      <c r="AE179" s="87"/>
      <c r="AF179" s="87"/>
      <c r="AG179" s="87"/>
      <c r="AH179" s="102"/>
      <c r="AI179" s="87"/>
      <c r="AJ179" s="103"/>
      <c r="AK179" s="87"/>
      <c r="AL179" s="87"/>
      <c r="AM179" s="87"/>
      <c r="AN179" s="87"/>
      <c r="AO179" s="87"/>
      <c r="AP179" s="87"/>
      <c r="AQ179" s="87"/>
      <c r="AR179" s="104"/>
      <c r="AS179" s="87"/>
      <c r="AT179" s="30">
        <v>188</v>
      </c>
      <c r="AU179" s="30" t="str">
        <v>Zainal Arifin</v>
      </c>
      <c r="AV179" s="30" t="str">
        <v>(+62) 81524757990</v>
      </c>
      <c r="AW179" s="30" t="s">
        <v>182</v>
      </c>
      <c r="AX179" s="30" t="str">
        <v>ESSENTIAL MAHASISWA</v>
      </c>
      <c r="AY179" s="30">
        <v>1199000</v>
      </c>
      <c r="AZ179" s="30">
        <f>IF(AW179="","", IF(   COUNTIF($S$2:$S$176, AW179) +   SUMPRODUCT(--ISNUMBER(SEARCH(LOWER(REGEXEXTRACT(TRIM(AW179),"^[^@]+")), LOWER(TRIM($BB$2:$BB$86))))) &gt; 0,   "SUDAH BAYAR","BELUM" ))</f>
      </c>
    </row>
    <row r="180">
      <c r="F180" s="87"/>
      <c r="G180" s="87"/>
      <c r="H180" s="87"/>
      <c r="I180" s="87"/>
      <c r="J180" s="87"/>
      <c r="K180" s="87"/>
      <c r="L180" s="87"/>
      <c r="M180" s="87"/>
      <c r="N180" s="87"/>
      <c r="O180" s="87"/>
      <c r="P180" s="87"/>
      <c r="Q180" s="87"/>
      <c r="R180" s="87"/>
      <c r="S180" s="99"/>
      <c r="T180" s="87"/>
      <c r="U180" s="87"/>
      <c r="V180" s="87"/>
      <c r="W180" s="87"/>
      <c r="X180" s="101"/>
      <c r="Y180" s="87"/>
      <c r="Z180" s="87"/>
      <c r="AA180" s="100"/>
      <c r="AB180" s="87"/>
      <c r="AC180" s="87"/>
      <c r="AD180" s="87"/>
      <c r="AE180" s="87"/>
      <c r="AF180" s="87"/>
      <c r="AG180" s="87"/>
      <c r="AH180" s="102"/>
      <c r="AI180" s="87"/>
      <c r="AJ180" s="103"/>
      <c r="AK180" s="87"/>
      <c r="AL180" s="87"/>
      <c r="AM180" s="87"/>
      <c r="AN180" s="87"/>
      <c r="AO180" s="87"/>
      <c r="AP180" s="87"/>
      <c r="AQ180" s="87"/>
      <c r="AR180" s="104"/>
      <c r="AS180" s="87"/>
      <c r="AT180" s="30">
        <v>189</v>
      </c>
      <c r="AU180" s="84" t="str">
        <v>Tiara Alda Megapratiwi</v>
      </c>
      <c r="AV180" s="84" t="str">
        <v>(+62) 8788864606</v>
      </c>
      <c r="AW180" s="84" t="s">
        <v>186</v>
      </c>
      <c r="AX180" s="84" t="str">
        <v>ESSENTIAL UMUM</v>
      </c>
      <c r="AY180" s="84">
        <v>1399000</v>
      </c>
      <c r="AZ180" s="30">
        <f>IF(AW180="","", IF(   COUNTIF($S$2:$S$176, AW180) +   SUMPRODUCT(--ISNUMBER(SEARCH(LOWER(REGEXEXTRACT(TRIM(AW180),"^[^@]+")), LOWER(TRIM($BB$2:$BB$86))))) &gt; 0,   "SUDAH BAYAR","BELUM" ))</f>
      </c>
    </row>
    <row r="181">
      <c r="F181" s="87"/>
      <c r="G181" s="87"/>
      <c r="H181" s="87"/>
      <c r="I181" s="87"/>
      <c r="J181" s="87"/>
      <c r="K181" s="87"/>
      <c r="L181" s="87"/>
      <c r="M181" s="87"/>
      <c r="N181" s="87"/>
      <c r="O181" s="87"/>
      <c r="P181" s="87"/>
      <c r="Q181" s="87"/>
      <c r="R181" s="87"/>
      <c r="S181" s="99"/>
      <c r="T181" s="87"/>
      <c r="U181" s="87"/>
      <c r="V181" s="87"/>
      <c r="W181" s="87"/>
      <c r="X181" s="101"/>
      <c r="Y181" s="87"/>
      <c r="Z181" s="87"/>
      <c r="AA181" s="100"/>
      <c r="AB181" s="87"/>
      <c r="AC181" s="87"/>
      <c r="AD181" s="87"/>
      <c r="AE181" s="87"/>
      <c r="AF181" s="87"/>
      <c r="AG181" s="87"/>
      <c r="AH181" s="102"/>
      <c r="AI181" s="87"/>
      <c r="AJ181" s="103"/>
      <c r="AK181" s="87"/>
      <c r="AL181" s="87"/>
      <c r="AM181" s="87"/>
      <c r="AN181" s="87"/>
      <c r="AO181" s="87"/>
      <c r="AP181" s="87"/>
      <c r="AQ181" s="87"/>
      <c r="AR181" s="104"/>
      <c r="AS181" s="87"/>
      <c r="AT181" s="30">
        <v>190</v>
      </c>
      <c r="AU181" s="84" t="str">
        <v>Gregorius Sergio Guntur</v>
      </c>
      <c r="AV181" s="84" t="str">
        <v>(+62) 87718679360</v>
      </c>
      <c r="AW181" s="84" t="s">
        <v>175</v>
      </c>
      <c r="AX181" s="84" t="str">
        <v>ESSENTIAL MAHASISWA</v>
      </c>
      <c r="AY181" s="84">
        <v>1199000</v>
      </c>
      <c r="AZ181" s="30">
        <f>IF(AW181="","", IF(   COUNTIF($S$2:$S$176, AW181) +   SUMPRODUCT(--ISNUMBER(SEARCH(LOWER(REGEXEXTRACT(TRIM(AW181),"^[^@]+")), LOWER(TRIM($BB$2:$BB$86))))) &gt; 0,   "SUDAH BAYAR","BELUM" ))</f>
      </c>
    </row>
    <row r="182">
      <c r="F182" s="87"/>
      <c r="G182" s="87"/>
      <c r="H182" s="87"/>
      <c r="I182" s="87"/>
      <c r="J182" s="87"/>
      <c r="K182" s="87"/>
      <c r="L182" s="87"/>
      <c r="M182" s="87"/>
      <c r="N182" s="87"/>
      <c r="O182" s="87"/>
      <c r="P182" s="87"/>
      <c r="Q182" s="87"/>
      <c r="R182" s="87"/>
      <c r="S182" s="99"/>
      <c r="T182" s="87"/>
      <c r="U182" s="87"/>
      <c r="V182" s="87"/>
      <c r="W182" s="87"/>
      <c r="X182" s="101"/>
      <c r="Y182" s="87"/>
      <c r="Z182" s="87"/>
      <c r="AA182" s="100"/>
      <c r="AB182" s="87"/>
      <c r="AC182" s="87"/>
      <c r="AD182" s="87"/>
      <c r="AE182" s="87"/>
      <c r="AF182" s="87"/>
      <c r="AG182" s="87"/>
      <c r="AH182" s="102"/>
      <c r="AI182" s="87"/>
      <c r="AJ182" s="103"/>
      <c r="AK182" s="87"/>
      <c r="AL182" s="87"/>
      <c r="AM182" s="87"/>
      <c r="AN182" s="87"/>
      <c r="AO182" s="87"/>
      <c r="AP182" s="87"/>
      <c r="AQ182" s="87"/>
      <c r="AR182" s="104"/>
      <c r="AS182" s="87"/>
      <c r="AT182" s="30"/>
      <c r="AU182" s="84"/>
      <c r="AV182" s="84"/>
      <c r="AW182" s="84"/>
      <c r="AX182" s="84"/>
      <c r="AY182" s="84"/>
      <c r="AZ182" s="30"/>
    </row>
    <row r="183">
      <c r="F183" s="87"/>
      <c r="G183" s="87"/>
      <c r="H183" s="87"/>
      <c r="I183" s="87"/>
      <c r="J183" s="87"/>
      <c r="K183" s="87"/>
      <c r="L183" s="87"/>
      <c r="M183" s="87"/>
      <c r="N183" s="87"/>
      <c r="O183" s="87"/>
      <c r="P183" s="87"/>
      <c r="Q183" s="87"/>
      <c r="R183" s="87"/>
      <c r="S183" s="99"/>
      <c r="T183" s="87"/>
      <c r="U183" s="87"/>
      <c r="V183" s="87"/>
      <c r="W183" s="87"/>
      <c r="X183" s="101"/>
      <c r="Y183" s="87"/>
      <c r="Z183" s="87"/>
      <c r="AA183" s="100"/>
      <c r="AB183" s="87"/>
      <c r="AC183" s="87"/>
      <c r="AD183" s="87"/>
      <c r="AE183" s="87"/>
      <c r="AF183" s="87"/>
      <c r="AG183" s="87"/>
      <c r="AH183" s="102"/>
      <c r="AI183" s="87"/>
      <c r="AJ183" s="103"/>
      <c r="AK183" s="87"/>
      <c r="AL183" s="87"/>
      <c r="AM183" s="87"/>
      <c r="AN183" s="87"/>
      <c r="AO183" s="87"/>
      <c r="AP183" s="87"/>
      <c r="AQ183" s="87"/>
      <c r="AR183" s="104"/>
      <c r="AS183" s="87"/>
      <c r="AT183" s="30">
        <v>192</v>
      </c>
      <c r="AU183" s="84" t="str">
        <v>Muhammad Arief Purnomo</v>
      </c>
      <c r="AV183" s="84" t="str">
        <v>(+62) 89667314700</v>
      </c>
      <c r="AW183" s="84" t="s">
        <v>166</v>
      </c>
      <c r="AX183" s="84" t="str">
        <v>ESSENTIAL MAHASISWA</v>
      </c>
      <c r="AY183" s="84">
        <v>1199000</v>
      </c>
      <c r="AZ183" s="30">
        <f>IF(AW183="","", IF(   COUNTIF($S$2:$S$176, AW183) +   SUMPRODUCT(--ISNUMBER(SEARCH(LOWER(REGEXEXTRACT(TRIM(AW183),"^[^@]+")), LOWER(TRIM($BB$2:$BB$86))))) &gt; 0,   "SUDAH BAYAR","BELUM" ))</f>
      </c>
    </row>
    <row r="184">
      <c r="F184" s="87"/>
      <c r="G184" s="87"/>
      <c r="H184" s="87"/>
      <c r="I184" s="87"/>
      <c r="J184" s="87"/>
      <c r="K184" s="87"/>
      <c r="L184" s="87"/>
      <c r="M184" s="87"/>
      <c r="N184" s="87"/>
      <c r="O184" s="87"/>
      <c r="P184" s="87"/>
      <c r="Q184" s="87"/>
      <c r="R184" s="87"/>
      <c r="S184" s="99"/>
      <c r="T184" s="87"/>
      <c r="U184" s="87"/>
      <c r="V184" s="87"/>
      <c r="W184" s="87"/>
      <c r="X184" s="101"/>
      <c r="Y184" s="87"/>
      <c r="Z184" s="87"/>
      <c r="AA184" s="100"/>
      <c r="AB184" s="87"/>
      <c r="AC184" s="87"/>
      <c r="AD184" s="87"/>
      <c r="AE184" s="87"/>
      <c r="AF184" s="87"/>
      <c r="AG184" s="87"/>
      <c r="AH184" s="102"/>
      <c r="AI184" s="87"/>
      <c r="AJ184" s="103"/>
      <c r="AK184" s="87"/>
      <c r="AL184" s="87"/>
      <c r="AM184" s="87"/>
      <c r="AN184" s="87"/>
      <c r="AO184" s="87"/>
      <c r="AP184" s="87"/>
      <c r="AQ184" s="87"/>
      <c r="AR184" s="104"/>
      <c r="AS184" s="87"/>
      <c r="AT184" s="30"/>
      <c r="AU184" s="84"/>
      <c r="AV184" s="84"/>
      <c r="AW184" s="84"/>
      <c r="AX184" s="84"/>
      <c r="AY184" s="84"/>
      <c r="AZ184" s="30"/>
    </row>
    <row r="185">
      <c r="F185" s="87"/>
      <c r="G185" s="87"/>
      <c r="H185" s="87"/>
      <c r="I185" s="87"/>
      <c r="J185" s="87"/>
      <c r="K185" s="87"/>
      <c r="L185" s="87"/>
      <c r="M185" s="87"/>
      <c r="N185" s="87"/>
      <c r="O185" s="87"/>
      <c r="P185" s="87"/>
      <c r="Q185" s="87"/>
      <c r="R185" s="87"/>
      <c r="S185" s="99"/>
      <c r="T185" s="87"/>
      <c r="U185" s="87"/>
      <c r="V185" s="87"/>
      <c r="W185" s="87"/>
      <c r="X185" s="101"/>
      <c r="Y185" s="87"/>
      <c r="Z185" s="87"/>
      <c r="AA185" s="100"/>
      <c r="AB185" s="87"/>
      <c r="AC185" s="87"/>
      <c r="AD185" s="87"/>
      <c r="AE185" s="87"/>
      <c r="AF185" s="87"/>
      <c r="AG185" s="87"/>
      <c r="AH185" s="102"/>
      <c r="AI185" s="87"/>
      <c r="AJ185" s="103"/>
      <c r="AK185" s="87"/>
      <c r="AL185" s="87"/>
      <c r="AM185" s="87"/>
      <c r="AN185" s="87"/>
      <c r="AO185" s="87"/>
      <c r="AP185" s="87"/>
      <c r="AQ185" s="87"/>
      <c r="AR185" s="104"/>
      <c r="AS185" s="87"/>
      <c r="AT185" s="30"/>
      <c r="AU185" s="84"/>
      <c r="AV185" s="84"/>
      <c r="AW185" s="84"/>
      <c r="AX185" s="84"/>
      <c r="AY185" s="84"/>
      <c r="AZ185" s="30"/>
    </row>
    <row r="186">
      <c r="F186" s="87"/>
      <c r="G186" s="87"/>
      <c r="H186" s="87"/>
      <c r="I186" s="87"/>
      <c r="J186" s="87"/>
      <c r="K186" s="87"/>
      <c r="L186" s="87"/>
      <c r="M186" s="87"/>
      <c r="N186" s="87"/>
      <c r="O186" s="87"/>
      <c r="P186" s="87"/>
      <c r="Q186" s="87"/>
      <c r="R186" s="87"/>
      <c r="S186" s="99"/>
      <c r="T186" s="87"/>
      <c r="U186" s="87"/>
      <c r="V186" s="87"/>
      <c r="W186" s="87"/>
      <c r="X186" s="101"/>
      <c r="Y186" s="87"/>
      <c r="Z186" s="87"/>
      <c r="AA186" s="100"/>
      <c r="AB186" s="87"/>
      <c r="AC186" s="87"/>
      <c r="AD186" s="87"/>
      <c r="AE186" s="87"/>
      <c r="AF186" s="87"/>
      <c r="AG186" s="87"/>
      <c r="AH186" s="102"/>
      <c r="AI186" s="87"/>
      <c r="AJ186" s="103"/>
      <c r="AK186" s="87"/>
      <c r="AL186" s="87"/>
      <c r="AM186" s="87"/>
      <c r="AN186" s="87"/>
      <c r="AO186" s="87"/>
      <c r="AP186" s="87"/>
      <c r="AQ186" s="87"/>
      <c r="AR186" s="104"/>
      <c r="AS186" s="87"/>
      <c r="AT186" s="30">
        <v>195</v>
      </c>
      <c r="AU186" s="84"/>
      <c r="AV186" s="84"/>
      <c r="AW186" s="84"/>
      <c r="AX186" s="84"/>
      <c r="AY186" s="84"/>
      <c r="AZ186" s="30">
        <f>IF(AW186="","", IF(   COUNTIF($S$2:$S$176, AW186) +   SUMPRODUCT(--ISNUMBER(SEARCH(LOWER(REGEXEXTRACT(TRIM(AW186),"^[^@]+")), LOWER(TRIM($BB$2:$BB$86))))) &gt; 0,   "SUDAH BAYAR","BELUM" ))</f>
      </c>
      <c r="BA186" s="130"/>
    </row>
    <row r="187">
      <c r="F187" s="87"/>
      <c r="G187" s="87"/>
      <c r="H187" s="87"/>
      <c r="I187" s="87"/>
      <c r="J187" s="87"/>
      <c r="K187" s="87"/>
      <c r="L187" s="87"/>
      <c r="M187" s="87"/>
      <c r="N187" s="87"/>
      <c r="O187" s="87"/>
      <c r="P187" s="87"/>
      <c r="Q187" s="87"/>
      <c r="R187" s="87"/>
      <c r="S187" s="99"/>
      <c r="T187" s="87"/>
      <c r="U187" s="87"/>
      <c r="V187" s="87"/>
      <c r="W187" s="87"/>
      <c r="X187" s="101"/>
      <c r="Y187" s="87"/>
      <c r="Z187" s="87"/>
      <c r="AA187" s="100"/>
      <c r="AB187" s="87"/>
      <c r="AC187" s="87"/>
      <c r="AD187" s="87"/>
      <c r="AE187" s="87"/>
      <c r="AF187" s="87"/>
      <c r="AG187" s="87"/>
      <c r="AH187" s="102"/>
      <c r="AI187" s="87"/>
      <c r="AJ187" s="103"/>
      <c r="AK187" s="87"/>
      <c r="AL187" s="87"/>
      <c r="AM187" s="87"/>
      <c r="AN187" s="87"/>
      <c r="AO187" s="87"/>
      <c r="AP187" s="87"/>
      <c r="AQ187" s="87"/>
      <c r="AR187" s="104"/>
      <c r="AS187" s="87"/>
      <c r="AT187" s="30">
        <v>196</v>
      </c>
      <c r="AU187" s="84" t="str">
        <v>Angelina Rubi Kirana</v>
      </c>
      <c r="AV187" s="84" t="str">
        <v>(+62) 89636064160</v>
      </c>
      <c r="AW187" s="84" t="s">
        <v>210</v>
      </c>
      <c r="AX187" s="84" t="str">
        <v>ESSENTIAL MAHASISWA</v>
      </c>
      <c r="AY187" s="84">
        <v>1199000</v>
      </c>
      <c r="AZ187" s="30">
        <f>IF(AW187="","", IF(   COUNTIF($S$2:$S$176, AW187) +   SUMPRODUCT(--ISNUMBER(SEARCH(LOWER(REGEXEXTRACT(TRIM(AW187),"^[^@]+")), LOWER(TRIM($BB$2:$BB$86))))) &gt; 0,   "SUDAH BAYAR","BELUM" ))</f>
      </c>
      <c r="BA187" s="130"/>
    </row>
    <row r="188">
      <c r="F188" s="87"/>
      <c r="G188" s="87"/>
      <c r="H188" s="87"/>
      <c r="I188" s="87"/>
      <c r="J188" s="87"/>
      <c r="K188" s="87"/>
      <c r="L188" s="87"/>
      <c r="M188" s="87"/>
      <c r="N188" s="87"/>
      <c r="O188" s="87"/>
      <c r="P188" s="87"/>
      <c r="Q188" s="87"/>
      <c r="R188" s="87"/>
      <c r="S188" s="99"/>
      <c r="T188" s="87"/>
      <c r="U188" s="87"/>
      <c r="V188" s="87"/>
      <c r="W188" s="87"/>
      <c r="X188" s="101"/>
      <c r="Y188" s="87"/>
      <c r="Z188" s="87"/>
      <c r="AA188" s="100"/>
      <c r="AB188" s="87"/>
      <c r="AC188" s="87"/>
      <c r="AD188" s="87"/>
      <c r="AE188" s="87"/>
      <c r="AF188" s="87"/>
      <c r="AG188" s="87"/>
      <c r="AH188" s="102"/>
      <c r="AI188" s="87"/>
      <c r="AJ188" s="103"/>
      <c r="AK188" s="87"/>
      <c r="AL188" s="87"/>
      <c r="AM188" s="87"/>
      <c r="AN188" s="87"/>
      <c r="AO188" s="87"/>
      <c r="AP188" s="87"/>
      <c r="AQ188" s="87"/>
      <c r="AR188" s="104"/>
      <c r="AS188" s="87"/>
      <c r="AT188" s="30">
        <v>197</v>
      </c>
      <c r="AU188" s="84" t="str">
        <v>Alifah Hanif</v>
      </c>
      <c r="AV188" s="84" t="str">
        <v>(+62) 82329105991</v>
      </c>
      <c r="AW188" s="84" t="s">
        <v>214</v>
      </c>
      <c r="AX188" s="84" t="str">
        <v>ESSENTIAL UMUM</v>
      </c>
      <c r="AY188" s="84">
        <v>1399000</v>
      </c>
      <c r="AZ188" s="30">
        <f>IF(AW188="","", IF(   COUNTIF($S$2:$S$176, AW188) +   SUMPRODUCT(--ISNUMBER(SEARCH(LOWER(REGEXEXTRACT(TRIM(AW188),"^[^@]+")), LOWER(TRIM($BB$2:$BB$86))))) &gt; 0,   "SUDAH BAYAR","BELUM" ))</f>
      </c>
      <c r="BA188" s="130" t="str">
        <v>REFERRAL - MAPID IMAM</v>
      </c>
    </row>
    <row r="189">
      <c r="F189" s="87"/>
      <c r="G189" s="87"/>
      <c r="H189" s="87"/>
      <c r="I189" s="87"/>
      <c r="J189" s="87"/>
      <c r="K189" s="87"/>
      <c r="L189" s="87"/>
      <c r="M189" s="87"/>
      <c r="N189" s="87"/>
      <c r="O189" s="87"/>
      <c r="P189" s="87"/>
      <c r="Q189" s="87"/>
      <c r="R189" s="87"/>
      <c r="S189" s="99"/>
      <c r="T189" s="87"/>
      <c r="U189" s="87"/>
      <c r="V189" s="87"/>
      <c r="W189" s="87"/>
      <c r="X189" s="101"/>
      <c r="Y189" s="87"/>
      <c r="Z189" s="87"/>
      <c r="AA189" s="100"/>
      <c r="AB189" s="87"/>
      <c r="AC189" s="87"/>
      <c r="AD189" s="87"/>
      <c r="AE189" s="87"/>
      <c r="AF189" s="87"/>
      <c r="AG189" s="87"/>
      <c r="AH189" s="102"/>
      <c r="AI189" s="87"/>
      <c r="AJ189" s="103"/>
      <c r="AK189" s="87"/>
      <c r="AL189" s="87"/>
      <c r="AM189" s="87"/>
      <c r="AN189" s="87"/>
      <c r="AO189" s="87"/>
      <c r="AP189" s="87"/>
      <c r="AQ189" s="87"/>
      <c r="AR189" s="104"/>
      <c r="AS189" s="87"/>
      <c r="AT189" s="30">
        <v>198</v>
      </c>
      <c r="AU189" s="84" t="str">
        <v>Nugroho adi kurniawan</v>
      </c>
      <c r="AV189" s="84" t="str">
        <v>(+62) 85643471461</v>
      </c>
      <c r="AW189" s="84" t="s">
        <v>202</v>
      </c>
      <c r="AX189" s="84" t="str">
        <v>ESSENTIAL UMUM</v>
      </c>
      <c r="AY189" s="84">
        <v>1399000</v>
      </c>
      <c r="AZ189" s="30">
        <f>IF(AW189="","", IF(   COUNTIF($S$2:$S$176, AW189) +   SUMPRODUCT(--ISNUMBER(SEARCH(LOWER(REGEXEXTRACT(TRIM(AW189),"^[^@]+")), LOWER(TRIM($BB$2:$BB$86))))) &gt; 0,   "SUDAH BAYAR","BELUM" ))</f>
      </c>
      <c r="BA189" s="130"/>
    </row>
    <row r="190">
      <c r="F190" s="87"/>
      <c r="G190" s="87"/>
      <c r="H190" s="87"/>
      <c r="I190" s="87"/>
      <c r="J190" s="87"/>
      <c r="K190" s="87"/>
      <c r="L190" s="87"/>
      <c r="M190" s="87"/>
      <c r="N190" s="87"/>
      <c r="O190" s="87"/>
      <c r="P190" s="87"/>
      <c r="Q190" s="87"/>
      <c r="R190" s="87"/>
      <c r="S190" s="99"/>
      <c r="T190" s="87"/>
      <c r="U190" s="87"/>
      <c r="V190" s="87"/>
      <c r="W190" s="87"/>
      <c r="X190" s="101"/>
      <c r="Y190" s="87"/>
      <c r="Z190" s="87"/>
      <c r="AA190" s="100"/>
      <c r="AB190" s="87"/>
      <c r="AC190" s="87"/>
      <c r="AD190" s="87"/>
      <c r="AE190" s="87"/>
      <c r="AF190" s="87"/>
      <c r="AG190" s="87"/>
      <c r="AH190" s="102"/>
      <c r="AI190" s="87"/>
      <c r="AJ190" s="103"/>
      <c r="AK190" s="87"/>
      <c r="AL190" s="87"/>
      <c r="AM190" s="87"/>
      <c r="AN190" s="87"/>
      <c r="AO190" s="87"/>
      <c r="AP190" s="87"/>
      <c r="AQ190" s="87"/>
      <c r="AR190" s="104"/>
      <c r="AS190" s="87"/>
      <c r="AT190" s="30">
        <v>199</v>
      </c>
      <c r="AU190" s="84" t="str">
        <v>Muhammad Hafidh Setiawan</v>
      </c>
      <c r="AV190" s="84" t="str">
        <v>(+62) 8974747040</v>
      </c>
      <c r="AW190" s="84" t="s">
        <v>206</v>
      </c>
      <c r="AX190" s="84" t="str">
        <v>ESSENTIAL UMUM</v>
      </c>
      <c r="AY190" s="84">
        <v>1399000</v>
      </c>
      <c r="AZ190" s="30">
        <f>IF(AW190="","", IF(   COUNTIF($S$2:$S$176, AW190) +   SUMPRODUCT(--ISNUMBER(SEARCH(LOWER(REGEXEXTRACT(TRIM(AW190),"^[^@]+")), LOWER(TRIM($BB$2:$BB$86))))) &gt; 0,   "SUDAH BAYAR","BELUM" ))</f>
      </c>
      <c r="BA190" s="130"/>
    </row>
    <row r="191">
      <c r="F191" s="87"/>
      <c r="G191" s="87"/>
      <c r="H191" s="87"/>
      <c r="I191" s="87"/>
      <c r="J191" s="87"/>
      <c r="K191" s="87"/>
      <c r="L191" s="87"/>
      <c r="M191" s="87"/>
      <c r="N191" s="87"/>
      <c r="O191" s="87"/>
      <c r="P191" s="87"/>
      <c r="Q191" s="87"/>
      <c r="R191" s="87"/>
      <c r="S191" s="99"/>
      <c r="T191" s="87"/>
      <c r="U191" s="87"/>
      <c r="V191" s="87"/>
      <c r="W191" s="87"/>
      <c r="X191" s="101"/>
      <c r="Y191" s="87"/>
      <c r="Z191" s="87"/>
      <c r="AA191" s="100"/>
      <c r="AB191" s="87"/>
      <c r="AC191" s="87"/>
      <c r="AD191" s="87"/>
      <c r="AE191" s="87"/>
      <c r="AF191" s="87"/>
      <c r="AG191" s="87"/>
      <c r="AH191" s="102"/>
      <c r="AI191" s="87"/>
      <c r="AJ191" s="103"/>
      <c r="AK191" s="87"/>
      <c r="AL191" s="87"/>
      <c r="AM191" s="87"/>
      <c r="AN191" s="87"/>
      <c r="AO191" s="87"/>
      <c r="AP191" s="87"/>
      <c r="AQ191" s="87"/>
      <c r="AR191" s="104"/>
      <c r="AS191" s="87"/>
      <c r="AT191" s="30">
        <v>200</v>
      </c>
      <c r="AU191" s="84" t="str">
        <v>Arief Fauzy Saptari</v>
      </c>
      <c r="AV191" s="84" t="str">
        <v>(+62) 85156836911</v>
      </c>
      <c r="AW191" s="84" t="s">
        <v>196</v>
      </c>
      <c r="AX191" s="84" t="str">
        <v>ESSENTIAL UMUM</v>
      </c>
      <c r="AY191" s="84">
        <v>1399000</v>
      </c>
      <c r="AZ191" s="30">
        <f>IF(AW191="","", IF(   COUNTIF($S$2:$S$176, AW191) +   SUMPRODUCT(--ISNUMBER(SEARCH(LOWER(REGEXEXTRACT(TRIM(AW191),"^[^@]+")), LOWER(TRIM($BB$2:$BB$86))))) &gt; 0,   "SUDAH BAYAR","BELUM" ))</f>
      </c>
      <c r="BA191" s="130"/>
    </row>
    <row r="192">
      <c r="F192" s="87"/>
      <c r="G192" s="87"/>
      <c r="H192" s="87"/>
      <c r="I192" s="87"/>
      <c r="J192" s="87"/>
      <c r="K192" s="87"/>
      <c r="L192" s="87"/>
      <c r="M192" s="87"/>
      <c r="N192" s="87"/>
      <c r="O192" s="87"/>
      <c r="P192" s="87"/>
      <c r="Q192" s="87"/>
      <c r="R192" s="87"/>
      <c r="S192" s="99"/>
      <c r="T192" s="87"/>
      <c r="U192" s="87"/>
      <c r="V192" s="87"/>
      <c r="W192" s="87"/>
      <c r="X192" s="101"/>
      <c r="Y192" s="87"/>
      <c r="Z192" s="87"/>
      <c r="AA192" s="100"/>
      <c r="AB192" s="87"/>
      <c r="AC192" s="87"/>
      <c r="AD192" s="87"/>
      <c r="AE192" s="87"/>
      <c r="AF192" s="87"/>
      <c r="AG192" s="87"/>
      <c r="AH192" s="102"/>
      <c r="AI192" s="87"/>
      <c r="AJ192" s="103"/>
      <c r="AK192" s="87"/>
      <c r="AL192" s="87"/>
      <c r="AM192" s="87"/>
      <c r="AN192" s="87"/>
      <c r="AO192" s="87"/>
      <c r="AP192" s="87"/>
      <c r="AQ192" s="87"/>
      <c r="AR192" s="104"/>
      <c r="AS192" s="87"/>
      <c r="AT192" s="30">
        <v>201</v>
      </c>
      <c r="AU192" s="131" t="str">
        <v>EKA MUHAMMAD R</v>
      </c>
      <c r="AV192" s="131" t="str">
        <v>(+62) 82224000030</v>
      </c>
      <c r="AW192" s="131" t="s">
        <v>200</v>
      </c>
      <c r="AX192" s="131" t="str">
        <v>ESSENSIAL MAHASISWA</v>
      </c>
      <c r="AY192" s="106">
        <v>999000</v>
      </c>
      <c r="AZ192" s="30">
        <f>IF(AW192="","", IF(   COUNTIF($S$2:$S$176, AW192) +   SUMPRODUCT(--ISNUMBER(SEARCH(LOWER(REGEXEXTRACT(TRIM(AW192),"^[^@]+")), LOWER(TRIM($BB$2:$BB$86))))) &gt; 0,   "SUDAH BAYAR","BELUM" ))</f>
      </c>
      <c r="BA192" s="130"/>
    </row>
    <row r="193">
      <c r="F193" s="87"/>
      <c r="G193" s="87"/>
      <c r="H193" s="87"/>
      <c r="I193" s="87"/>
      <c r="J193" s="87"/>
      <c r="K193" s="87"/>
      <c r="L193" s="87"/>
      <c r="M193" s="87"/>
      <c r="N193" s="87"/>
      <c r="O193" s="87"/>
      <c r="P193" s="87"/>
      <c r="Q193" s="87"/>
      <c r="R193" s="87"/>
      <c r="S193" s="99"/>
      <c r="T193" s="87"/>
      <c r="U193" s="87"/>
      <c r="V193" s="87"/>
      <c r="W193" s="87"/>
      <c r="X193" s="101"/>
      <c r="Y193" s="87"/>
      <c r="Z193" s="87"/>
      <c r="AA193" s="100"/>
      <c r="AB193" s="87"/>
      <c r="AC193" s="87"/>
      <c r="AD193" s="87"/>
      <c r="AE193" s="87"/>
      <c r="AF193" s="87"/>
      <c r="AG193" s="87"/>
      <c r="AH193" s="102"/>
      <c r="AI193" s="87"/>
      <c r="AJ193" s="103"/>
      <c r="AK193" s="87"/>
      <c r="AL193" s="87"/>
      <c r="AM193" s="87"/>
      <c r="AN193" s="87"/>
      <c r="AO193" s="87"/>
      <c r="AP193" s="87"/>
      <c r="AQ193" s="87"/>
      <c r="AR193" s="104"/>
      <c r="AS193" s="87"/>
      <c r="AT193" s="30">
        <v>202</v>
      </c>
      <c r="AU193" s="84" t="str">
        <v>Alfandy Rafliansyah Subingat</v>
      </c>
      <c r="AV193" s="84" t="str">
        <v>(+62) 82257990411</v>
      </c>
      <c r="AW193" s="84" t="s">
        <v>272</v>
      </c>
      <c r="AX193" s="84" t="str">
        <v>ESSENTIAL UMUM</v>
      </c>
      <c r="AY193" s="84">
        <v>1399000</v>
      </c>
      <c r="AZ193" s="30">
        <f>IF(AW193="","", IF(   COUNTIF($S$2:$S$176, AW193) +   SUMPRODUCT(--ISNUMBER(SEARCH(LOWER(REGEXEXTRACT(TRIM(AW193),"^[^@]+")), LOWER(TRIM($BB$2:$BB$86))))) &gt; 0,   "SUDAH BAYAR","BELUM" ))</f>
      </c>
      <c r="BA193" s="132" t="str">
        <v>CASHBACK 50K - FREECLASS</v>
      </c>
      <c r="BB193" s="84"/>
      <c r="BC193" s="84"/>
      <c r="BD193" s="84"/>
      <c r="BE193" s="84"/>
      <c r="BF193" s="84"/>
    </row>
    <row r="194">
      <c r="F194" s="87"/>
      <c r="G194" s="87"/>
      <c r="H194" s="87"/>
      <c r="I194" s="87"/>
      <c r="J194" s="87"/>
      <c r="K194" s="87"/>
      <c r="L194" s="87"/>
      <c r="M194" s="87"/>
      <c r="N194" s="87"/>
      <c r="O194" s="87"/>
      <c r="P194" s="87"/>
      <c r="Q194" s="87"/>
      <c r="R194" s="87"/>
      <c r="S194" s="99"/>
      <c r="T194" s="87"/>
      <c r="U194" s="87"/>
      <c r="V194" s="87"/>
      <c r="W194" s="87"/>
      <c r="X194" s="101"/>
      <c r="Y194" s="87"/>
      <c r="Z194" s="87"/>
      <c r="AA194" s="100"/>
      <c r="AB194" s="87"/>
      <c r="AC194" s="87"/>
      <c r="AD194" s="87"/>
      <c r="AE194" s="87"/>
      <c r="AF194" s="87"/>
      <c r="AG194" s="87"/>
      <c r="AH194" s="102"/>
      <c r="AI194" s="87"/>
      <c r="AJ194" s="103"/>
      <c r="AK194" s="87"/>
      <c r="AL194" s="87"/>
      <c r="AM194" s="87"/>
      <c r="AN194" s="87"/>
      <c r="AO194" s="87"/>
      <c r="AP194" s="87"/>
      <c r="AQ194" s="87"/>
      <c r="AR194" s="104"/>
      <c r="AS194" s="87"/>
      <c r="AT194" s="30">
        <v>203</v>
      </c>
      <c r="AU194" s="84" t="str">
        <v>Dela Bintang Wulandari</v>
      </c>
      <c r="AV194" s="84" t="str">
        <v>(+62) 89617465444</v>
      </c>
      <c r="AW194" s="84" t="s">
        <v>276</v>
      </c>
      <c r="AX194" s="84" t="str">
        <v>ESSENTIAL MAHASISWA</v>
      </c>
      <c r="AY194" s="84">
        <v>1199000</v>
      </c>
      <c r="AZ194" s="30">
        <f>IF(AW194="","", IF(   COUNTIF($S$2:$S$176, AW194) +   SUMPRODUCT(--ISNUMBER(SEARCH(LOWER(REGEXEXTRACT(TRIM(AW194),"^[^@]+")), LOWER(TRIM($BB$2:$BB$86))))) &gt; 0,   "SUDAH BAYAR","BELUM" ))</f>
      </c>
      <c r="BA194" s="134"/>
      <c r="BB194" s="84"/>
      <c r="BC194" s="84"/>
      <c r="BD194" s="84"/>
      <c r="BE194" s="84"/>
      <c r="BF194" s="84"/>
    </row>
    <row r="195">
      <c r="F195" s="87"/>
      <c r="G195" s="87"/>
      <c r="H195" s="87"/>
      <c r="I195" s="87"/>
      <c r="J195" s="87"/>
      <c r="K195" s="87"/>
      <c r="L195" s="87"/>
      <c r="M195" s="87"/>
      <c r="N195" s="87"/>
      <c r="O195" s="87"/>
      <c r="P195" s="87"/>
      <c r="Q195" s="87"/>
      <c r="R195" s="87"/>
      <c r="S195" s="99"/>
      <c r="T195" s="87"/>
      <c r="U195" s="87"/>
      <c r="V195" s="87"/>
      <c r="W195" s="87"/>
      <c r="X195" s="101"/>
      <c r="Y195" s="87"/>
      <c r="Z195" s="87"/>
      <c r="AA195" s="100"/>
      <c r="AB195" s="87"/>
      <c r="AC195" s="87"/>
      <c r="AD195" s="87"/>
      <c r="AE195" s="87"/>
      <c r="AF195" s="87"/>
      <c r="AG195" s="87"/>
      <c r="AH195" s="102"/>
      <c r="AI195" s="87"/>
      <c r="AJ195" s="103"/>
      <c r="AK195" s="87"/>
      <c r="AL195" s="87"/>
      <c r="AM195" s="87"/>
      <c r="AN195" s="87"/>
      <c r="AO195" s="87"/>
      <c r="AP195" s="87"/>
      <c r="AQ195" s="87"/>
      <c r="AR195" s="104"/>
      <c r="AS195" s="87"/>
      <c r="AT195" s="30">
        <v>204</v>
      </c>
      <c r="AU195" s="84" t="str">
        <v>Amanda Maika Mardjano</v>
      </c>
      <c r="AV195" s="84" t="str">
        <v>(+62) 81333793733</v>
      </c>
      <c r="AW195" s="84" t="s">
        <v>258</v>
      </c>
      <c r="AX195" s="84" t="str">
        <v>ESSENTIAL MAHASISWA</v>
      </c>
      <c r="AY195" s="84">
        <v>1199000</v>
      </c>
      <c r="AZ195" s="30">
        <f>IF(AW195="","", IF(   COUNTIF($S$2:$S$176, AW195) +   SUMPRODUCT(--ISNUMBER(SEARCH(LOWER(REGEXEXTRACT(TRIM(AW195),"^[^@]+")), LOWER(TRIM($BB$2:$BB$86))))) &gt; 0,   "SUDAH BAYAR","BELUM" ))</f>
      </c>
      <c r="BA195" s="134"/>
      <c r="BB195" s="84"/>
      <c r="BC195" s="84"/>
      <c r="BD195" s="84"/>
      <c r="BE195" s="84"/>
      <c r="BF195" s="84"/>
    </row>
    <row r="196">
      <c r="F196" s="87"/>
      <c r="G196" s="87"/>
      <c r="H196" s="87"/>
      <c r="I196" s="87"/>
      <c r="J196" s="87"/>
      <c r="K196" s="87"/>
      <c r="L196" s="87"/>
      <c r="M196" s="87"/>
      <c r="N196" s="87"/>
      <c r="O196" s="87"/>
      <c r="P196" s="87"/>
      <c r="Q196" s="87"/>
      <c r="R196" s="87"/>
      <c r="S196" s="99"/>
      <c r="T196" s="87"/>
      <c r="U196" s="87"/>
      <c r="V196" s="87"/>
      <c r="W196" s="87"/>
      <c r="X196" s="101"/>
      <c r="Y196" s="87"/>
      <c r="Z196" s="87"/>
      <c r="AA196" s="100"/>
      <c r="AB196" s="87"/>
      <c r="AC196" s="87"/>
      <c r="AD196" s="87"/>
      <c r="AE196" s="87"/>
      <c r="AF196" s="87"/>
      <c r="AG196" s="87"/>
      <c r="AH196" s="102"/>
      <c r="AI196" s="87"/>
      <c r="AJ196" s="103"/>
      <c r="AK196" s="87"/>
      <c r="AL196" s="87"/>
      <c r="AM196" s="87"/>
      <c r="AN196" s="87"/>
      <c r="AO196" s="87"/>
      <c r="AP196" s="87"/>
      <c r="AQ196" s="87"/>
      <c r="AR196" s="104"/>
      <c r="AS196" s="87"/>
      <c r="AT196" s="30"/>
      <c r="AU196" s="84"/>
      <c r="AV196" s="84"/>
      <c r="AW196" s="84"/>
      <c r="AX196" s="84"/>
      <c r="AY196" s="84"/>
      <c r="AZ196" s="30">
        <f>IF(AW196="","", IF(   COUNTIF($S$2:$S$176, AW196) +   SUMPRODUCT(--ISNUMBER(SEARCH(LOWER(REGEXEXTRACT(TRIM(AW196),"^[^@]+")), LOWER(TRIM($BB$2:$BB$86))))) &gt; 0,   "SUDAH BAYAR","BELUM" ))</f>
      </c>
      <c r="BA196" s="134"/>
      <c r="BB196" s="84"/>
      <c r="BC196" s="84"/>
      <c r="BD196" s="84"/>
      <c r="BE196" s="84"/>
      <c r="BF196" s="84"/>
    </row>
    <row r="197">
      <c r="F197" s="87"/>
      <c r="G197" s="87"/>
      <c r="H197" s="87"/>
      <c r="I197" s="87"/>
      <c r="J197" s="87"/>
      <c r="K197" s="87"/>
      <c r="L197" s="87"/>
      <c r="M197" s="87"/>
      <c r="N197" s="87"/>
      <c r="O197" s="87"/>
      <c r="P197" s="87"/>
      <c r="Q197" s="87"/>
      <c r="R197" s="87"/>
      <c r="S197" s="99"/>
      <c r="T197" s="87"/>
      <c r="U197" s="87"/>
      <c r="V197" s="87"/>
      <c r="W197" s="87"/>
      <c r="X197" s="101"/>
      <c r="Y197" s="87"/>
      <c r="Z197" s="87"/>
      <c r="AA197" s="100"/>
      <c r="AB197" s="87"/>
      <c r="AC197" s="87"/>
      <c r="AD197" s="87"/>
      <c r="AE197" s="87"/>
      <c r="AF197" s="87"/>
      <c r="AG197" s="87"/>
      <c r="AH197" s="102"/>
      <c r="AI197" s="87"/>
      <c r="AJ197" s="103"/>
      <c r="AK197" s="87"/>
      <c r="AL197" s="87"/>
      <c r="AM197" s="87"/>
      <c r="AN197" s="87"/>
      <c r="AO197" s="87"/>
      <c r="AP197" s="87"/>
      <c r="AQ197" s="87"/>
      <c r="AR197" s="104"/>
      <c r="AS197" s="87"/>
      <c r="AT197" s="30">
        <v>206</v>
      </c>
      <c r="AU197" s="84" t="str">
        <v>Achmad Wisnu Firmansyah</v>
      </c>
      <c r="AV197" s="84" t="str">
        <v>(+62) 87777833656</v>
      </c>
      <c r="AW197" s="84" t="s">
        <v>244</v>
      </c>
      <c r="AX197" s="84" t="str">
        <v>ESSENTIAL UMUM</v>
      </c>
      <c r="AY197" s="84">
        <v>1399000</v>
      </c>
      <c r="AZ197" s="30">
        <f>IF(AW197="","", IF(   COUNTIF($S$2:$S$176, AW197) +   SUMPRODUCT(--ISNUMBER(SEARCH(LOWER(REGEXEXTRACT(TRIM(AW197),"^[^@]+")), LOWER(TRIM($BB$2:$BB$86))))) &gt; 0,   "SUDAH BAYAR","BELUM" ))</f>
      </c>
      <c r="BA197" s="132" t="str">
        <v>CASHBACK 50K - FREECLASS</v>
      </c>
      <c r="BB197" s="84"/>
      <c r="BC197" s="84"/>
      <c r="BD197" s="84"/>
      <c r="BE197" s="84"/>
      <c r="BF197" s="84"/>
    </row>
    <row r="198">
      <c r="F198" s="87"/>
      <c r="G198" s="87"/>
      <c r="H198" s="87"/>
      <c r="I198" s="87"/>
      <c r="J198" s="87"/>
      <c r="K198" s="87"/>
      <c r="L198" s="87"/>
      <c r="M198" s="87"/>
      <c r="N198" s="87"/>
      <c r="O198" s="87"/>
      <c r="P198" s="87"/>
      <c r="Q198" s="87"/>
      <c r="R198" s="87"/>
      <c r="S198" s="99"/>
      <c r="T198" s="87"/>
      <c r="U198" s="87"/>
      <c r="V198" s="87"/>
      <c r="W198" s="87"/>
      <c r="X198" s="101"/>
      <c r="Y198" s="87"/>
      <c r="Z198" s="87"/>
      <c r="AA198" s="100"/>
      <c r="AB198" s="87"/>
      <c r="AC198" s="87"/>
      <c r="AD198" s="87"/>
      <c r="AE198" s="87"/>
      <c r="AF198" s="87"/>
      <c r="AG198" s="87"/>
      <c r="AH198" s="102"/>
      <c r="AI198" s="87"/>
      <c r="AJ198" s="103"/>
      <c r="AK198" s="87"/>
      <c r="AL198" s="87"/>
      <c r="AM198" s="87"/>
      <c r="AN198" s="87"/>
      <c r="AO198" s="87"/>
      <c r="AP198" s="87"/>
      <c r="AQ198" s="87"/>
      <c r="AR198" s="104"/>
      <c r="AS198" s="87"/>
      <c r="AT198" s="30">
        <v>207</v>
      </c>
      <c r="AU198" s="84" t="str">
        <v>Tiarma Vinadelfia Pane</v>
      </c>
      <c r="AV198" s="84" t="str">
        <v>(+62) 87881916621</v>
      </c>
      <c r="AW198" s="84" t="s">
        <v>251</v>
      </c>
      <c r="AX198" s="84" t="str">
        <v>ESSENTIAL UMUM</v>
      </c>
      <c r="AY198" s="84">
        <v>1399000</v>
      </c>
      <c r="AZ198" s="30">
        <f>IF(AW198="","", IF(   COUNTIF($S$2:$S$176, AW198) +   SUMPRODUCT(--ISNUMBER(SEARCH(LOWER(REGEXEXTRACT(TRIM(AW198),"^[^@]+")), LOWER(TRIM($BB$2:$BB$86))))) &gt; 0,   "SUDAH BAYAR","BELUM" ))</f>
      </c>
      <c r="BA198" s="132" t="str">
        <v>CASHBACK 50K - FREECLASS</v>
      </c>
      <c r="BB198" s="84"/>
      <c r="BC198" s="84"/>
      <c r="BD198" s="84"/>
      <c r="BE198" s="84"/>
      <c r="BF198" s="84"/>
    </row>
    <row r="199">
      <c r="F199" s="87"/>
      <c r="G199" s="87"/>
      <c r="H199" s="87"/>
      <c r="I199" s="87"/>
      <c r="J199" s="87"/>
      <c r="K199" s="87"/>
      <c r="L199" s="87"/>
      <c r="M199" s="87"/>
      <c r="N199" s="87"/>
      <c r="O199" s="87"/>
      <c r="P199" s="87"/>
      <c r="Q199" s="87"/>
      <c r="R199" s="87"/>
      <c r="S199" s="99"/>
      <c r="T199" s="87"/>
      <c r="U199" s="87"/>
      <c r="V199" s="87"/>
      <c r="W199" s="87"/>
      <c r="X199" s="101"/>
      <c r="Y199" s="87"/>
      <c r="Z199" s="87"/>
      <c r="AA199" s="100"/>
      <c r="AB199" s="87"/>
      <c r="AC199" s="87"/>
      <c r="AD199" s="87"/>
      <c r="AE199" s="87"/>
      <c r="AF199" s="87"/>
      <c r="AG199" s="87"/>
      <c r="AH199" s="102"/>
      <c r="AI199" s="87"/>
      <c r="AJ199" s="103"/>
      <c r="AK199" s="87"/>
      <c r="AL199" s="87"/>
      <c r="AM199" s="87"/>
      <c r="AN199" s="87"/>
      <c r="AO199" s="87"/>
      <c r="AP199" s="87"/>
      <c r="AQ199" s="87"/>
      <c r="AR199" s="104"/>
      <c r="AS199" s="87"/>
      <c r="AT199" s="30">
        <v>208</v>
      </c>
      <c r="AU199" s="84" t="str">
        <v>Achmad Kholil</v>
      </c>
      <c r="AV199" s="84" t="str">
        <v>(+62) 82336603188</v>
      </c>
      <c r="AW199" s="84" t="s">
        <v>229</v>
      </c>
      <c r="AX199" s="84" t="str">
        <v>ESSENTIAL MAHASISWA</v>
      </c>
      <c r="AY199" s="84">
        <v>1199000</v>
      </c>
      <c r="AZ199" s="30">
        <f>IF(AW199="","", IF(   COUNTIF($S$2:$S$176, AW199) +   SUMPRODUCT(--ISNUMBER(SEARCH(LOWER(REGEXEXTRACT(TRIM(AW199),"^[^@]+")), LOWER(TRIM($BB$2:$BB$86))))) &gt; 0,   "SUDAH BAYAR","BELUM" ))</f>
      </c>
      <c r="BA199" s="132" t="str">
        <v>CASHBACK 50K - FREECLASS</v>
      </c>
      <c r="BB199" s="84"/>
      <c r="BC199" s="84"/>
      <c r="BD199" s="84"/>
      <c r="BE199" s="84"/>
      <c r="BF199" s="84"/>
    </row>
    <row r="200">
      <c r="F200" s="87"/>
      <c r="G200" s="87"/>
      <c r="H200" s="87"/>
      <c r="I200" s="87"/>
      <c r="J200" s="87"/>
      <c r="K200" s="87"/>
      <c r="L200" s="87"/>
      <c r="M200" s="87"/>
      <c r="N200" s="87"/>
      <c r="O200" s="87"/>
      <c r="P200" s="87"/>
      <c r="Q200" s="87"/>
      <c r="R200" s="87"/>
      <c r="S200" s="99"/>
      <c r="T200" s="87"/>
      <c r="U200" s="87"/>
      <c r="V200" s="87"/>
      <c r="W200" s="87"/>
      <c r="X200" s="101"/>
      <c r="Y200" s="87"/>
      <c r="Z200" s="87"/>
      <c r="AA200" s="100"/>
      <c r="AB200" s="87"/>
      <c r="AC200" s="87"/>
      <c r="AD200" s="87"/>
      <c r="AE200" s="87"/>
      <c r="AF200" s="87"/>
      <c r="AG200" s="87"/>
      <c r="AH200" s="102"/>
      <c r="AI200" s="87"/>
      <c r="AJ200" s="103"/>
      <c r="AK200" s="87"/>
      <c r="AL200" s="87"/>
      <c r="AM200" s="87"/>
      <c r="AN200" s="87"/>
      <c r="AO200" s="87"/>
      <c r="AP200" s="87"/>
      <c r="AQ200" s="87"/>
      <c r="AR200" s="104"/>
      <c r="AS200" s="87"/>
      <c r="AT200" s="30">
        <v>209</v>
      </c>
      <c r="AU200" s="84" t="str">
        <v>Muhammad Raihan Herdiansyah</v>
      </c>
      <c r="AV200" s="84" t="str">
        <v>(+62) 81211636838</v>
      </c>
      <c r="AW200" s="84" t="s">
        <v>237</v>
      </c>
      <c r="AX200" s="84" t="str">
        <v>ESSENTIAL MAHASISWA</v>
      </c>
      <c r="AY200" s="84">
        <v>1199000</v>
      </c>
      <c r="AZ200" s="30">
        <f>IF(AW200="","", IF(   COUNTIF($S$2:$S$176, AW200) +   SUMPRODUCT(--ISNUMBER(SEARCH(LOWER(REGEXEXTRACT(TRIM(AW200),"^[^@]+")), LOWER(TRIM($BB$2:$BB$86))))) &gt; 0,   "SUDAH BAYAR","BELUM" ))</f>
      </c>
      <c r="BA200" s="84"/>
      <c r="BB200" s="84"/>
      <c r="BC200" s="84"/>
      <c r="BD200" s="84"/>
      <c r="BE200" s="84"/>
      <c r="BF200" s="84"/>
    </row>
    <row r="201">
      <c r="F201" s="87"/>
      <c r="G201" s="87"/>
      <c r="H201" s="87"/>
      <c r="I201" s="87"/>
      <c r="J201" s="87"/>
      <c r="K201" s="87"/>
      <c r="L201" s="87"/>
      <c r="M201" s="87"/>
      <c r="N201" s="87"/>
      <c r="O201" s="87"/>
      <c r="P201" s="87"/>
      <c r="Q201" s="87"/>
      <c r="R201" s="87"/>
      <c r="S201" s="99"/>
      <c r="T201" s="87"/>
      <c r="U201" s="87"/>
      <c r="V201" s="87"/>
      <c r="W201" s="87"/>
      <c r="X201" s="101"/>
      <c r="Y201" s="87"/>
      <c r="Z201" s="87"/>
      <c r="AA201" s="100"/>
      <c r="AB201" s="87"/>
      <c r="AC201" s="87"/>
      <c r="AD201" s="87"/>
      <c r="AE201" s="87"/>
      <c r="AF201" s="87"/>
      <c r="AG201" s="87"/>
      <c r="AH201" s="102"/>
      <c r="AI201" s="87"/>
      <c r="AJ201" s="103"/>
      <c r="AK201" s="87"/>
      <c r="AL201" s="87"/>
      <c r="AM201" s="87"/>
      <c r="AN201" s="87"/>
      <c r="AO201" s="87"/>
      <c r="AP201" s="87"/>
      <c r="AQ201" s="87"/>
      <c r="AR201" s="104"/>
      <c r="AS201" s="87"/>
      <c r="AT201" s="30">
        <v>210</v>
      </c>
      <c r="AU201" s="84" t="str">
        <v>Kesya Kayla Rondonuwu</v>
      </c>
      <c r="AV201" s="84" t="str">
        <v>(+62) 85156476269</v>
      </c>
      <c r="AW201" s="84" t="s">
        <v>317</v>
      </c>
      <c r="AX201" s="84" t="str">
        <v>ESSENTIAL MAHASISWA</v>
      </c>
      <c r="AY201" s="84">
        <v>1199000</v>
      </c>
      <c r="AZ201" s="30">
        <f>IF(AW201="","", IF(   COUNTIF($S$2:$S$176, AW201) +   SUMPRODUCT(--ISNUMBER(SEARCH(LOWER(REGEXEXTRACT(TRIM(AW201),"^[^@]+")), LOWER(TRIM($BB$2:$BB$86))))) &gt; 0,   "SUDAH BAYAR","BELUM" ))</f>
      </c>
    </row>
    <row r="202">
      <c r="F202" s="87"/>
      <c r="G202" s="87"/>
      <c r="H202" s="87"/>
      <c r="I202" s="87"/>
      <c r="J202" s="87"/>
      <c r="K202" s="87"/>
      <c r="L202" s="87"/>
      <c r="M202" s="87"/>
      <c r="N202" s="87"/>
      <c r="O202" s="87"/>
      <c r="P202" s="87"/>
      <c r="Q202" s="87"/>
      <c r="R202" s="87"/>
      <c r="S202" s="99"/>
      <c r="T202" s="87"/>
      <c r="U202" s="87"/>
      <c r="V202" s="87"/>
      <c r="W202" s="87"/>
      <c r="X202" s="101"/>
      <c r="Y202" s="87"/>
      <c r="Z202" s="87"/>
      <c r="AA202" s="100"/>
      <c r="AB202" s="87"/>
      <c r="AC202" s="87"/>
      <c r="AD202" s="87"/>
      <c r="AE202" s="87"/>
      <c r="AF202" s="87"/>
      <c r="AG202" s="87"/>
      <c r="AH202" s="102"/>
      <c r="AI202" s="87"/>
      <c r="AJ202" s="103"/>
      <c r="AK202" s="87"/>
      <c r="AL202" s="87"/>
      <c r="AM202" s="87"/>
      <c r="AN202" s="87"/>
      <c r="AO202" s="87"/>
      <c r="AP202" s="87"/>
      <c r="AQ202" s="87"/>
      <c r="AR202" s="104"/>
      <c r="AS202" s="87"/>
      <c r="AT202" s="30">
        <v>211</v>
      </c>
      <c r="AU202" s="84"/>
      <c r="AV202" s="84"/>
      <c r="AW202" s="84"/>
      <c r="AX202" s="84"/>
      <c r="AY202" s="84"/>
      <c r="AZ202" s="30">
        <f>IF(AW202="","", IF(   COUNTIF($S$2:$S$176, AW202) +   SUMPRODUCT(--ISNUMBER(SEARCH(LOWER(REGEXEXTRACT(TRIM(AW202),"^[^@]+")), LOWER(TRIM($BB$2:$BB$86))))) &gt; 0,   "SUDAH BAYAR","BELUM" ))</f>
      </c>
    </row>
    <row r="203">
      <c r="F203" s="87"/>
      <c r="G203" s="87"/>
      <c r="H203" s="87"/>
      <c r="I203" s="87"/>
      <c r="J203" s="87"/>
      <c r="K203" s="87"/>
      <c r="L203" s="87"/>
      <c r="M203" s="87"/>
      <c r="N203" s="87"/>
      <c r="O203" s="87"/>
      <c r="P203" s="87"/>
      <c r="Q203" s="87"/>
      <c r="R203" s="87"/>
      <c r="S203" s="99"/>
      <c r="T203" s="87"/>
      <c r="U203" s="87"/>
      <c r="V203" s="87"/>
      <c r="W203" s="87"/>
      <c r="X203" s="101"/>
      <c r="Y203" s="87"/>
      <c r="Z203" s="87"/>
      <c r="AA203" s="100"/>
      <c r="AB203" s="87"/>
      <c r="AC203" s="87"/>
      <c r="AD203" s="87"/>
      <c r="AE203" s="87"/>
      <c r="AF203" s="87"/>
      <c r="AG203" s="87"/>
      <c r="AH203" s="102"/>
      <c r="AI203" s="87"/>
      <c r="AJ203" s="103"/>
      <c r="AK203" s="87"/>
      <c r="AL203" s="87"/>
      <c r="AM203" s="87"/>
      <c r="AN203" s="87"/>
      <c r="AO203" s="87"/>
      <c r="AP203" s="87"/>
      <c r="AQ203" s="87"/>
      <c r="AR203" s="104"/>
      <c r="AS203" s="87"/>
      <c r="AT203" s="30">
        <v>212</v>
      </c>
      <c r="AU203" s="84" t="str">
        <v>Raffy Jamil Octavialdy</v>
      </c>
      <c r="AV203" s="84" t="str">
        <v>(+62) 81290744108</v>
      </c>
      <c r="AW203" s="84" t="s">
        <v>305</v>
      </c>
      <c r="AX203" s="84" t="str">
        <v>ESSENTIAL UMUM</v>
      </c>
      <c r="AY203" s="84">
        <v>1399000</v>
      </c>
      <c r="AZ203" s="30">
        <f>IF(AW203="","", IF(   COUNTIF($S$2:$S$176, AW203) +   SUMPRODUCT(--ISNUMBER(SEARCH(LOWER(REGEXEXTRACT(TRIM(AW203),"^[^@]+")), LOWER(TRIM($BB$2:$BB$86))))) &gt; 0,   "SUDAH BAYAR","BELUM" ))</f>
      </c>
    </row>
    <row r="204">
      <c r="F204" s="87"/>
      <c r="G204" s="87"/>
      <c r="H204" s="87"/>
      <c r="I204" s="87"/>
      <c r="J204" s="87"/>
      <c r="K204" s="87"/>
      <c r="L204" s="87"/>
      <c r="M204" s="87"/>
      <c r="N204" s="87"/>
      <c r="O204" s="87"/>
      <c r="P204" s="87"/>
      <c r="Q204" s="87"/>
      <c r="R204" s="87"/>
      <c r="S204" s="99"/>
      <c r="T204" s="87"/>
      <c r="U204" s="87"/>
      <c r="V204" s="87"/>
      <c r="W204" s="87"/>
      <c r="X204" s="101"/>
      <c r="Y204" s="87"/>
      <c r="Z204" s="87"/>
      <c r="AA204" s="100"/>
      <c r="AB204" s="87"/>
      <c r="AC204" s="87"/>
      <c r="AD204" s="87"/>
      <c r="AE204" s="87"/>
      <c r="AF204" s="87"/>
      <c r="AG204" s="87"/>
      <c r="AH204" s="102"/>
      <c r="AI204" s="87"/>
      <c r="AJ204" s="103"/>
      <c r="AK204" s="87"/>
      <c r="AL204" s="87"/>
      <c r="AM204" s="87"/>
      <c r="AN204" s="87"/>
      <c r="AO204" s="87"/>
      <c r="AP204" s="87"/>
      <c r="AQ204" s="87"/>
      <c r="AR204" s="104"/>
      <c r="AS204" s="87"/>
      <c r="AT204" s="30">
        <v>213</v>
      </c>
      <c r="AU204" s="84" t="str">
        <v>Maulvi Asyaridha</v>
      </c>
      <c r="AV204" s="84" t="str">
        <v>(+62) 82339488859</v>
      </c>
      <c r="AW204" s="84" t="s">
        <v>311</v>
      </c>
      <c r="AX204" s="84" t="str">
        <v>ESSENTIAL UMUM</v>
      </c>
      <c r="AY204" s="84">
        <v>1399000</v>
      </c>
      <c r="AZ204" s="30">
        <f>IF(AW204="","", IF(   COUNTIF($S$2:$S$176, AW204) +   SUMPRODUCT(--ISNUMBER(SEARCH(LOWER(REGEXEXTRACT(TRIM(AW204),"^[^@]+")), LOWER(TRIM($BB$2:$BB$86))))) &gt; 0,   "SUDAH BAYAR","BELUM" ))</f>
      </c>
    </row>
    <row r="205">
      <c r="F205" s="87"/>
      <c r="G205" s="87"/>
      <c r="H205" s="87"/>
      <c r="I205" s="87"/>
      <c r="J205" s="87"/>
      <c r="K205" s="87"/>
      <c r="L205" s="87"/>
      <c r="M205" s="87"/>
      <c r="N205" s="87"/>
      <c r="O205" s="87"/>
      <c r="P205" s="87"/>
      <c r="Q205" s="87"/>
      <c r="R205" s="87"/>
      <c r="S205" s="99"/>
      <c r="T205" s="87"/>
      <c r="U205" s="87"/>
      <c r="V205" s="87"/>
      <c r="W205" s="87"/>
      <c r="X205" s="101"/>
      <c r="Y205" s="87"/>
      <c r="Z205" s="87"/>
      <c r="AA205" s="100"/>
      <c r="AB205" s="87"/>
      <c r="AC205" s="87"/>
      <c r="AD205" s="87"/>
      <c r="AE205" s="87"/>
      <c r="AF205" s="87"/>
      <c r="AG205" s="87"/>
      <c r="AH205" s="102"/>
      <c r="AI205" s="87"/>
      <c r="AJ205" s="103"/>
      <c r="AK205" s="87"/>
      <c r="AL205" s="87"/>
      <c r="AM205" s="87"/>
      <c r="AN205" s="87"/>
      <c r="AO205" s="87"/>
      <c r="AP205" s="87"/>
      <c r="AQ205" s="87"/>
      <c r="AR205" s="104"/>
      <c r="AS205" s="87"/>
      <c r="AT205" s="30">
        <v>214</v>
      </c>
      <c r="AU205" s="84" t="str">
        <v>Ghinaa Hanuun Putri</v>
      </c>
      <c r="AV205" s="84" t="str">
        <v>(+62) 8811913601</v>
      </c>
      <c r="AW205" s="84" t="s">
        <v>291</v>
      </c>
      <c r="AX205" s="84" t="str">
        <v>ESSENTIAL UMUM</v>
      </c>
      <c r="AY205" s="84">
        <v>1399000</v>
      </c>
      <c r="AZ205" s="30">
        <f>IF(AW205="","", IF(   COUNTIF($S$2:$S$176, AW205) +   SUMPRODUCT(--ISNUMBER(SEARCH(LOWER(REGEXEXTRACT(TRIM(AW205),"^[^@]+")), LOWER(TRIM($BB$2:$BB$86))))) &gt; 0,   "SUDAH BAYAR","BELUM" ))</f>
      </c>
    </row>
    <row r="206">
      <c r="F206" s="87"/>
      <c r="G206" s="87"/>
      <c r="H206" s="87"/>
      <c r="I206" s="87"/>
      <c r="J206" s="87"/>
      <c r="K206" s="87"/>
      <c r="L206" s="87"/>
      <c r="M206" s="87"/>
      <c r="N206" s="87"/>
      <c r="O206" s="87"/>
      <c r="P206" s="87"/>
      <c r="Q206" s="87"/>
      <c r="R206" s="87"/>
      <c r="S206" s="99"/>
      <c r="T206" s="87"/>
      <c r="U206" s="87"/>
      <c r="V206" s="87"/>
      <c r="W206" s="87"/>
      <c r="X206" s="101"/>
      <c r="Y206" s="87"/>
      <c r="Z206" s="87"/>
      <c r="AA206" s="100"/>
      <c r="AB206" s="87"/>
      <c r="AC206" s="87"/>
      <c r="AD206" s="87"/>
      <c r="AE206" s="87"/>
      <c r="AF206" s="87"/>
      <c r="AG206" s="87"/>
      <c r="AH206" s="102"/>
      <c r="AI206" s="87"/>
      <c r="AJ206" s="103"/>
      <c r="AK206" s="87"/>
      <c r="AL206" s="87"/>
      <c r="AM206" s="87"/>
      <c r="AN206" s="87"/>
      <c r="AO206" s="87"/>
      <c r="AP206" s="87"/>
      <c r="AQ206" s="87"/>
      <c r="AR206" s="104"/>
      <c r="AS206" s="87"/>
      <c r="AT206" s="30">
        <v>215</v>
      </c>
      <c r="AU206" s="84" t="str">
        <v>Tiara Julia Pradipta</v>
      </c>
      <c r="AV206" s="84" t="str">
        <v>(+62) 89528886562</v>
      </c>
      <c r="AW206" s="84" t="s">
        <v>299</v>
      </c>
      <c r="AX206" s="84" t="str">
        <v>ESSENTIAL UMUM</v>
      </c>
      <c r="AY206" s="84">
        <v>1399000</v>
      </c>
      <c r="AZ206" s="30">
        <f>IF(AW206="","", IF(   COUNTIF($S$2:$S$176, AW206) +   SUMPRODUCT(--ISNUMBER(SEARCH(LOWER(REGEXEXTRACT(TRIM(AW206),"^[^@]+")), LOWER(TRIM($BB$2:$BB$86))))) &gt; 0,   "SUDAH BAYAR","BELUM" ))</f>
      </c>
    </row>
    <row r="207">
      <c r="F207" s="87"/>
      <c r="G207" s="87"/>
      <c r="H207" s="87"/>
      <c r="I207" s="87"/>
      <c r="J207" s="87"/>
      <c r="K207" s="87"/>
      <c r="L207" s="87"/>
      <c r="M207" s="87"/>
      <c r="N207" s="87"/>
      <c r="O207" s="87"/>
      <c r="P207" s="87"/>
      <c r="Q207" s="87"/>
      <c r="R207" s="87"/>
      <c r="S207" s="99"/>
      <c r="T207" s="87"/>
      <c r="U207" s="87"/>
      <c r="V207" s="87"/>
      <c r="W207" s="87"/>
      <c r="X207" s="101"/>
      <c r="Y207" s="87"/>
      <c r="Z207" s="87"/>
      <c r="AA207" s="100"/>
      <c r="AB207" s="87"/>
      <c r="AC207" s="87"/>
      <c r="AD207" s="87"/>
      <c r="AE207" s="87"/>
      <c r="AF207" s="87"/>
      <c r="AG207" s="87"/>
      <c r="AH207" s="102"/>
      <c r="AI207" s="87"/>
      <c r="AJ207" s="103"/>
      <c r="AK207" s="87"/>
      <c r="AL207" s="87"/>
      <c r="AM207" s="87"/>
      <c r="AN207" s="87"/>
      <c r="AO207" s="87"/>
      <c r="AP207" s="87"/>
      <c r="AQ207" s="87"/>
      <c r="AR207" s="104"/>
      <c r="AS207" s="87"/>
      <c r="AT207" s="30">
        <v>216</v>
      </c>
      <c r="AU207" s="84" t="str">
        <v>Muh Ilham Fahrizal</v>
      </c>
      <c r="AV207" s="84" t="str">
        <v>(+62) 89665578844</v>
      </c>
      <c r="AW207" s="84" t="s">
        <v>280</v>
      </c>
      <c r="AX207" s="84" t="str">
        <v>ESSENTIAL MAHASISWA</v>
      </c>
      <c r="AY207" s="84">
        <v>1199000</v>
      </c>
      <c r="AZ207" s="30">
        <f>IF(AW207="","", IF(   COUNTIF($S$2:$S$176, AW207) +   SUMPRODUCT(--ISNUMBER(SEARCH(LOWER(REGEXEXTRACT(TRIM(AW207),"^[^@]+")), LOWER(TRIM($BB$2:$BB$86))))) &gt; 0,   "SUDAH BAYAR","BELUM" ))</f>
      </c>
    </row>
    <row r="208">
      <c r="F208" s="87"/>
      <c r="G208" s="87"/>
      <c r="H208" s="87"/>
      <c r="I208" s="87"/>
      <c r="J208" s="87"/>
      <c r="K208" s="87"/>
      <c r="L208" s="87"/>
      <c r="M208" s="87"/>
      <c r="N208" s="87"/>
      <c r="O208" s="87"/>
      <c r="P208" s="87"/>
      <c r="Q208" s="87"/>
      <c r="R208" s="87"/>
      <c r="S208" s="99"/>
      <c r="T208" s="87"/>
      <c r="U208" s="87"/>
      <c r="V208" s="87"/>
      <c r="W208" s="87"/>
      <c r="X208" s="101"/>
      <c r="Y208" s="87"/>
      <c r="Z208" s="87"/>
      <c r="AA208" s="100"/>
      <c r="AB208" s="87"/>
      <c r="AC208" s="87"/>
      <c r="AD208" s="87"/>
      <c r="AE208" s="87"/>
      <c r="AF208" s="87"/>
      <c r="AG208" s="87"/>
      <c r="AH208" s="102"/>
      <c r="AI208" s="87"/>
      <c r="AJ208" s="103"/>
      <c r="AK208" s="87"/>
      <c r="AL208" s="87"/>
      <c r="AM208" s="87"/>
      <c r="AN208" s="87"/>
      <c r="AO208" s="87"/>
      <c r="AP208" s="87"/>
      <c r="AQ208" s="87"/>
      <c r="AR208" s="104"/>
      <c r="AS208" s="87"/>
      <c r="AT208" s="30">
        <v>217</v>
      </c>
      <c r="AU208" s="84" t="str">
        <v>Alfiansyah Dhiya’ulhaq Nasihien</v>
      </c>
      <c r="AV208" s="84" t="str">
        <v>(+62) 85810089555</v>
      </c>
      <c r="AW208" s="84" t="s">
        <v>286</v>
      </c>
      <c r="AX208" s="84" t="str">
        <v>ESSENTIAL MAHASISWA</v>
      </c>
      <c r="AY208" s="84">
        <v>1199000</v>
      </c>
      <c r="AZ208" s="30">
        <f>IF(AW208="","", IF(   COUNTIF($S$2:$S$176, AW208) +   SUMPRODUCT(--ISNUMBER(SEARCH(LOWER(REGEXEXTRACT(TRIM(AW208),"^[^@]+")), LOWER(TRIM($BB$2:$BB$86))))) &gt; 0,   "SUDAH BAYAR","BELUM" ))</f>
      </c>
    </row>
    <row r="209">
      <c r="F209" s="87"/>
      <c r="G209" s="87"/>
      <c r="H209" s="87"/>
      <c r="I209" s="87"/>
      <c r="J209" s="87"/>
      <c r="K209" s="87"/>
      <c r="L209" s="87"/>
      <c r="M209" s="87"/>
      <c r="N209" s="87"/>
      <c r="O209" s="87"/>
      <c r="P209" s="87"/>
      <c r="Q209" s="87"/>
      <c r="R209" s="87"/>
      <c r="S209" s="99"/>
      <c r="T209" s="87"/>
      <c r="U209" s="87"/>
      <c r="V209" s="87"/>
      <c r="W209" s="87"/>
      <c r="X209" s="101"/>
      <c r="Y209" s="87"/>
      <c r="Z209" s="87"/>
      <c r="AA209" s="100"/>
      <c r="AB209" s="87"/>
      <c r="AC209" s="87"/>
      <c r="AD209" s="87"/>
      <c r="AE209" s="87"/>
      <c r="AF209" s="87"/>
      <c r="AG209" s="87"/>
      <c r="AH209" s="102"/>
      <c r="AI209" s="87"/>
      <c r="AJ209" s="103"/>
      <c r="AK209" s="87"/>
      <c r="AL209" s="87"/>
      <c r="AM209" s="87"/>
      <c r="AN209" s="87"/>
      <c r="AO209" s="87"/>
      <c r="AP209" s="87"/>
      <c r="AQ209" s="87"/>
      <c r="AR209" s="104"/>
      <c r="AS209" s="87"/>
      <c r="AT209" s="30">
        <v>218</v>
      </c>
      <c r="AU209" s="84" t="str">
        <v>Siti Maritsa Kamilah Suwardi</v>
      </c>
      <c r="AV209" s="84" t="str">
        <v>(+62) 85215665001</v>
      </c>
      <c r="AW209" s="84" t="s">
        <v>37</v>
      </c>
      <c r="AX209" s="84" t="str">
        <v>ESSENTIAL MAHASISWA</v>
      </c>
      <c r="AY209" s="84">
        <v>1199000</v>
      </c>
      <c r="AZ209" s="30">
        <f>IF(AW209="","", IF(   COUNTIF($S$2:$S$176, AW209) +   SUMPRODUCT(--ISNUMBER(SEARCH(LOWER(REGEXEXTRACT(TRIM(AW209),"^[^@]+")), LOWER(TRIM($BB$2:$BB$86))))) &gt; 0,   "SUDAH BAYAR","BELUM" ))</f>
      </c>
    </row>
    <row r="210">
      <c r="F210" s="87"/>
      <c r="G210" s="87"/>
      <c r="H210" s="87"/>
      <c r="I210" s="87"/>
      <c r="J210" s="87"/>
      <c r="K210" s="87"/>
      <c r="L210" s="87"/>
      <c r="M210" s="87"/>
      <c r="N210" s="87"/>
      <c r="O210" s="87"/>
      <c r="P210" s="87"/>
      <c r="Q210" s="87"/>
      <c r="R210" s="87"/>
      <c r="S210" s="99"/>
      <c r="T210" s="87"/>
      <c r="U210" s="87"/>
      <c r="V210" s="87"/>
      <c r="W210" s="87"/>
      <c r="X210" s="101"/>
      <c r="Y210" s="87"/>
      <c r="Z210" s="87"/>
      <c r="AA210" s="100"/>
      <c r="AB210" s="87"/>
      <c r="AC210" s="87"/>
      <c r="AD210" s="87"/>
      <c r="AE210" s="87"/>
      <c r="AF210" s="87"/>
      <c r="AG210" s="87"/>
      <c r="AH210" s="102"/>
      <c r="AI210" s="87"/>
      <c r="AJ210" s="103"/>
      <c r="AK210" s="87"/>
      <c r="AL210" s="87"/>
      <c r="AM210" s="87"/>
      <c r="AN210" s="87"/>
      <c r="AO210" s="87"/>
      <c r="AP210" s="87"/>
      <c r="AQ210" s="87"/>
      <c r="AR210" s="104"/>
      <c r="AS210" s="87"/>
      <c r="AT210" s="30">
        <v>219</v>
      </c>
      <c r="AU210" s="84" t="str">
        <v>Haura Shafiyyah Azka</v>
      </c>
      <c r="AV210" s="84" t="str">
        <v>(+62) 085156051983</v>
      </c>
      <c r="AW210" s="84" t="s">
        <v>43</v>
      </c>
      <c r="AX210" s="84" t="str">
        <v>ESSENTIAL MAHASISWA</v>
      </c>
      <c r="AY210" s="84">
        <v>1199000</v>
      </c>
      <c r="AZ210" s="30">
        <f>IF(AW210="","", IF(   COUNTIF($S$2:$S$176, AW210) +   SUMPRODUCT(--ISNUMBER(SEARCH(LOWER(REGEXEXTRACT(TRIM(AW210),"^[^@]+")), LOWER(TRIM($BB$2:$BB$86))))) &gt; 0,   "SUDAH BAYAR","BELUM" ))</f>
      </c>
    </row>
    <row r="211">
      <c r="F211" s="87"/>
      <c r="G211" s="87"/>
      <c r="H211" s="87"/>
      <c r="I211" s="87"/>
      <c r="J211" s="87"/>
      <c r="K211" s="87"/>
      <c r="L211" s="87"/>
      <c r="M211" s="87"/>
      <c r="N211" s="87"/>
      <c r="O211" s="87"/>
      <c r="P211" s="87"/>
      <c r="Q211" s="87"/>
      <c r="R211" s="87"/>
      <c r="S211" s="99"/>
      <c r="T211" s="87"/>
      <c r="U211" s="87"/>
      <c r="V211" s="87"/>
      <c r="W211" s="87"/>
      <c r="X211" s="101"/>
      <c r="Y211" s="87"/>
      <c r="Z211" s="87"/>
      <c r="AA211" s="100"/>
      <c r="AB211" s="87"/>
      <c r="AC211" s="87"/>
      <c r="AD211" s="87"/>
      <c r="AE211" s="87"/>
      <c r="AF211" s="87"/>
      <c r="AG211" s="87"/>
      <c r="AH211" s="102"/>
      <c r="AI211" s="87"/>
      <c r="AJ211" s="103"/>
      <c r="AK211" s="87"/>
      <c r="AL211" s="87"/>
      <c r="AM211" s="87"/>
      <c r="AN211" s="87"/>
      <c r="AO211" s="87"/>
      <c r="AP211" s="87"/>
      <c r="AQ211" s="87"/>
      <c r="AR211" s="104"/>
      <c r="AS211" s="87"/>
      <c r="AT211" s="30">
        <v>220</v>
      </c>
      <c r="AU211" s="84" t="str">
        <v>Gregorius Budi</v>
      </c>
      <c r="AV211" s="84" t="str">
        <v>(+62) 85750724963</v>
      </c>
      <c r="AW211" s="84" t="s">
        <v>20</v>
      </c>
      <c r="AX211" s="84" t="str">
        <v>ESSENTIAL MAHASISWA</v>
      </c>
      <c r="AY211" s="84">
        <v>1199000</v>
      </c>
      <c r="AZ211" s="30">
        <f>IF(AW211="","", IF(   COUNTIF($S$2:$S$176, AW211) +   SUMPRODUCT(--ISNUMBER(SEARCH(LOWER(REGEXEXTRACT(TRIM(AW211),"^[^@]+")), LOWER(TRIM($BB$2:$BB$86))))) &gt; 0,   "SUDAH BAYAR","BELUM" ))</f>
      </c>
    </row>
    <row r="212">
      <c r="F212" s="87"/>
      <c r="G212" s="87"/>
      <c r="H212" s="87"/>
      <c r="I212" s="87"/>
      <c r="J212" s="87"/>
      <c r="K212" s="87"/>
      <c r="L212" s="87"/>
      <c r="M212" s="87"/>
      <c r="N212" s="87"/>
      <c r="O212" s="87"/>
      <c r="P212" s="87"/>
      <c r="Q212" s="87"/>
      <c r="R212" s="87"/>
      <c r="S212" s="99"/>
      <c r="T212" s="87"/>
      <c r="U212" s="87"/>
      <c r="V212" s="87"/>
      <c r="W212" s="87"/>
      <c r="X212" s="101"/>
      <c r="Y212" s="87"/>
      <c r="Z212" s="87"/>
      <c r="AA212" s="100"/>
      <c r="AB212" s="87"/>
      <c r="AC212" s="87"/>
      <c r="AD212" s="87"/>
      <c r="AE212" s="87"/>
      <c r="AF212" s="87"/>
      <c r="AG212" s="87"/>
      <c r="AH212" s="102"/>
      <c r="AI212" s="87"/>
      <c r="AJ212" s="103"/>
      <c r="AK212" s="87"/>
      <c r="AL212" s="87"/>
      <c r="AM212" s="87"/>
      <c r="AN212" s="87"/>
      <c r="AO212" s="87"/>
      <c r="AP212" s="87"/>
      <c r="AQ212" s="87"/>
      <c r="AR212" s="104"/>
      <c r="AS212" s="87"/>
      <c r="AT212" s="30">
        <v>221</v>
      </c>
      <c r="AU212" s="84" t="str">
        <v>Andi Rahman Arafat</v>
      </c>
      <c r="AV212" s="84" t="str">
        <v>(+62) 89602474597</v>
      </c>
      <c r="AW212" s="84" t="s">
        <v>28</v>
      </c>
      <c r="AX212" s="84" t="str">
        <v>ESSENTIAL UMUM</v>
      </c>
      <c r="AY212" s="84">
        <v>1399000</v>
      </c>
      <c r="AZ212" s="30">
        <f>IF(AW212="","", IF(   COUNTIF($S$2:$S$176, AW212) +   SUMPRODUCT(--ISNUMBER(SEARCH(LOWER(REGEXEXTRACT(TRIM(AW212),"^[^@]+")), LOWER(TRIM($BB$2:$BB$86))))) &gt; 0,   "SUDAH BAYAR","BELUM" ))</f>
      </c>
    </row>
    <row r="213">
      <c r="F213" s="87"/>
      <c r="G213" s="87"/>
      <c r="H213" s="87"/>
      <c r="I213" s="87"/>
      <c r="J213" s="87"/>
      <c r="K213" s="87"/>
      <c r="L213" s="87"/>
      <c r="M213" s="87"/>
      <c r="N213" s="87"/>
      <c r="O213" s="87"/>
      <c r="P213" s="87"/>
      <c r="Q213" s="87"/>
      <c r="R213" s="87"/>
      <c r="S213" s="99"/>
      <c r="T213" s="87"/>
      <c r="U213" s="87"/>
      <c r="V213" s="87"/>
      <c r="W213" s="87"/>
      <c r="X213" s="101"/>
      <c r="Y213" s="87"/>
      <c r="Z213" s="87"/>
      <c r="AA213" s="100"/>
      <c r="AB213" s="87"/>
      <c r="AC213" s="87"/>
      <c r="AD213" s="87"/>
      <c r="AE213" s="87"/>
      <c r="AF213" s="87"/>
      <c r="AG213" s="87"/>
      <c r="AH213" s="102"/>
      <c r="AI213" s="87"/>
      <c r="AJ213" s="103"/>
      <c r="AK213" s="87"/>
      <c r="AL213" s="87"/>
      <c r="AM213" s="87"/>
      <c r="AN213" s="87"/>
      <c r="AO213" s="87"/>
      <c r="AP213" s="87"/>
      <c r="AQ213" s="87"/>
      <c r="AR213" s="104"/>
      <c r="AS213" s="87"/>
      <c r="AT213" s="30">
        <v>222</v>
      </c>
      <c r="AU213" s="84" t="str">
        <v>Muhammad Radja Adzka</v>
      </c>
      <c r="AV213" s="84" t="str">
        <v>(+62) 81279512007</v>
      </c>
      <c r="AW213" s="84" t="s">
        <v>329</v>
      </c>
      <c r="AX213" s="84" t="str">
        <v>ESSENTIAL MAHASISWA</v>
      </c>
      <c r="AY213" s="84">
        <v>1199000</v>
      </c>
      <c r="AZ213" s="30">
        <f>IF(AW213="","", IF(   COUNTIF($S$2:$S$176, AW213) +   SUMPRODUCT(--ISNUMBER(SEARCH(LOWER(REGEXEXTRACT(TRIM(AW213),"^[^@]+")), LOWER(TRIM($BB$2:$BB$86))))) &gt; 0,   "SUDAH BAYAR","BELUM" ))</f>
      </c>
    </row>
    <row r="214">
      <c r="F214" s="87"/>
      <c r="G214" s="87"/>
      <c r="H214" s="87"/>
      <c r="I214" s="87"/>
      <c r="J214" s="87"/>
      <c r="K214" s="87"/>
      <c r="L214" s="87"/>
      <c r="M214" s="87"/>
      <c r="N214" s="87"/>
      <c r="O214" s="87"/>
      <c r="P214" s="87"/>
      <c r="Q214" s="87"/>
      <c r="R214" s="87"/>
      <c r="S214" s="99"/>
      <c r="T214" s="87"/>
      <c r="U214" s="87"/>
      <c r="V214" s="87"/>
      <c r="W214" s="87"/>
      <c r="X214" s="101"/>
      <c r="Y214" s="87"/>
      <c r="Z214" s="87"/>
      <c r="AA214" s="100"/>
      <c r="AB214" s="87"/>
      <c r="AC214" s="87"/>
      <c r="AD214" s="87"/>
      <c r="AE214" s="87"/>
      <c r="AF214" s="87"/>
      <c r="AG214" s="87"/>
      <c r="AH214" s="102"/>
      <c r="AI214" s="87"/>
      <c r="AJ214" s="103"/>
      <c r="AK214" s="87"/>
      <c r="AL214" s="87"/>
      <c r="AM214" s="87"/>
      <c r="AN214" s="87"/>
      <c r="AO214" s="87"/>
      <c r="AP214" s="87"/>
      <c r="AQ214" s="87"/>
      <c r="AR214" s="104"/>
      <c r="AS214" s="87"/>
      <c r="AT214" s="30"/>
      <c r="AU214" s="30"/>
      <c r="AV214" s="30"/>
      <c r="AW214" s="30"/>
      <c r="AX214" s="30"/>
      <c r="AY214" s="30"/>
    </row>
    <row r="215">
      <c r="F215" s="87"/>
      <c r="G215" s="87"/>
      <c r="H215" s="87"/>
      <c r="I215" s="87"/>
      <c r="J215" s="87"/>
      <c r="K215" s="87"/>
      <c r="L215" s="87"/>
      <c r="M215" s="87"/>
      <c r="N215" s="87"/>
      <c r="O215" s="87"/>
      <c r="P215" s="87"/>
      <c r="Q215" s="87"/>
      <c r="R215" s="87"/>
      <c r="S215" s="99"/>
      <c r="T215" s="87"/>
      <c r="U215" s="87"/>
      <c r="V215" s="87"/>
      <c r="W215" s="87"/>
      <c r="X215" s="101"/>
      <c r="Y215" s="87"/>
      <c r="Z215" s="87"/>
      <c r="AA215" s="100"/>
      <c r="AB215" s="87"/>
      <c r="AC215" s="87"/>
      <c r="AD215" s="87"/>
      <c r="AE215" s="87"/>
      <c r="AF215" s="87"/>
      <c r="AG215" s="87"/>
      <c r="AH215" s="102"/>
      <c r="AI215" s="87"/>
      <c r="AJ215" s="103"/>
      <c r="AK215" s="87"/>
      <c r="AL215" s="87"/>
      <c r="AM215" s="87"/>
      <c r="AN215" s="87"/>
      <c r="AO215" s="87"/>
      <c r="AP215" s="87"/>
      <c r="AQ215" s="87"/>
      <c r="AR215" s="104"/>
      <c r="AS215" s="87"/>
      <c r="AT215" s="30"/>
      <c r="AU215" s="30"/>
      <c r="AV215" s="30"/>
      <c r="AW215" s="30"/>
      <c r="AX215" s="30"/>
      <c r="AY215" s="30"/>
    </row>
    <row r="216">
      <c r="F216" s="87"/>
      <c r="G216" s="87"/>
      <c r="H216" s="87"/>
      <c r="I216" s="87"/>
      <c r="J216" s="87"/>
      <c r="K216" s="87"/>
      <c r="L216" s="87"/>
      <c r="M216" s="87"/>
      <c r="N216" s="87"/>
      <c r="O216" s="87"/>
      <c r="P216" s="87"/>
      <c r="Q216" s="87"/>
      <c r="R216" s="87"/>
      <c r="S216" s="99"/>
      <c r="T216" s="87"/>
      <c r="U216" s="87"/>
      <c r="V216" s="87"/>
      <c r="W216" s="87"/>
      <c r="X216" s="101"/>
      <c r="Y216" s="87"/>
      <c r="Z216" s="87"/>
      <c r="AA216" s="100"/>
      <c r="AB216" s="87"/>
      <c r="AC216" s="87"/>
      <c r="AD216" s="87"/>
      <c r="AE216" s="87"/>
      <c r="AF216" s="87"/>
      <c r="AG216" s="87"/>
      <c r="AH216" s="102"/>
      <c r="AI216" s="87"/>
      <c r="AJ216" s="103"/>
      <c r="AK216" s="87"/>
      <c r="AL216" s="87"/>
      <c r="AM216" s="87"/>
      <c r="AN216" s="87"/>
      <c r="AO216" s="87"/>
      <c r="AP216" s="87"/>
      <c r="AQ216" s="87"/>
      <c r="AR216" s="104"/>
      <c r="AS216" s="87"/>
      <c r="AT216" s="30"/>
      <c r="AU216" s="30"/>
      <c r="AV216" s="30"/>
      <c r="AW216" s="30"/>
      <c r="AX216" s="30"/>
      <c r="AY216" s="30"/>
    </row>
    <row r="217">
      <c r="F217" s="87"/>
      <c r="G217" s="87"/>
      <c r="H217" s="87"/>
      <c r="I217" s="87"/>
      <c r="J217" s="87"/>
      <c r="K217" s="87"/>
      <c r="L217" s="87"/>
      <c r="M217" s="87"/>
      <c r="N217" s="87"/>
      <c r="O217" s="87"/>
      <c r="P217" s="87"/>
      <c r="Q217" s="87"/>
      <c r="R217" s="87"/>
      <c r="S217" s="99"/>
      <c r="T217" s="87"/>
      <c r="U217" s="87"/>
      <c r="V217" s="87"/>
      <c r="W217" s="87"/>
      <c r="X217" s="101"/>
      <c r="Y217" s="87"/>
      <c r="Z217" s="87"/>
      <c r="AA217" s="100"/>
      <c r="AB217" s="87"/>
      <c r="AC217" s="87"/>
      <c r="AD217" s="87"/>
      <c r="AE217" s="87"/>
      <c r="AF217" s="87"/>
      <c r="AG217" s="87"/>
      <c r="AH217" s="102"/>
      <c r="AI217" s="87"/>
      <c r="AJ217" s="103"/>
      <c r="AK217" s="87"/>
      <c r="AL217" s="87"/>
      <c r="AM217" s="87"/>
      <c r="AN217" s="87"/>
      <c r="AO217" s="87"/>
      <c r="AP217" s="87"/>
      <c r="AQ217" s="87"/>
      <c r="AR217" s="104"/>
      <c r="AS217" s="87"/>
      <c r="AT217" s="30"/>
      <c r="AU217" s="30"/>
      <c r="AV217" s="30"/>
      <c r="AW217" s="30"/>
      <c r="AX217" s="30"/>
      <c r="AY217" s="30"/>
    </row>
    <row r="218">
      <c r="F218" s="87"/>
      <c r="G218" s="87"/>
      <c r="H218" s="87"/>
      <c r="I218" s="87"/>
      <c r="J218" s="87"/>
      <c r="K218" s="87"/>
      <c r="L218" s="87"/>
      <c r="M218" s="87"/>
      <c r="N218" s="87"/>
      <c r="O218" s="87"/>
      <c r="P218" s="87"/>
      <c r="Q218" s="87"/>
      <c r="R218" s="87"/>
      <c r="S218" s="99"/>
      <c r="T218" s="87"/>
      <c r="U218" s="87"/>
      <c r="V218" s="87"/>
      <c r="W218" s="87"/>
      <c r="X218" s="101"/>
      <c r="Y218" s="87"/>
      <c r="Z218" s="87"/>
      <c r="AA218" s="100"/>
      <c r="AB218" s="87"/>
      <c r="AC218" s="87"/>
      <c r="AD218" s="87"/>
      <c r="AE218" s="87"/>
      <c r="AF218" s="87"/>
      <c r="AG218" s="87"/>
      <c r="AH218" s="102"/>
      <c r="AI218" s="87"/>
      <c r="AJ218" s="103"/>
      <c r="AK218" s="87"/>
      <c r="AL218" s="87"/>
      <c r="AM218" s="87"/>
      <c r="AN218" s="87"/>
      <c r="AO218" s="87"/>
      <c r="AP218" s="87"/>
      <c r="AQ218" s="87"/>
      <c r="AR218" s="104"/>
      <c r="AS218" s="87"/>
      <c r="AT218" s="30"/>
      <c r="AU218" s="30"/>
      <c r="AV218" s="30"/>
      <c r="AW218" s="30"/>
      <c r="AX218" s="30"/>
      <c r="AY218" s="30"/>
    </row>
    <row r="219">
      <c r="F219" s="87"/>
      <c r="G219" s="87"/>
      <c r="H219" s="87"/>
      <c r="I219" s="87"/>
      <c r="J219" s="87"/>
      <c r="K219" s="87"/>
      <c r="L219" s="87"/>
      <c r="M219" s="87"/>
      <c r="N219" s="87"/>
      <c r="O219" s="87"/>
      <c r="P219" s="87"/>
      <c r="Q219" s="87"/>
      <c r="R219" s="87"/>
      <c r="S219" s="99"/>
      <c r="T219" s="87"/>
      <c r="U219" s="87"/>
      <c r="V219" s="87"/>
      <c r="W219" s="87"/>
      <c r="X219" s="101"/>
      <c r="Y219" s="87"/>
      <c r="Z219" s="87"/>
      <c r="AA219" s="100"/>
      <c r="AB219" s="87"/>
      <c r="AC219" s="87"/>
      <c r="AD219" s="87"/>
      <c r="AE219" s="87"/>
      <c r="AF219" s="87"/>
      <c r="AG219" s="87"/>
      <c r="AH219" s="102"/>
      <c r="AI219" s="87"/>
      <c r="AJ219" s="103"/>
      <c r="AK219" s="87"/>
      <c r="AL219" s="87"/>
      <c r="AM219" s="87"/>
      <c r="AN219" s="87"/>
      <c r="AO219" s="87"/>
      <c r="AP219" s="87"/>
      <c r="AQ219" s="87"/>
      <c r="AR219" s="104"/>
      <c r="AS219" s="87"/>
      <c r="AT219" s="30"/>
      <c r="AU219" s="30"/>
      <c r="AV219" s="30"/>
      <c r="AW219" s="30"/>
      <c r="AX219" s="30"/>
      <c r="AY219" s="30"/>
    </row>
    <row r="220">
      <c r="F220" s="87"/>
      <c r="G220" s="87"/>
      <c r="H220" s="87"/>
      <c r="I220" s="87"/>
      <c r="J220" s="87"/>
      <c r="K220" s="87"/>
      <c r="L220" s="87"/>
      <c r="M220" s="87"/>
      <c r="N220" s="87"/>
      <c r="O220" s="87"/>
      <c r="P220" s="87"/>
      <c r="Q220" s="87"/>
      <c r="R220" s="87"/>
      <c r="S220" s="99"/>
      <c r="T220" s="87"/>
      <c r="U220" s="87"/>
      <c r="V220" s="87"/>
      <c r="W220" s="87"/>
      <c r="X220" s="101"/>
      <c r="Y220" s="87"/>
      <c r="Z220" s="87"/>
      <c r="AA220" s="100"/>
      <c r="AB220" s="87"/>
      <c r="AC220" s="87"/>
      <c r="AD220" s="87"/>
      <c r="AE220" s="87"/>
      <c r="AF220" s="87"/>
      <c r="AG220" s="87"/>
      <c r="AH220" s="102"/>
      <c r="AI220" s="87"/>
      <c r="AJ220" s="103"/>
      <c r="AK220" s="87"/>
      <c r="AL220" s="87"/>
      <c r="AM220" s="87"/>
      <c r="AN220" s="87"/>
      <c r="AO220" s="87"/>
      <c r="AP220" s="87"/>
      <c r="AQ220" s="87"/>
      <c r="AR220" s="104"/>
      <c r="AS220" s="87"/>
      <c r="AT220" s="30"/>
      <c r="AU220" s="30"/>
      <c r="AV220" s="30"/>
      <c r="AW220" s="30"/>
      <c r="AX220" s="30"/>
      <c r="AY220" s="30"/>
    </row>
    <row r="221">
      <c r="F221" s="87"/>
      <c r="G221" s="87"/>
      <c r="H221" s="87"/>
      <c r="I221" s="87"/>
      <c r="J221" s="87"/>
      <c r="K221" s="87"/>
      <c r="L221" s="87"/>
      <c r="M221" s="87"/>
      <c r="N221" s="87"/>
      <c r="O221" s="87"/>
      <c r="P221" s="87"/>
      <c r="Q221" s="87"/>
      <c r="R221" s="87"/>
      <c r="S221" s="99"/>
      <c r="T221" s="87"/>
      <c r="U221" s="87"/>
      <c r="V221" s="87"/>
      <c r="W221" s="87"/>
      <c r="X221" s="101"/>
      <c r="Y221" s="87"/>
      <c r="Z221" s="87"/>
      <c r="AA221" s="100"/>
      <c r="AB221" s="87"/>
      <c r="AC221" s="87"/>
      <c r="AD221" s="87"/>
      <c r="AE221" s="87"/>
      <c r="AF221" s="87"/>
      <c r="AG221" s="87"/>
      <c r="AH221" s="102"/>
      <c r="AI221" s="87"/>
      <c r="AJ221" s="103"/>
      <c r="AK221" s="87"/>
      <c r="AL221" s="87"/>
      <c r="AM221" s="87"/>
      <c r="AN221" s="87"/>
      <c r="AO221" s="87"/>
      <c r="AP221" s="87"/>
      <c r="AQ221" s="87"/>
      <c r="AR221" s="104"/>
      <c r="AS221" s="87"/>
      <c r="AT221" s="30"/>
      <c r="AU221" s="30"/>
      <c r="AV221" s="30"/>
      <c r="AW221" s="30"/>
      <c r="AX221" s="30"/>
      <c r="AY221" s="30"/>
    </row>
    <row r="222">
      <c r="F222" s="87"/>
      <c r="G222" s="87"/>
      <c r="H222" s="87"/>
      <c r="I222" s="87"/>
      <c r="J222" s="87"/>
      <c r="K222" s="87"/>
      <c r="L222" s="87"/>
      <c r="M222" s="87"/>
      <c r="N222" s="87"/>
      <c r="O222" s="87"/>
      <c r="P222" s="87"/>
      <c r="Q222" s="87"/>
      <c r="R222" s="87"/>
      <c r="S222" s="99"/>
      <c r="T222" s="87"/>
      <c r="U222" s="87"/>
      <c r="V222" s="87"/>
      <c r="W222" s="87"/>
      <c r="X222" s="101"/>
      <c r="Y222" s="87"/>
      <c r="Z222" s="87"/>
      <c r="AA222" s="100"/>
      <c r="AB222" s="87"/>
      <c r="AC222" s="87"/>
      <c r="AD222" s="87"/>
      <c r="AE222" s="87"/>
      <c r="AF222" s="87"/>
      <c r="AG222" s="87"/>
      <c r="AH222" s="102"/>
      <c r="AI222" s="87"/>
      <c r="AJ222" s="103"/>
      <c r="AK222" s="87"/>
      <c r="AL222" s="87"/>
      <c r="AM222" s="87"/>
      <c r="AN222" s="87"/>
      <c r="AO222" s="87"/>
      <c r="AP222" s="87"/>
      <c r="AQ222" s="87"/>
      <c r="AR222" s="104"/>
      <c r="AS222" s="87"/>
      <c r="AT222" s="30"/>
      <c r="AU222" s="30"/>
      <c r="AV222" s="30"/>
      <c r="AW222" s="30"/>
      <c r="AX222" s="30"/>
      <c r="AY222" s="30"/>
    </row>
    <row r="223">
      <c r="F223" s="87"/>
      <c r="G223" s="87"/>
      <c r="H223" s="87"/>
      <c r="I223" s="87"/>
      <c r="J223" s="87"/>
      <c r="K223" s="87"/>
      <c r="L223" s="87"/>
      <c r="M223" s="87"/>
      <c r="N223" s="87"/>
      <c r="O223" s="87"/>
      <c r="P223" s="87"/>
      <c r="Q223" s="87"/>
      <c r="R223" s="87"/>
      <c r="S223" s="99"/>
      <c r="T223" s="87"/>
      <c r="U223" s="87"/>
      <c r="V223" s="87"/>
      <c r="W223" s="87"/>
      <c r="X223" s="101"/>
      <c r="Y223" s="87"/>
      <c r="Z223" s="87"/>
      <c r="AA223" s="100"/>
      <c r="AB223" s="87"/>
      <c r="AC223" s="87"/>
      <c r="AD223" s="87"/>
      <c r="AE223" s="87"/>
      <c r="AF223" s="87"/>
      <c r="AG223" s="87"/>
      <c r="AH223" s="102"/>
      <c r="AI223" s="87"/>
      <c r="AJ223" s="103"/>
      <c r="AK223" s="87"/>
      <c r="AL223" s="87"/>
      <c r="AM223" s="87"/>
      <c r="AN223" s="87"/>
      <c r="AO223" s="87"/>
      <c r="AP223" s="87"/>
      <c r="AQ223" s="87"/>
      <c r="AR223" s="104"/>
      <c r="AS223" s="87"/>
      <c r="AT223" s="30"/>
      <c r="AU223" s="30"/>
      <c r="AV223" s="30"/>
      <c r="AW223" s="30"/>
      <c r="AX223" s="30"/>
      <c r="AY223" s="30"/>
    </row>
    <row r="224">
      <c r="F224" s="87"/>
      <c r="G224" s="87"/>
      <c r="H224" s="87"/>
      <c r="I224" s="87"/>
      <c r="J224" s="87"/>
      <c r="K224" s="87"/>
      <c r="L224" s="87"/>
      <c r="M224" s="87"/>
      <c r="N224" s="87"/>
      <c r="O224" s="87"/>
      <c r="P224" s="87"/>
      <c r="Q224" s="87"/>
      <c r="R224" s="87"/>
      <c r="S224" s="99"/>
      <c r="T224" s="87"/>
      <c r="U224" s="87"/>
      <c r="V224" s="87"/>
      <c r="W224" s="87"/>
      <c r="X224" s="101"/>
      <c r="Y224" s="87"/>
      <c r="Z224" s="87"/>
      <c r="AA224" s="100"/>
      <c r="AB224" s="87"/>
      <c r="AC224" s="87"/>
      <c r="AD224" s="87"/>
      <c r="AE224" s="87"/>
      <c r="AF224" s="87"/>
      <c r="AG224" s="87"/>
      <c r="AH224" s="102"/>
      <c r="AI224" s="87"/>
      <c r="AJ224" s="103"/>
      <c r="AK224" s="87"/>
      <c r="AL224" s="87"/>
      <c r="AM224" s="87"/>
      <c r="AN224" s="87"/>
      <c r="AO224" s="87"/>
      <c r="AP224" s="87"/>
      <c r="AQ224" s="87"/>
      <c r="AR224" s="104"/>
      <c r="AS224" s="87"/>
      <c r="AT224" s="30"/>
      <c r="AU224" s="30"/>
      <c r="AV224" s="30"/>
      <c r="AW224" s="30"/>
      <c r="AX224" s="30"/>
      <c r="AY224" s="30"/>
    </row>
    <row r="225">
      <c r="F225" s="87"/>
      <c r="G225" s="87"/>
      <c r="H225" s="87"/>
      <c r="I225" s="87"/>
      <c r="J225" s="87"/>
      <c r="K225" s="87"/>
      <c r="L225" s="87"/>
      <c r="M225" s="87"/>
      <c r="N225" s="87"/>
      <c r="O225" s="87"/>
      <c r="P225" s="87"/>
      <c r="Q225" s="87"/>
      <c r="R225" s="87"/>
      <c r="S225" s="99"/>
      <c r="T225" s="87"/>
      <c r="U225" s="87"/>
      <c r="V225" s="87"/>
      <c r="W225" s="87"/>
      <c r="X225" s="101"/>
      <c r="Y225" s="87"/>
      <c r="Z225" s="87"/>
      <c r="AA225" s="100"/>
      <c r="AB225" s="87"/>
      <c r="AC225" s="87"/>
      <c r="AD225" s="87"/>
      <c r="AE225" s="87"/>
      <c r="AF225" s="87"/>
      <c r="AG225" s="87"/>
      <c r="AH225" s="102"/>
      <c r="AI225" s="87"/>
      <c r="AJ225" s="103"/>
      <c r="AK225" s="87"/>
      <c r="AL225" s="87"/>
      <c r="AM225" s="87"/>
      <c r="AN225" s="87"/>
      <c r="AO225" s="87"/>
      <c r="AP225" s="87"/>
      <c r="AQ225" s="87"/>
      <c r="AR225" s="104"/>
      <c r="AS225" s="87"/>
      <c r="AT225" s="30"/>
      <c r="AU225" s="30"/>
      <c r="AV225" s="30"/>
      <c r="AW225" s="30"/>
      <c r="AX225" s="30"/>
      <c r="AY225" s="30"/>
    </row>
    <row r="226">
      <c r="F226" s="87"/>
      <c r="G226" s="87"/>
      <c r="H226" s="87"/>
      <c r="I226" s="87"/>
      <c r="J226" s="87"/>
      <c r="K226" s="87"/>
      <c r="L226" s="87"/>
      <c r="M226" s="87"/>
      <c r="N226" s="87"/>
      <c r="O226" s="87"/>
      <c r="P226" s="87"/>
      <c r="Q226" s="87"/>
      <c r="R226" s="87"/>
      <c r="S226" s="99"/>
      <c r="T226" s="87"/>
      <c r="U226" s="87"/>
      <c r="V226" s="87"/>
      <c r="W226" s="87"/>
      <c r="X226" s="101"/>
      <c r="Y226" s="87"/>
      <c r="Z226" s="87"/>
      <c r="AA226" s="100"/>
      <c r="AB226" s="87"/>
      <c r="AC226" s="87"/>
      <c r="AD226" s="87"/>
      <c r="AE226" s="87"/>
      <c r="AF226" s="87"/>
      <c r="AG226" s="87"/>
      <c r="AH226" s="102"/>
      <c r="AI226" s="87"/>
      <c r="AJ226" s="103"/>
      <c r="AK226" s="87"/>
      <c r="AL226" s="87"/>
      <c r="AM226" s="87"/>
      <c r="AN226" s="87"/>
      <c r="AO226" s="87"/>
      <c r="AP226" s="87"/>
      <c r="AQ226" s="87"/>
      <c r="AR226" s="104"/>
      <c r="AS226" s="87"/>
      <c r="AT226" s="30"/>
      <c r="AU226" s="30"/>
      <c r="AV226" s="30"/>
      <c r="AW226" s="30"/>
      <c r="AX226" s="30"/>
      <c r="AY226" s="30"/>
    </row>
    <row r="227">
      <c r="F227" s="87"/>
      <c r="G227" s="87"/>
      <c r="H227" s="87"/>
      <c r="I227" s="87"/>
      <c r="J227" s="87"/>
      <c r="K227" s="87"/>
      <c r="L227" s="87"/>
      <c r="M227" s="87"/>
      <c r="N227" s="87"/>
      <c r="O227" s="87"/>
      <c r="P227" s="87"/>
      <c r="Q227" s="87"/>
      <c r="R227" s="87"/>
      <c r="S227" s="99"/>
      <c r="T227" s="87"/>
      <c r="U227" s="87"/>
      <c r="V227" s="87"/>
      <c r="W227" s="87"/>
      <c r="X227" s="101"/>
      <c r="Y227" s="87"/>
      <c r="Z227" s="87"/>
      <c r="AA227" s="100"/>
      <c r="AB227" s="87"/>
      <c r="AC227" s="87"/>
      <c r="AD227" s="87"/>
      <c r="AE227" s="87"/>
      <c r="AF227" s="87"/>
      <c r="AG227" s="87"/>
      <c r="AH227" s="102"/>
      <c r="AI227" s="87"/>
      <c r="AJ227" s="103"/>
      <c r="AK227" s="87"/>
      <c r="AL227" s="87"/>
      <c r="AM227" s="87"/>
      <c r="AN227" s="87"/>
      <c r="AO227" s="87"/>
      <c r="AP227" s="87"/>
      <c r="AQ227" s="87"/>
      <c r="AR227" s="104"/>
      <c r="AS227" s="87"/>
      <c r="AT227" s="30"/>
      <c r="AU227" s="30"/>
      <c r="AV227" s="30"/>
      <c r="AW227" s="30"/>
      <c r="AX227" s="30"/>
      <c r="AY227" s="30"/>
    </row>
    <row r="228">
      <c r="F228" s="87"/>
      <c r="G228" s="87"/>
      <c r="H228" s="87"/>
      <c r="I228" s="87"/>
      <c r="J228" s="87"/>
      <c r="K228" s="87"/>
      <c r="L228" s="87"/>
      <c r="M228" s="87"/>
      <c r="N228" s="87"/>
      <c r="O228" s="87"/>
      <c r="P228" s="87"/>
      <c r="Q228" s="87"/>
      <c r="R228" s="87"/>
      <c r="S228" s="99"/>
      <c r="T228" s="87"/>
      <c r="U228" s="87"/>
      <c r="V228" s="87"/>
      <c r="W228" s="87"/>
      <c r="X228" s="101"/>
      <c r="Y228" s="87"/>
      <c r="Z228" s="87"/>
      <c r="AA228" s="100"/>
      <c r="AB228" s="87"/>
      <c r="AC228" s="87"/>
      <c r="AD228" s="87"/>
      <c r="AE228" s="87"/>
      <c r="AF228" s="87"/>
      <c r="AG228" s="87"/>
      <c r="AH228" s="102"/>
      <c r="AI228" s="87"/>
      <c r="AJ228" s="103"/>
      <c r="AK228" s="87"/>
      <c r="AL228" s="87"/>
      <c r="AM228" s="87"/>
      <c r="AN228" s="87"/>
      <c r="AO228" s="87"/>
      <c r="AP228" s="87"/>
      <c r="AQ228" s="87"/>
      <c r="AR228" s="104"/>
      <c r="AS228" s="87"/>
      <c r="AT228" s="30"/>
      <c r="AU228" s="30"/>
      <c r="AV228" s="30"/>
      <c r="AW228" s="30"/>
      <c r="AX228" s="30"/>
      <c r="AY228" s="30"/>
    </row>
    <row r="229">
      <c r="F229" s="87"/>
      <c r="G229" s="87"/>
      <c r="H229" s="87"/>
      <c r="I229" s="87"/>
      <c r="J229" s="87"/>
      <c r="K229" s="87"/>
      <c r="L229" s="87"/>
      <c r="M229" s="87"/>
      <c r="N229" s="87"/>
      <c r="O229" s="87"/>
      <c r="P229" s="87"/>
      <c r="Q229" s="87"/>
      <c r="R229" s="87"/>
      <c r="S229" s="99"/>
      <c r="T229" s="87"/>
      <c r="U229" s="87"/>
      <c r="V229" s="87"/>
      <c r="W229" s="87"/>
      <c r="X229" s="101"/>
      <c r="Y229" s="87"/>
      <c r="Z229" s="87"/>
      <c r="AA229" s="100"/>
      <c r="AB229" s="87"/>
      <c r="AC229" s="87"/>
      <c r="AD229" s="87"/>
      <c r="AE229" s="87"/>
      <c r="AF229" s="87"/>
      <c r="AG229" s="87"/>
      <c r="AH229" s="102"/>
      <c r="AI229" s="87"/>
      <c r="AJ229" s="103"/>
      <c r="AK229" s="87"/>
      <c r="AL229" s="87"/>
      <c r="AM229" s="87"/>
      <c r="AN229" s="87"/>
      <c r="AO229" s="87"/>
      <c r="AP229" s="87"/>
      <c r="AQ229" s="87"/>
      <c r="AR229" s="104"/>
      <c r="AS229" s="87"/>
      <c r="AT229" s="30"/>
      <c r="AU229" s="30"/>
      <c r="AV229" s="30"/>
      <c r="AW229" s="30"/>
      <c r="AX229" s="30"/>
      <c r="AY229" s="30"/>
    </row>
    <row r="230">
      <c r="F230" s="87"/>
      <c r="G230" s="87"/>
      <c r="H230" s="87"/>
      <c r="I230" s="87"/>
      <c r="J230" s="87"/>
      <c r="K230" s="87"/>
      <c r="L230" s="87"/>
      <c r="M230" s="87"/>
      <c r="N230" s="87"/>
      <c r="O230" s="87"/>
      <c r="P230" s="87"/>
      <c r="Q230" s="87"/>
      <c r="R230" s="87"/>
      <c r="S230" s="99"/>
      <c r="T230" s="87"/>
      <c r="U230" s="87"/>
      <c r="V230" s="87"/>
      <c r="W230" s="87"/>
      <c r="X230" s="101"/>
      <c r="Y230" s="87"/>
      <c r="Z230" s="87"/>
      <c r="AA230" s="100"/>
      <c r="AB230" s="87"/>
      <c r="AC230" s="87"/>
      <c r="AD230" s="87"/>
      <c r="AE230" s="87"/>
      <c r="AF230" s="87"/>
      <c r="AG230" s="87"/>
      <c r="AH230" s="102"/>
      <c r="AI230" s="87"/>
      <c r="AJ230" s="103"/>
      <c r="AK230" s="87"/>
      <c r="AL230" s="87"/>
      <c r="AM230" s="87"/>
      <c r="AN230" s="87"/>
      <c r="AO230" s="87"/>
      <c r="AP230" s="87"/>
      <c r="AQ230" s="87"/>
      <c r="AR230" s="104"/>
      <c r="AS230" s="87"/>
      <c r="AT230" s="30"/>
      <c r="AU230" s="30"/>
      <c r="AV230" s="30"/>
      <c r="AW230" s="30"/>
      <c r="AX230" s="30"/>
      <c r="AY230" s="30"/>
    </row>
    <row r="231">
      <c r="F231" s="87"/>
      <c r="G231" s="87"/>
      <c r="H231" s="87"/>
      <c r="I231" s="87"/>
      <c r="J231" s="87"/>
      <c r="K231" s="87"/>
      <c r="L231" s="87"/>
      <c r="M231" s="87"/>
      <c r="N231" s="87"/>
      <c r="O231" s="87"/>
      <c r="P231" s="87"/>
      <c r="Q231" s="87"/>
      <c r="R231" s="87"/>
      <c r="S231" s="99"/>
      <c r="T231" s="87"/>
      <c r="U231" s="87"/>
      <c r="V231" s="87"/>
      <c r="W231" s="87"/>
      <c r="X231" s="101"/>
      <c r="Y231" s="87"/>
      <c r="Z231" s="87"/>
      <c r="AA231" s="100"/>
      <c r="AB231" s="87"/>
      <c r="AC231" s="87"/>
      <c r="AD231" s="87"/>
      <c r="AE231" s="87"/>
      <c r="AF231" s="87"/>
      <c r="AG231" s="87"/>
      <c r="AH231" s="102"/>
      <c r="AI231" s="87"/>
      <c r="AJ231" s="103"/>
      <c r="AK231" s="87"/>
      <c r="AL231" s="87"/>
      <c r="AM231" s="87"/>
      <c r="AN231" s="87"/>
      <c r="AO231" s="87"/>
      <c r="AP231" s="87"/>
      <c r="AQ231" s="87"/>
      <c r="AR231" s="104"/>
      <c r="AS231" s="87"/>
      <c r="AT231" s="30"/>
      <c r="AU231" s="30"/>
      <c r="AV231" s="30"/>
      <c r="AW231" s="30"/>
      <c r="AX231" s="30"/>
      <c r="AY231" s="30"/>
    </row>
    <row r="232">
      <c r="F232" s="87"/>
      <c r="G232" s="87"/>
      <c r="H232" s="87"/>
      <c r="I232" s="87"/>
      <c r="J232" s="87"/>
      <c r="K232" s="87"/>
      <c r="L232" s="87"/>
      <c r="M232" s="87"/>
      <c r="N232" s="87"/>
      <c r="O232" s="87"/>
      <c r="P232" s="87"/>
      <c r="Q232" s="87"/>
      <c r="R232" s="87"/>
      <c r="S232" s="99"/>
      <c r="T232" s="87"/>
      <c r="U232" s="87"/>
      <c r="V232" s="87"/>
      <c r="W232" s="87"/>
      <c r="X232" s="101"/>
      <c r="Y232" s="87"/>
      <c r="Z232" s="87"/>
      <c r="AA232" s="100"/>
      <c r="AB232" s="87"/>
      <c r="AC232" s="87"/>
      <c r="AD232" s="87"/>
      <c r="AE232" s="87"/>
      <c r="AF232" s="87"/>
      <c r="AG232" s="87"/>
      <c r="AH232" s="102"/>
      <c r="AI232" s="87"/>
      <c r="AJ232" s="103"/>
      <c r="AK232" s="87"/>
      <c r="AL232" s="87"/>
      <c r="AM232" s="87"/>
      <c r="AN232" s="87"/>
      <c r="AO232" s="87"/>
      <c r="AP232" s="87"/>
      <c r="AQ232" s="87"/>
      <c r="AR232" s="104"/>
      <c r="AS232" s="87"/>
      <c r="AT232" s="30"/>
      <c r="AU232" s="30"/>
      <c r="AV232" s="30"/>
      <c r="AW232" s="30"/>
      <c r="AX232" s="30"/>
      <c r="AY232" s="30"/>
    </row>
    <row r="233">
      <c r="F233" s="87"/>
      <c r="G233" s="87"/>
      <c r="H233" s="87"/>
      <c r="I233" s="87"/>
      <c r="J233" s="87"/>
      <c r="K233" s="87"/>
      <c r="L233" s="87"/>
      <c r="M233" s="87"/>
      <c r="N233" s="87"/>
      <c r="O233" s="87"/>
      <c r="P233" s="87"/>
      <c r="Q233" s="87"/>
      <c r="R233" s="87"/>
      <c r="S233" s="99"/>
      <c r="T233" s="87"/>
      <c r="U233" s="87"/>
      <c r="V233" s="87"/>
      <c r="W233" s="87"/>
      <c r="X233" s="101"/>
      <c r="Y233" s="87"/>
      <c r="Z233" s="87"/>
      <c r="AA233" s="100"/>
      <c r="AB233" s="87"/>
      <c r="AC233" s="87"/>
      <c r="AD233" s="87"/>
      <c r="AE233" s="87"/>
      <c r="AF233" s="87"/>
      <c r="AG233" s="87"/>
      <c r="AH233" s="102"/>
      <c r="AI233" s="87"/>
      <c r="AJ233" s="103"/>
      <c r="AK233" s="87"/>
      <c r="AL233" s="87"/>
      <c r="AM233" s="87"/>
      <c r="AN233" s="87"/>
      <c r="AO233" s="87"/>
      <c r="AP233" s="87"/>
      <c r="AQ233" s="87"/>
      <c r="AR233" s="104"/>
      <c r="AS233" s="87"/>
      <c r="AT233" s="30"/>
      <c r="AU233" s="30"/>
      <c r="AV233" s="30"/>
      <c r="AW233" s="30"/>
      <c r="AX233" s="30"/>
      <c r="AY233" s="30"/>
    </row>
    <row r="234">
      <c r="F234" s="87"/>
      <c r="G234" s="87"/>
      <c r="H234" s="87"/>
      <c r="I234" s="87"/>
      <c r="J234" s="87"/>
      <c r="K234" s="87"/>
      <c r="L234" s="87"/>
      <c r="M234" s="87"/>
      <c r="N234" s="87"/>
      <c r="O234" s="87"/>
      <c r="P234" s="87"/>
      <c r="Q234" s="87"/>
      <c r="R234" s="87"/>
      <c r="S234" s="99"/>
      <c r="T234" s="87"/>
      <c r="U234" s="87"/>
      <c r="V234" s="87"/>
      <c r="W234" s="87"/>
      <c r="X234" s="101"/>
      <c r="Y234" s="87"/>
      <c r="Z234" s="87"/>
      <c r="AA234" s="100"/>
      <c r="AB234" s="87"/>
      <c r="AC234" s="87"/>
      <c r="AD234" s="87"/>
      <c r="AE234" s="87"/>
      <c r="AF234" s="87"/>
      <c r="AG234" s="87"/>
      <c r="AH234" s="102"/>
      <c r="AI234" s="87"/>
      <c r="AJ234" s="103"/>
      <c r="AK234" s="87"/>
      <c r="AL234" s="87"/>
      <c r="AM234" s="87"/>
      <c r="AN234" s="87"/>
      <c r="AO234" s="87"/>
      <c r="AP234" s="87"/>
      <c r="AQ234" s="87"/>
      <c r="AR234" s="104"/>
      <c r="AS234" s="87"/>
      <c r="AT234" s="30"/>
      <c r="AU234" s="30"/>
      <c r="AV234" s="30"/>
      <c r="AW234" s="30"/>
      <c r="AX234" s="30"/>
      <c r="AY234" s="30"/>
    </row>
    <row r="235">
      <c r="F235" s="87"/>
      <c r="G235" s="87"/>
      <c r="H235" s="87"/>
      <c r="I235" s="87"/>
      <c r="J235" s="87"/>
      <c r="K235" s="87"/>
      <c r="L235" s="87"/>
      <c r="M235" s="87"/>
      <c r="N235" s="87"/>
      <c r="O235" s="87"/>
      <c r="P235" s="87"/>
      <c r="Q235" s="87"/>
      <c r="R235" s="87"/>
      <c r="S235" s="99"/>
      <c r="T235" s="87"/>
      <c r="U235" s="87"/>
      <c r="V235" s="87"/>
      <c r="W235" s="87"/>
      <c r="X235" s="101"/>
      <c r="Y235" s="87"/>
      <c r="Z235" s="87"/>
      <c r="AA235" s="100"/>
      <c r="AB235" s="87"/>
      <c r="AC235" s="87"/>
      <c r="AD235" s="87"/>
      <c r="AE235" s="87"/>
      <c r="AF235" s="87"/>
      <c r="AG235" s="87"/>
      <c r="AH235" s="102"/>
      <c r="AI235" s="87"/>
      <c r="AJ235" s="103"/>
      <c r="AK235" s="87"/>
      <c r="AL235" s="87"/>
      <c r="AM235" s="87"/>
      <c r="AN235" s="87"/>
      <c r="AO235" s="87"/>
      <c r="AP235" s="87"/>
      <c r="AQ235" s="87"/>
      <c r="AR235" s="104"/>
      <c r="AS235" s="87"/>
      <c r="AT235" s="30"/>
      <c r="AU235" s="30"/>
      <c r="AV235" s="30"/>
      <c r="AW235" s="30"/>
      <c r="AX235" s="30"/>
      <c r="AY235" s="30"/>
    </row>
    <row r="236">
      <c r="F236" s="87"/>
      <c r="G236" s="87"/>
      <c r="H236" s="87"/>
      <c r="I236" s="87"/>
      <c r="J236" s="87"/>
      <c r="K236" s="87"/>
      <c r="L236" s="87"/>
      <c r="M236" s="87"/>
      <c r="N236" s="87"/>
      <c r="O236" s="87"/>
      <c r="P236" s="87"/>
      <c r="Q236" s="87"/>
      <c r="R236" s="87"/>
      <c r="S236" s="99"/>
      <c r="T236" s="87"/>
      <c r="U236" s="87"/>
      <c r="V236" s="87"/>
      <c r="W236" s="87"/>
      <c r="X236" s="101"/>
      <c r="Y236" s="87"/>
      <c r="Z236" s="87"/>
      <c r="AA236" s="100"/>
      <c r="AB236" s="87"/>
      <c r="AC236" s="87"/>
      <c r="AD236" s="87"/>
      <c r="AE236" s="87"/>
      <c r="AF236" s="87"/>
      <c r="AG236" s="87"/>
      <c r="AH236" s="102"/>
      <c r="AI236" s="87"/>
      <c r="AJ236" s="103"/>
      <c r="AK236" s="87"/>
      <c r="AL236" s="87"/>
      <c r="AM236" s="87"/>
      <c r="AN236" s="87"/>
      <c r="AO236" s="87"/>
      <c r="AP236" s="87"/>
      <c r="AQ236" s="87"/>
      <c r="AR236" s="104"/>
      <c r="AS236" s="87"/>
      <c r="AT236" s="30"/>
      <c r="AU236" s="30"/>
      <c r="AV236" s="30"/>
      <c r="AW236" s="30"/>
      <c r="AX236" s="30"/>
      <c r="AY236" s="30"/>
    </row>
    <row r="237">
      <c r="F237" s="87"/>
      <c r="G237" s="87"/>
      <c r="H237" s="87"/>
      <c r="I237" s="87"/>
      <c r="J237" s="87"/>
      <c r="K237" s="87"/>
      <c r="L237" s="87"/>
      <c r="M237" s="87"/>
      <c r="N237" s="87"/>
      <c r="O237" s="87"/>
      <c r="P237" s="87"/>
      <c r="Q237" s="87"/>
      <c r="R237" s="87"/>
      <c r="S237" s="99"/>
      <c r="T237" s="87"/>
      <c r="U237" s="87"/>
      <c r="V237" s="87"/>
      <c r="W237" s="87"/>
      <c r="X237" s="101"/>
      <c r="Y237" s="87"/>
      <c r="Z237" s="87"/>
      <c r="AA237" s="100"/>
      <c r="AB237" s="87"/>
      <c r="AC237" s="87"/>
      <c r="AD237" s="87"/>
      <c r="AE237" s="87"/>
      <c r="AF237" s="87"/>
      <c r="AG237" s="87"/>
      <c r="AH237" s="102"/>
      <c r="AI237" s="87"/>
      <c r="AJ237" s="103"/>
      <c r="AK237" s="87"/>
      <c r="AL237" s="87"/>
      <c r="AM237" s="87"/>
      <c r="AN237" s="87"/>
      <c r="AO237" s="87"/>
      <c r="AP237" s="87"/>
      <c r="AQ237" s="87"/>
      <c r="AR237" s="104"/>
      <c r="AS237" s="87"/>
      <c r="AT237" s="30"/>
      <c r="AU237" s="30"/>
      <c r="AV237" s="30"/>
      <c r="AW237" s="30"/>
      <c r="AX237" s="30"/>
      <c r="AY237" s="30"/>
    </row>
    <row r="238">
      <c r="F238" s="87"/>
      <c r="G238" s="87"/>
      <c r="H238" s="87"/>
      <c r="I238" s="87"/>
      <c r="J238" s="87"/>
      <c r="K238" s="87"/>
      <c r="L238" s="87"/>
      <c r="M238" s="87"/>
      <c r="N238" s="87"/>
      <c r="O238" s="87"/>
      <c r="P238" s="87"/>
      <c r="Q238" s="87"/>
      <c r="R238" s="87"/>
      <c r="S238" s="99"/>
      <c r="T238" s="87"/>
      <c r="U238" s="87"/>
      <c r="V238" s="87"/>
      <c r="W238" s="87"/>
      <c r="X238" s="101"/>
      <c r="Y238" s="87"/>
      <c r="Z238" s="87"/>
      <c r="AA238" s="100"/>
      <c r="AB238" s="87"/>
      <c r="AC238" s="87"/>
      <c r="AD238" s="87"/>
      <c r="AE238" s="87"/>
      <c r="AF238" s="87"/>
      <c r="AG238" s="87"/>
      <c r="AH238" s="102"/>
      <c r="AI238" s="87"/>
      <c r="AJ238" s="103"/>
      <c r="AK238" s="87"/>
      <c r="AL238" s="87"/>
      <c r="AM238" s="87"/>
      <c r="AN238" s="87"/>
      <c r="AO238" s="87"/>
      <c r="AP238" s="87"/>
      <c r="AQ238" s="87"/>
      <c r="AR238" s="104"/>
      <c r="AS238" s="87"/>
      <c r="AT238" s="30"/>
      <c r="AU238" s="30"/>
      <c r="AV238" s="30"/>
      <c r="AW238" s="30"/>
      <c r="AX238" s="30"/>
      <c r="AY238" s="30"/>
    </row>
    <row r="239">
      <c r="F239" s="87"/>
      <c r="G239" s="87"/>
      <c r="H239" s="87"/>
      <c r="I239" s="87"/>
      <c r="J239" s="87"/>
      <c r="K239" s="87"/>
      <c r="L239" s="87"/>
      <c r="M239" s="87"/>
      <c r="N239" s="87"/>
      <c r="O239" s="87"/>
      <c r="P239" s="87"/>
      <c r="Q239" s="87"/>
      <c r="R239" s="87"/>
      <c r="S239" s="99"/>
      <c r="T239" s="87"/>
      <c r="U239" s="87"/>
      <c r="V239" s="87"/>
      <c r="W239" s="87"/>
      <c r="X239" s="101"/>
      <c r="Y239" s="87"/>
      <c r="Z239" s="87"/>
      <c r="AA239" s="100"/>
      <c r="AB239" s="87"/>
      <c r="AC239" s="87"/>
      <c r="AD239" s="87"/>
      <c r="AE239" s="87"/>
      <c r="AF239" s="87"/>
      <c r="AG239" s="87"/>
      <c r="AH239" s="102"/>
      <c r="AI239" s="87"/>
      <c r="AJ239" s="103"/>
      <c r="AK239" s="87"/>
      <c r="AL239" s="87"/>
      <c r="AM239" s="87"/>
      <c r="AN239" s="87"/>
      <c r="AO239" s="87"/>
      <c r="AP239" s="87"/>
      <c r="AQ239" s="87"/>
      <c r="AR239" s="104"/>
      <c r="AS239" s="87"/>
      <c r="AT239" s="30"/>
      <c r="AU239" s="30"/>
      <c r="AV239" s="30"/>
      <c r="AW239" s="30"/>
      <c r="AX239" s="30"/>
      <c r="AY239" s="30"/>
    </row>
    <row r="240">
      <c r="F240" s="87"/>
      <c r="G240" s="87"/>
      <c r="H240" s="87"/>
      <c r="I240" s="87"/>
      <c r="J240" s="87"/>
      <c r="K240" s="87"/>
      <c r="L240" s="87"/>
      <c r="M240" s="87"/>
      <c r="N240" s="87"/>
      <c r="O240" s="87"/>
      <c r="P240" s="87"/>
      <c r="Q240" s="87"/>
      <c r="R240" s="87"/>
      <c r="S240" s="99"/>
      <c r="T240" s="87"/>
      <c r="U240" s="87"/>
      <c r="V240" s="87"/>
      <c r="W240" s="87"/>
      <c r="X240" s="101"/>
      <c r="Y240" s="87"/>
      <c r="Z240" s="87"/>
      <c r="AA240" s="100"/>
      <c r="AB240" s="87"/>
      <c r="AC240" s="87"/>
      <c r="AD240" s="87"/>
      <c r="AE240" s="87"/>
      <c r="AF240" s="87"/>
      <c r="AG240" s="87"/>
      <c r="AH240" s="102"/>
      <c r="AI240" s="87"/>
      <c r="AJ240" s="103"/>
      <c r="AK240" s="87"/>
      <c r="AL240" s="87"/>
      <c r="AM240" s="87"/>
      <c r="AN240" s="87"/>
      <c r="AO240" s="87"/>
      <c r="AP240" s="87"/>
      <c r="AQ240" s="87"/>
      <c r="AR240" s="104"/>
      <c r="AS240" s="87"/>
      <c r="AT240" s="30"/>
      <c r="AU240" s="30"/>
      <c r="AV240" s="30"/>
      <c r="AW240" s="30"/>
      <c r="AX240" s="30"/>
      <c r="AY240" s="30"/>
    </row>
    <row r="241">
      <c r="F241" s="87"/>
      <c r="G241" s="87"/>
      <c r="H241" s="87"/>
      <c r="I241" s="87"/>
      <c r="J241" s="87"/>
      <c r="K241" s="87"/>
      <c r="L241" s="87"/>
      <c r="M241" s="87"/>
      <c r="N241" s="87"/>
      <c r="O241" s="87"/>
      <c r="P241" s="87"/>
      <c r="Q241" s="87"/>
      <c r="R241" s="87"/>
      <c r="S241" s="99"/>
      <c r="T241" s="87"/>
      <c r="U241" s="87"/>
      <c r="V241" s="87"/>
      <c r="W241" s="87"/>
      <c r="X241" s="101"/>
      <c r="Y241" s="87"/>
      <c r="Z241" s="87"/>
      <c r="AA241" s="100"/>
      <c r="AB241" s="87"/>
      <c r="AC241" s="87"/>
      <c r="AD241" s="87"/>
      <c r="AE241" s="87"/>
      <c r="AF241" s="87"/>
      <c r="AG241" s="87"/>
      <c r="AH241" s="102"/>
      <c r="AI241" s="87"/>
      <c r="AJ241" s="103"/>
      <c r="AK241" s="87"/>
      <c r="AL241" s="87"/>
      <c r="AM241" s="87"/>
      <c r="AN241" s="87"/>
      <c r="AO241" s="87"/>
      <c r="AP241" s="87"/>
      <c r="AQ241" s="87"/>
      <c r="AR241" s="104"/>
      <c r="AS241" s="87"/>
      <c r="AT241" s="30"/>
      <c r="AU241" s="30"/>
      <c r="AV241" s="30"/>
      <c r="AW241" s="30"/>
      <c r="AX241" s="30"/>
      <c r="AY241" s="30"/>
    </row>
    <row r="242">
      <c r="F242" s="87"/>
      <c r="G242" s="87"/>
      <c r="H242" s="87"/>
      <c r="I242" s="87"/>
      <c r="J242" s="87"/>
      <c r="K242" s="87"/>
      <c r="L242" s="87"/>
      <c r="M242" s="87"/>
      <c r="N242" s="87"/>
      <c r="O242" s="87"/>
      <c r="P242" s="87"/>
      <c r="Q242" s="87"/>
      <c r="R242" s="87"/>
      <c r="S242" s="99"/>
      <c r="T242" s="87"/>
      <c r="U242" s="87"/>
      <c r="V242" s="87"/>
      <c r="W242" s="87"/>
      <c r="X242" s="101"/>
      <c r="Y242" s="87"/>
      <c r="Z242" s="87"/>
      <c r="AA242" s="100"/>
      <c r="AB242" s="87"/>
      <c r="AC242" s="87"/>
      <c r="AD242" s="87"/>
      <c r="AE242" s="87"/>
      <c r="AF242" s="87"/>
      <c r="AG242" s="87"/>
      <c r="AH242" s="102"/>
      <c r="AI242" s="87"/>
      <c r="AJ242" s="103"/>
      <c r="AK242" s="87"/>
      <c r="AL242" s="87"/>
      <c r="AM242" s="87"/>
      <c r="AN242" s="87"/>
      <c r="AO242" s="87"/>
      <c r="AP242" s="87"/>
      <c r="AQ242" s="87"/>
      <c r="AR242" s="104"/>
      <c r="AS242" s="87"/>
      <c r="AT242" s="30"/>
      <c r="AU242" s="30"/>
      <c r="AV242" s="30"/>
      <c r="AW242" s="30"/>
      <c r="AX242" s="30"/>
      <c r="AY242" s="30"/>
    </row>
    <row r="243">
      <c r="F243" s="87"/>
      <c r="G243" s="87"/>
      <c r="H243" s="87"/>
      <c r="I243" s="87"/>
      <c r="J243" s="87"/>
      <c r="K243" s="87"/>
      <c r="L243" s="87"/>
      <c r="M243" s="87"/>
      <c r="N243" s="87"/>
      <c r="O243" s="87"/>
      <c r="P243" s="87"/>
      <c r="Q243" s="87"/>
      <c r="R243" s="87"/>
      <c r="S243" s="99"/>
      <c r="T243" s="87"/>
      <c r="U243" s="87"/>
      <c r="V243" s="87"/>
      <c r="W243" s="87"/>
      <c r="X243" s="101"/>
      <c r="Y243" s="87"/>
      <c r="Z243" s="87"/>
      <c r="AA243" s="100"/>
      <c r="AB243" s="87"/>
      <c r="AC243" s="87"/>
      <c r="AD243" s="87"/>
      <c r="AE243" s="87"/>
      <c r="AF243" s="87"/>
      <c r="AG243" s="87"/>
      <c r="AH243" s="102"/>
      <c r="AI243" s="87"/>
      <c r="AJ243" s="103"/>
      <c r="AK243" s="87"/>
      <c r="AL243" s="87"/>
      <c r="AM243" s="87"/>
      <c r="AN243" s="87"/>
      <c r="AO243" s="87"/>
      <c r="AP243" s="87"/>
      <c r="AQ243" s="87"/>
      <c r="AR243" s="104"/>
      <c r="AS243" s="87"/>
      <c r="AT243" s="30"/>
      <c r="AU243" s="30"/>
      <c r="AV243" s="30"/>
      <c r="AW243" s="30"/>
      <c r="AX243" s="30"/>
      <c r="AY243" s="30"/>
    </row>
    <row r="244">
      <c r="F244" s="87"/>
      <c r="G244" s="87"/>
      <c r="H244" s="87"/>
      <c r="I244" s="87"/>
      <c r="J244" s="87"/>
      <c r="K244" s="87"/>
      <c r="L244" s="87"/>
      <c r="M244" s="87"/>
      <c r="N244" s="87"/>
      <c r="O244" s="87"/>
      <c r="P244" s="87"/>
      <c r="Q244" s="87"/>
      <c r="R244" s="87"/>
      <c r="S244" s="99"/>
      <c r="T244" s="87"/>
      <c r="U244" s="87"/>
      <c r="V244" s="87"/>
      <c r="W244" s="87"/>
      <c r="X244" s="101"/>
      <c r="Y244" s="87"/>
      <c r="Z244" s="87"/>
      <c r="AA244" s="100"/>
      <c r="AB244" s="87"/>
      <c r="AC244" s="87"/>
      <c r="AD244" s="87"/>
      <c r="AE244" s="87"/>
      <c r="AF244" s="87"/>
      <c r="AG244" s="87"/>
      <c r="AH244" s="102"/>
      <c r="AI244" s="87"/>
      <c r="AJ244" s="103"/>
      <c r="AK244" s="87"/>
      <c r="AL244" s="87"/>
      <c r="AM244" s="87"/>
      <c r="AN244" s="87"/>
      <c r="AO244" s="87"/>
      <c r="AP244" s="87"/>
      <c r="AQ244" s="87"/>
      <c r="AR244" s="104"/>
      <c r="AS244" s="87"/>
      <c r="AT244" s="30"/>
      <c r="AU244" s="30"/>
      <c r="AV244" s="30"/>
      <c r="AW244" s="30"/>
      <c r="AX244" s="30"/>
      <c r="AY244" s="30"/>
    </row>
    <row r="245">
      <c r="F245" s="87"/>
      <c r="G245" s="87"/>
      <c r="H245" s="87"/>
      <c r="I245" s="87"/>
      <c r="J245" s="87"/>
      <c r="K245" s="87"/>
      <c r="L245" s="87"/>
      <c r="M245" s="87"/>
      <c r="N245" s="87"/>
      <c r="O245" s="87"/>
      <c r="P245" s="87"/>
      <c r="Q245" s="87"/>
      <c r="R245" s="87"/>
      <c r="S245" s="99"/>
      <c r="T245" s="87"/>
      <c r="U245" s="87"/>
      <c r="V245" s="87"/>
      <c r="W245" s="87"/>
      <c r="X245" s="101"/>
      <c r="Y245" s="87"/>
      <c r="Z245" s="87"/>
      <c r="AA245" s="100"/>
      <c r="AB245" s="87"/>
      <c r="AC245" s="87"/>
      <c r="AD245" s="87"/>
      <c r="AE245" s="87"/>
      <c r="AF245" s="87"/>
      <c r="AG245" s="87"/>
      <c r="AH245" s="102"/>
      <c r="AI245" s="87"/>
      <c r="AJ245" s="103"/>
      <c r="AK245" s="87"/>
      <c r="AL245" s="87"/>
      <c r="AM245" s="87"/>
      <c r="AN245" s="87"/>
      <c r="AO245" s="87"/>
      <c r="AP245" s="87"/>
      <c r="AQ245" s="87"/>
      <c r="AR245" s="104"/>
      <c r="AS245" s="87"/>
      <c r="AT245" s="30"/>
      <c r="AU245" s="30"/>
      <c r="AV245" s="30"/>
      <c r="AW245" s="30"/>
      <c r="AX245" s="30"/>
      <c r="AY245" s="30"/>
    </row>
    <row r="246">
      <c r="F246" s="87"/>
      <c r="G246" s="87"/>
      <c r="H246" s="87"/>
      <c r="I246" s="87"/>
      <c r="J246" s="87"/>
      <c r="K246" s="87"/>
      <c r="L246" s="87"/>
      <c r="M246" s="87"/>
      <c r="N246" s="87"/>
      <c r="O246" s="87"/>
      <c r="P246" s="87"/>
      <c r="Q246" s="87"/>
      <c r="R246" s="87"/>
      <c r="S246" s="99"/>
      <c r="T246" s="87"/>
      <c r="U246" s="87"/>
      <c r="V246" s="87"/>
      <c r="W246" s="87"/>
      <c r="X246" s="101"/>
      <c r="Y246" s="87"/>
      <c r="Z246" s="87"/>
      <c r="AA246" s="100"/>
      <c r="AB246" s="87"/>
      <c r="AC246" s="87"/>
      <c r="AD246" s="87"/>
      <c r="AE246" s="87"/>
      <c r="AF246" s="87"/>
      <c r="AG246" s="87"/>
      <c r="AH246" s="102"/>
      <c r="AI246" s="87"/>
      <c r="AJ246" s="103"/>
      <c r="AK246" s="87"/>
      <c r="AL246" s="87"/>
      <c r="AM246" s="87"/>
      <c r="AN246" s="87"/>
      <c r="AO246" s="87"/>
      <c r="AP246" s="87"/>
      <c r="AQ246" s="87"/>
      <c r="AR246" s="104"/>
      <c r="AS246" s="87"/>
      <c r="AT246" s="30"/>
      <c r="AU246" s="30"/>
      <c r="AV246" s="30"/>
      <c r="AW246" s="30"/>
      <c r="AX246" s="30"/>
      <c r="AY246" s="30"/>
    </row>
    <row r="247">
      <c r="F247" s="87"/>
      <c r="G247" s="87"/>
      <c r="H247" s="87"/>
      <c r="I247" s="87"/>
      <c r="J247" s="87"/>
      <c r="K247" s="87"/>
      <c r="L247" s="87"/>
      <c r="M247" s="87"/>
      <c r="N247" s="87"/>
      <c r="O247" s="87"/>
      <c r="P247" s="87"/>
      <c r="Q247" s="87"/>
      <c r="R247" s="87"/>
      <c r="S247" s="99"/>
      <c r="T247" s="87"/>
      <c r="U247" s="87"/>
      <c r="V247" s="87"/>
      <c r="W247" s="87"/>
      <c r="X247" s="101"/>
      <c r="Y247" s="87"/>
      <c r="Z247" s="87"/>
      <c r="AA247" s="100"/>
      <c r="AB247" s="87"/>
      <c r="AC247" s="87"/>
      <c r="AD247" s="87"/>
      <c r="AE247" s="87"/>
      <c r="AF247" s="87"/>
      <c r="AG247" s="87"/>
      <c r="AH247" s="102"/>
      <c r="AI247" s="87"/>
      <c r="AJ247" s="103"/>
      <c r="AK247" s="87"/>
      <c r="AL247" s="87"/>
      <c r="AM247" s="87"/>
      <c r="AN247" s="87"/>
      <c r="AO247" s="87"/>
      <c r="AP247" s="87"/>
      <c r="AQ247" s="87"/>
      <c r="AR247" s="104"/>
      <c r="AS247" s="87"/>
      <c r="AT247" s="30"/>
      <c r="AU247" s="30"/>
      <c r="AV247" s="30"/>
      <c r="AW247" s="30"/>
      <c r="AX247" s="30"/>
      <c r="AY247" s="30"/>
    </row>
    <row r="248">
      <c r="F248" s="87"/>
      <c r="G248" s="87"/>
      <c r="H248" s="87"/>
      <c r="I248" s="87"/>
      <c r="J248" s="87"/>
      <c r="K248" s="87"/>
      <c r="L248" s="87"/>
      <c r="M248" s="87"/>
      <c r="N248" s="87"/>
      <c r="O248" s="87"/>
      <c r="P248" s="87"/>
      <c r="Q248" s="87"/>
      <c r="R248" s="87"/>
      <c r="S248" s="99"/>
      <c r="T248" s="87"/>
      <c r="U248" s="87"/>
      <c r="V248" s="87"/>
      <c r="W248" s="87"/>
      <c r="X248" s="101"/>
      <c r="Y248" s="87"/>
      <c r="Z248" s="87"/>
      <c r="AA248" s="100"/>
      <c r="AB248" s="87"/>
      <c r="AC248" s="87"/>
      <c r="AD248" s="87"/>
      <c r="AE248" s="87"/>
      <c r="AF248" s="87"/>
      <c r="AG248" s="87"/>
      <c r="AH248" s="102"/>
      <c r="AI248" s="87"/>
      <c r="AJ248" s="103"/>
      <c r="AK248" s="87"/>
      <c r="AL248" s="87"/>
      <c r="AM248" s="87"/>
      <c r="AN248" s="87"/>
      <c r="AO248" s="87"/>
      <c r="AP248" s="87"/>
      <c r="AQ248" s="87"/>
      <c r="AR248" s="104"/>
      <c r="AS248" s="87"/>
      <c r="AT248" s="30"/>
      <c r="AU248" s="30"/>
      <c r="AV248" s="30"/>
      <c r="AW248" s="30"/>
      <c r="AX248" s="30"/>
      <c r="AY248" s="30"/>
    </row>
    <row r="249">
      <c r="F249" s="87"/>
      <c r="G249" s="87"/>
      <c r="H249" s="87"/>
      <c r="I249" s="87"/>
      <c r="J249" s="87"/>
      <c r="K249" s="87"/>
      <c r="L249" s="87"/>
      <c r="M249" s="87"/>
      <c r="N249" s="87"/>
      <c r="O249" s="87"/>
      <c r="P249" s="87"/>
      <c r="Q249" s="87"/>
      <c r="R249" s="87"/>
      <c r="S249" s="99"/>
      <c r="T249" s="87"/>
      <c r="U249" s="87"/>
      <c r="V249" s="87"/>
      <c r="W249" s="87"/>
      <c r="X249" s="101"/>
      <c r="Y249" s="87"/>
      <c r="Z249" s="87"/>
      <c r="AA249" s="100"/>
      <c r="AB249" s="87"/>
      <c r="AC249" s="87"/>
      <c r="AD249" s="87"/>
      <c r="AE249" s="87"/>
      <c r="AF249" s="87"/>
      <c r="AG249" s="87"/>
      <c r="AH249" s="102"/>
      <c r="AI249" s="87"/>
      <c r="AJ249" s="103"/>
      <c r="AK249" s="87"/>
      <c r="AL249" s="87"/>
      <c r="AM249" s="87"/>
      <c r="AN249" s="87"/>
      <c r="AO249" s="87"/>
      <c r="AP249" s="87"/>
      <c r="AQ249" s="87"/>
      <c r="AR249" s="104"/>
      <c r="AS249" s="87"/>
      <c r="AT249" s="30"/>
      <c r="AU249" s="30"/>
      <c r="AV249" s="30"/>
      <c r="AW249" s="30"/>
      <c r="AX249" s="30"/>
      <c r="AY249" s="30"/>
    </row>
    <row r="250">
      <c r="F250" s="87"/>
      <c r="G250" s="87"/>
      <c r="H250" s="87"/>
      <c r="I250" s="87"/>
      <c r="J250" s="87"/>
      <c r="K250" s="87"/>
      <c r="L250" s="87"/>
      <c r="M250" s="87"/>
      <c r="N250" s="87"/>
      <c r="O250" s="87"/>
      <c r="P250" s="87"/>
      <c r="Q250" s="87"/>
      <c r="R250" s="87"/>
      <c r="S250" s="99"/>
      <c r="T250" s="87"/>
      <c r="U250" s="87"/>
      <c r="V250" s="87"/>
      <c r="W250" s="87"/>
      <c r="X250" s="101"/>
      <c r="Y250" s="87"/>
      <c r="Z250" s="87"/>
      <c r="AA250" s="100"/>
      <c r="AB250" s="87"/>
      <c r="AC250" s="87"/>
      <c r="AD250" s="87"/>
      <c r="AE250" s="87"/>
      <c r="AF250" s="87"/>
      <c r="AG250" s="87"/>
      <c r="AH250" s="102"/>
      <c r="AI250" s="87"/>
      <c r="AJ250" s="103"/>
      <c r="AK250" s="87"/>
      <c r="AL250" s="87"/>
      <c r="AM250" s="87"/>
      <c r="AN250" s="87"/>
      <c r="AO250" s="87"/>
      <c r="AP250" s="87"/>
      <c r="AQ250" s="87"/>
      <c r="AR250" s="104"/>
      <c r="AS250" s="87"/>
      <c r="AT250" s="30"/>
      <c r="AU250" s="30"/>
      <c r="AV250" s="30"/>
      <c r="AW250" s="30"/>
      <c r="AX250" s="30"/>
      <c r="AY250" s="30"/>
    </row>
    <row r="251">
      <c r="F251" s="87"/>
      <c r="G251" s="87"/>
      <c r="H251" s="87"/>
      <c r="I251" s="87"/>
      <c r="J251" s="87"/>
      <c r="K251" s="87"/>
      <c r="L251" s="87"/>
      <c r="M251" s="87"/>
      <c r="N251" s="87"/>
      <c r="O251" s="87"/>
      <c r="P251" s="87"/>
      <c r="Q251" s="87"/>
      <c r="R251" s="87"/>
      <c r="S251" s="99"/>
      <c r="T251" s="87"/>
      <c r="U251" s="87"/>
      <c r="V251" s="87"/>
      <c r="W251" s="87"/>
      <c r="X251" s="101"/>
      <c r="Y251" s="87"/>
      <c r="Z251" s="87"/>
      <c r="AA251" s="100"/>
      <c r="AB251" s="87"/>
      <c r="AC251" s="87"/>
      <c r="AD251" s="87"/>
      <c r="AE251" s="87"/>
      <c r="AF251" s="87"/>
      <c r="AG251" s="87"/>
      <c r="AH251" s="102"/>
      <c r="AI251" s="87"/>
      <c r="AJ251" s="103"/>
      <c r="AK251" s="87"/>
      <c r="AL251" s="87"/>
      <c r="AM251" s="87"/>
      <c r="AN251" s="87"/>
      <c r="AO251" s="87"/>
      <c r="AP251" s="87"/>
      <c r="AQ251" s="87"/>
      <c r="AR251" s="104"/>
      <c r="AS251" s="87"/>
      <c r="AT251" s="30"/>
      <c r="AU251" s="30"/>
      <c r="AV251" s="30"/>
      <c r="AW251" s="30"/>
      <c r="AX251" s="30"/>
      <c r="AY251" s="30"/>
    </row>
    <row r="252">
      <c r="F252" s="87"/>
      <c r="G252" s="87"/>
      <c r="H252" s="87"/>
      <c r="I252" s="87"/>
      <c r="J252" s="87"/>
      <c r="K252" s="87"/>
      <c r="L252" s="87"/>
      <c r="M252" s="87"/>
      <c r="N252" s="87"/>
      <c r="O252" s="87"/>
      <c r="P252" s="87"/>
      <c r="Q252" s="87"/>
      <c r="R252" s="87"/>
      <c r="S252" s="99"/>
      <c r="T252" s="87"/>
      <c r="U252" s="87"/>
      <c r="V252" s="87"/>
      <c r="W252" s="87"/>
      <c r="X252" s="101"/>
      <c r="Y252" s="87"/>
      <c r="Z252" s="87"/>
      <c r="AA252" s="100"/>
      <c r="AB252" s="87"/>
      <c r="AC252" s="87"/>
      <c r="AD252" s="87"/>
      <c r="AE252" s="87"/>
      <c r="AF252" s="87"/>
      <c r="AG252" s="87"/>
      <c r="AH252" s="102"/>
      <c r="AI252" s="87"/>
      <c r="AJ252" s="103"/>
      <c r="AK252" s="87"/>
      <c r="AL252" s="87"/>
      <c r="AM252" s="87"/>
      <c r="AN252" s="87"/>
      <c r="AO252" s="87"/>
      <c r="AP252" s="87"/>
      <c r="AQ252" s="87"/>
      <c r="AR252" s="104"/>
      <c r="AS252" s="87"/>
      <c r="AT252" s="30"/>
      <c r="AU252" s="30"/>
      <c r="AV252" s="30"/>
      <c r="AW252" s="30"/>
      <c r="AX252" s="30"/>
      <c r="AY252" s="30"/>
    </row>
    <row r="253">
      <c r="F253" s="87"/>
      <c r="G253" s="87"/>
      <c r="H253" s="87"/>
      <c r="I253" s="87"/>
      <c r="J253" s="87"/>
      <c r="K253" s="87"/>
      <c r="L253" s="87"/>
      <c r="M253" s="87"/>
      <c r="N253" s="87"/>
      <c r="O253" s="87"/>
      <c r="P253" s="87"/>
      <c r="Q253" s="87"/>
      <c r="R253" s="87"/>
      <c r="S253" s="99"/>
      <c r="T253" s="87"/>
      <c r="U253" s="87"/>
      <c r="V253" s="87"/>
      <c r="W253" s="87"/>
      <c r="X253" s="101"/>
      <c r="Y253" s="87"/>
      <c r="Z253" s="87"/>
      <c r="AA253" s="100"/>
      <c r="AB253" s="87"/>
      <c r="AC253" s="87"/>
      <c r="AD253" s="87"/>
      <c r="AE253" s="87"/>
      <c r="AF253" s="87"/>
      <c r="AG253" s="87"/>
      <c r="AH253" s="102"/>
      <c r="AI253" s="87"/>
      <c r="AJ253" s="103"/>
      <c r="AK253" s="87"/>
      <c r="AL253" s="87"/>
      <c r="AM253" s="87"/>
      <c r="AN253" s="87"/>
      <c r="AO253" s="87"/>
      <c r="AP253" s="87"/>
      <c r="AQ253" s="87"/>
      <c r="AR253" s="104"/>
      <c r="AS253" s="87"/>
      <c r="AT253" s="30"/>
      <c r="AU253" s="30"/>
      <c r="AV253" s="30"/>
      <c r="AW253" s="30"/>
      <c r="AX253" s="30"/>
      <c r="AY253" s="30"/>
    </row>
    <row r="254">
      <c r="F254" s="87"/>
      <c r="G254" s="87"/>
      <c r="H254" s="87"/>
      <c r="I254" s="87"/>
      <c r="J254" s="87"/>
      <c r="K254" s="87"/>
      <c r="L254" s="87"/>
      <c r="M254" s="87"/>
      <c r="N254" s="87"/>
      <c r="O254" s="87"/>
      <c r="P254" s="87"/>
      <c r="Q254" s="87"/>
      <c r="R254" s="87"/>
      <c r="S254" s="99"/>
      <c r="T254" s="87"/>
      <c r="U254" s="87"/>
      <c r="V254" s="87"/>
      <c r="W254" s="87"/>
      <c r="X254" s="101"/>
      <c r="Y254" s="87"/>
      <c r="Z254" s="87"/>
      <c r="AA254" s="100"/>
      <c r="AB254" s="87"/>
      <c r="AC254" s="87"/>
      <c r="AD254" s="87"/>
      <c r="AE254" s="87"/>
      <c r="AF254" s="87"/>
      <c r="AG254" s="87"/>
      <c r="AH254" s="102"/>
      <c r="AI254" s="87"/>
      <c r="AJ254" s="103"/>
      <c r="AK254" s="87"/>
      <c r="AL254" s="87"/>
      <c r="AM254" s="87"/>
      <c r="AN254" s="87"/>
      <c r="AO254" s="87"/>
      <c r="AP254" s="87"/>
      <c r="AQ254" s="87"/>
      <c r="AR254" s="104"/>
      <c r="AS254" s="87"/>
      <c r="AT254" s="30"/>
      <c r="AU254" s="30"/>
      <c r="AV254" s="30"/>
      <c r="AW254" s="30"/>
      <c r="AX254" s="30"/>
      <c r="AY254" s="30"/>
    </row>
    <row r="255">
      <c r="F255" s="87"/>
      <c r="G255" s="87"/>
      <c r="H255" s="87"/>
      <c r="I255" s="87"/>
      <c r="J255" s="87"/>
      <c r="K255" s="87"/>
      <c r="L255" s="87"/>
      <c r="M255" s="87"/>
      <c r="N255" s="87"/>
      <c r="O255" s="87"/>
      <c r="P255" s="87"/>
      <c r="Q255" s="87"/>
      <c r="R255" s="87"/>
      <c r="S255" s="99"/>
      <c r="T255" s="87"/>
      <c r="U255" s="87"/>
      <c r="V255" s="87"/>
      <c r="W255" s="87"/>
      <c r="X255" s="101"/>
      <c r="Y255" s="87"/>
      <c r="Z255" s="87"/>
      <c r="AA255" s="100"/>
      <c r="AB255" s="87"/>
      <c r="AC255" s="87"/>
      <c r="AD255" s="87"/>
      <c r="AE255" s="87"/>
      <c r="AF255" s="87"/>
      <c r="AG255" s="87"/>
      <c r="AH255" s="102"/>
      <c r="AI255" s="87"/>
      <c r="AJ255" s="103"/>
      <c r="AK255" s="87"/>
      <c r="AL255" s="87"/>
      <c r="AM255" s="87"/>
      <c r="AN255" s="87"/>
      <c r="AO255" s="87"/>
      <c r="AP255" s="87"/>
      <c r="AQ255" s="87"/>
      <c r="AR255" s="104"/>
      <c r="AS255" s="87"/>
      <c r="AT255" s="30"/>
      <c r="AU255" s="30"/>
      <c r="AV255" s="30"/>
      <c r="AW255" s="30"/>
      <c r="AX255" s="30"/>
      <c r="AY255" s="30"/>
    </row>
    <row r="256">
      <c r="F256" s="87"/>
      <c r="G256" s="87"/>
      <c r="H256" s="87"/>
      <c r="I256" s="87"/>
      <c r="J256" s="87"/>
      <c r="K256" s="87"/>
      <c r="L256" s="87"/>
      <c r="M256" s="87"/>
      <c r="N256" s="87"/>
      <c r="O256" s="87"/>
      <c r="P256" s="87"/>
      <c r="Q256" s="87"/>
      <c r="R256" s="87"/>
      <c r="S256" s="99"/>
      <c r="T256" s="87"/>
      <c r="U256" s="87"/>
      <c r="V256" s="87"/>
      <c r="W256" s="87"/>
      <c r="X256" s="101"/>
      <c r="Y256" s="87"/>
      <c r="Z256" s="87"/>
      <c r="AA256" s="100"/>
      <c r="AB256" s="87"/>
      <c r="AC256" s="87"/>
      <c r="AD256" s="87"/>
      <c r="AE256" s="87"/>
      <c r="AF256" s="87"/>
      <c r="AG256" s="87"/>
      <c r="AH256" s="102"/>
      <c r="AI256" s="87"/>
      <c r="AJ256" s="103"/>
      <c r="AK256" s="87"/>
      <c r="AL256" s="87"/>
      <c r="AM256" s="87"/>
      <c r="AN256" s="87"/>
      <c r="AO256" s="87"/>
      <c r="AP256" s="87"/>
      <c r="AQ256" s="87"/>
      <c r="AR256" s="104"/>
      <c r="AS256" s="87"/>
      <c r="AT256" s="30"/>
      <c r="AU256" s="30"/>
      <c r="AV256" s="30"/>
      <c r="AW256" s="30"/>
      <c r="AX256" s="30"/>
      <c r="AY256" s="30"/>
    </row>
    <row r="257">
      <c r="F257" s="87"/>
      <c r="G257" s="87"/>
      <c r="H257" s="87"/>
      <c r="I257" s="87"/>
      <c r="J257" s="87"/>
      <c r="K257" s="87"/>
      <c r="L257" s="87"/>
      <c r="M257" s="87"/>
      <c r="N257" s="87"/>
      <c r="O257" s="87"/>
      <c r="P257" s="87"/>
      <c r="Q257" s="87"/>
      <c r="R257" s="87"/>
      <c r="S257" s="99"/>
      <c r="T257" s="87"/>
      <c r="U257" s="87"/>
      <c r="V257" s="87"/>
      <c r="W257" s="87"/>
      <c r="X257" s="101"/>
      <c r="Y257" s="87"/>
      <c r="Z257" s="87"/>
      <c r="AA257" s="100"/>
      <c r="AB257" s="87"/>
      <c r="AC257" s="87"/>
      <c r="AD257" s="87"/>
      <c r="AE257" s="87"/>
      <c r="AF257" s="87"/>
      <c r="AG257" s="87"/>
      <c r="AH257" s="102"/>
      <c r="AI257" s="87"/>
      <c r="AJ257" s="103"/>
      <c r="AK257" s="87"/>
      <c r="AL257" s="87"/>
      <c r="AM257" s="87"/>
      <c r="AN257" s="87"/>
      <c r="AO257" s="87"/>
      <c r="AP257" s="87"/>
      <c r="AQ257" s="87"/>
      <c r="AR257" s="104"/>
      <c r="AS257" s="87"/>
      <c r="AT257" s="30"/>
      <c r="AU257" s="30"/>
      <c r="AV257" s="30"/>
      <c r="AW257" s="30"/>
      <c r="AX257" s="30"/>
      <c r="AY257" s="30"/>
    </row>
    <row r="258">
      <c r="F258" s="87"/>
      <c r="G258" s="87"/>
      <c r="H258" s="87"/>
      <c r="I258" s="87"/>
      <c r="J258" s="87"/>
      <c r="K258" s="87"/>
      <c r="L258" s="87"/>
      <c r="M258" s="87"/>
      <c r="N258" s="87"/>
      <c r="O258" s="87"/>
      <c r="P258" s="87"/>
      <c r="Q258" s="87"/>
      <c r="R258" s="87"/>
      <c r="S258" s="99"/>
      <c r="T258" s="87"/>
      <c r="U258" s="87"/>
      <c r="V258" s="87"/>
      <c r="W258" s="87"/>
      <c r="X258" s="101"/>
      <c r="Y258" s="87"/>
      <c r="Z258" s="87"/>
      <c r="AA258" s="100"/>
      <c r="AB258" s="87"/>
      <c r="AC258" s="87"/>
      <c r="AD258" s="87"/>
      <c r="AE258" s="87"/>
      <c r="AF258" s="87"/>
      <c r="AG258" s="87"/>
      <c r="AH258" s="102"/>
      <c r="AI258" s="87"/>
      <c r="AJ258" s="103"/>
      <c r="AK258" s="87"/>
      <c r="AL258" s="87"/>
      <c r="AM258" s="87"/>
      <c r="AN258" s="87"/>
      <c r="AO258" s="87"/>
      <c r="AP258" s="87"/>
      <c r="AQ258" s="87"/>
      <c r="AR258" s="104"/>
      <c r="AS258" s="87"/>
      <c r="AT258" s="30"/>
      <c r="AU258" s="30"/>
      <c r="AV258" s="30"/>
      <c r="AW258" s="30"/>
      <c r="AX258" s="30"/>
      <c r="AY258" s="30"/>
    </row>
    <row r="259">
      <c r="F259" s="87"/>
      <c r="G259" s="87"/>
      <c r="H259" s="87"/>
      <c r="I259" s="87"/>
      <c r="J259" s="87"/>
      <c r="K259" s="87"/>
      <c r="L259" s="87"/>
      <c r="M259" s="87"/>
      <c r="N259" s="87"/>
      <c r="O259" s="87"/>
      <c r="P259" s="87"/>
      <c r="Q259" s="87"/>
      <c r="R259" s="87"/>
      <c r="S259" s="99"/>
      <c r="T259" s="87"/>
      <c r="U259" s="87"/>
      <c r="V259" s="87"/>
      <c r="W259" s="87"/>
      <c r="X259" s="101"/>
      <c r="Y259" s="87"/>
      <c r="Z259" s="87"/>
      <c r="AA259" s="100"/>
      <c r="AB259" s="87"/>
      <c r="AC259" s="87"/>
      <c r="AD259" s="87"/>
      <c r="AE259" s="87"/>
      <c r="AF259" s="87"/>
      <c r="AG259" s="87"/>
      <c r="AH259" s="102"/>
      <c r="AI259" s="87"/>
      <c r="AJ259" s="103"/>
      <c r="AK259" s="87"/>
      <c r="AL259" s="87"/>
      <c r="AM259" s="87"/>
      <c r="AN259" s="87"/>
      <c r="AO259" s="87"/>
      <c r="AP259" s="87"/>
      <c r="AQ259" s="87"/>
      <c r="AR259" s="104"/>
      <c r="AS259" s="87"/>
      <c r="AT259" s="30"/>
      <c r="AU259" s="30"/>
      <c r="AV259" s="30"/>
      <c r="AW259" s="30"/>
      <c r="AX259" s="30"/>
      <c r="AY259" s="30"/>
    </row>
    <row r="260">
      <c r="F260" s="87"/>
      <c r="G260" s="87"/>
      <c r="H260" s="87"/>
      <c r="I260" s="87"/>
      <c r="J260" s="87"/>
      <c r="K260" s="87"/>
      <c r="L260" s="87"/>
      <c r="M260" s="87"/>
      <c r="N260" s="87"/>
      <c r="O260" s="87"/>
      <c r="P260" s="87"/>
      <c r="Q260" s="87"/>
      <c r="R260" s="87"/>
      <c r="S260" s="99"/>
      <c r="T260" s="87"/>
      <c r="U260" s="87"/>
      <c r="V260" s="87"/>
      <c r="W260" s="87"/>
      <c r="X260" s="101"/>
      <c r="Y260" s="87"/>
      <c r="Z260" s="87"/>
      <c r="AA260" s="100"/>
      <c r="AB260" s="87"/>
      <c r="AC260" s="87"/>
      <c r="AD260" s="87"/>
      <c r="AE260" s="87"/>
      <c r="AF260" s="87"/>
      <c r="AG260" s="87"/>
      <c r="AH260" s="102"/>
      <c r="AI260" s="87"/>
      <c r="AJ260" s="103"/>
      <c r="AK260" s="87"/>
      <c r="AL260" s="87"/>
      <c r="AM260" s="87"/>
      <c r="AN260" s="87"/>
      <c r="AO260" s="87"/>
      <c r="AP260" s="87"/>
      <c r="AQ260" s="87"/>
      <c r="AR260" s="104"/>
      <c r="AS260" s="87"/>
      <c r="AT260" s="30"/>
      <c r="AU260" s="30"/>
      <c r="AV260" s="30"/>
      <c r="AW260" s="30"/>
      <c r="AX260" s="30"/>
      <c r="AY260" s="30"/>
    </row>
    <row r="261">
      <c r="F261" s="87"/>
      <c r="G261" s="87"/>
      <c r="H261" s="87"/>
      <c r="I261" s="87"/>
      <c r="J261" s="87"/>
      <c r="K261" s="87"/>
      <c r="L261" s="87"/>
      <c r="M261" s="87"/>
      <c r="N261" s="87"/>
      <c r="O261" s="87"/>
      <c r="P261" s="87"/>
      <c r="Q261" s="87"/>
      <c r="R261" s="87"/>
      <c r="S261" s="99"/>
      <c r="T261" s="87"/>
      <c r="U261" s="87"/>
      <c r="V261" s="87"/>
      <c r="W261" s="87"/>
      <c r="X261" s="101"/>
      <c r="Y261" s="87"/>
      <c r="Z261" s="87"/>
      <c r="AA261" s="100"/>
      <c r="AB261" s="87"/>
      <c r="AC261" s="87"/>
      <c r="AD261" s="87"/>
      <c r="AE261" s="87"/>
      <c r="AF261" s="87"/>
      <c r="AG261" s="87"/>
      <c r="AH261" s="102"/>
      <c r="AI261" s="87"/>
      <c r="AJ261" s="103"/>
      <c r="AK261" s="87"/>
      <c r="AL261" s="87"/>
      <c r="AM261" s="87"/>
      <c r="AN261" s="87"/>
      <c r="AO261" s="87"/>
      <c r="AP261" s="87"/>
      <c r="AQ261" s="87"/>
      <c r="AR261" s="104"/>
      <c r="AS261" s="87"/>
      <c r="AT261" s="30"/>
      <c r="AU261" s="30"/>
      <c r="AV261" s="30"/>
      <c r="AW261" s="30"/>
      <c r="AX261" s="30"/>
      <c r="AY261" s="30"/>
    </row>
    <row r="262">
      <c r="F262" s="87"/>
      <c r="G262" s="87"/>
      <c r="H262" s="87"/>
      <c r="I262" s="87"/>
      <c r="J262" s="87"/>
      <c r="K262" s="87"/>
      <c r="L262" s="87"/>
      <c r="M262" s="87"/>
      <c r="N262" s="87"/>
      <c r="O262" s="87"/>
      <c r="P262" s="87"/>
      <c r="Q262" s="87"/>
      <c r="R262" s="87"/>
      <c r="S262" s="99"/>
      <c r="T262" s="87"/>
      <c r="U262" s="87"/>
      <c r="V262" s="87"/>
      <c r="W262" s="87"/>
      <c r="X262" s="101"/>
      <c r="Y262" s="87"/>
      <c r="Z262" s="87"/>
      <c r="AA262" s="100"/>
      <c r="AB262" s="87"/>
      <c r="AC262" s="87"/>
      <c r="AD262" s="87"/>
      <c r="AE262" s="87"/>
      <c r="AF262" s="87"/>
      <c r="AG262" s="87"/>
      <c r="AH262" s="102"/>
      <c r="AI262" s="87"/>
      <c r="AJ262" s="103"/>
      <c r="AK262" s="87"/>
      <c r="AL262" s="87"/>
      <c r="AM262" s="87"/>
      <c r="AN262" s="87"/>
      <c r="AO262" s="87"/>
      <c r="AP262" s="87"/>
      <c r="AQ262" s="87"/>
      <c r="AR262" s="104"/>
      <c r="AS262" s="87"/>
      <c r="AT262" s="30"/>
      <c r="AU262" s="30"/>
      <c r="AV262" s="30"/>
      <c r="AW262" s="30"/>
      <c r="AX262" s="30"/>
      <c r="AY262" s="30"/>
    </row>
    <row r="263">
      <c r="F263" s="87"/>
      <c r="G263" s="87"/>
      <c r="H263" s="87"/>
      <c r="I263" s="87"/>
      <c r="J263" s="87"/>
      <c r="K263" s="87"/>
      <c r="L263" s="87"/>
      <c r="M263" s="87"/>
      <c r="N263" s="87"/>
      <c r="O263" s="87"/>
      <c r="P263" s="87"/>
      <c r="Q263" s="87"/>
      <c r="R263" s="87"/>
      <c r="S263" s="99"/>
      <c r="T263" s="87"/>
      <c r="U263" s="87"/>
      <c r="V263" s="87"/>
      <c r="W263" s="87"/>
      <c r="X263" s="101"/>
      <c r="Y263" s="87"/>
      <c r="Z263" s="87"/>
      <c r="AA263" s="100"/>
      <c r="AB263" s="87"/>
      <c r="AC263" s="87"/>
      <c r="AD263" s="87"/>
      <c r="AE263" s="87"/>
      <c r="AF263" s="87"/>
      <c r="AG263" s="87"/>
      <c r="AH263" s="102"/>
      <c r="AI263" s="87"/>
      <c r="AJ263" s="103"/>
      <c r="AK263" s="87"/>
      <c r="AL263" s="87"/>
      <c r="AM263" s="87"/>
      <c r="AN263" s="87"/>
      <c r="AO263" s="87"/>
      <c r="AP263" s="87"/>
      <c r="AQ263" s="87"/>
      <c r="AR263" s="104"/>
      <c r="AS263" s="87"/>
      <c r="AT263" s="30"/>
      <c r="AU263" s="30"/>
      <c r="AV263" s="30"/>
      <c r="AW263" s="30"/>
      <c r="AX263" s="30"/>
      <c r="AY263" s="30"/>
    </row>
    <row r="264">
      <c r="F264" s="87"/>
      <c r="G264" s="87"/>
      <c r="H264" s="87"/>
      <c r="I264" s="87"/>
      <c r="J264" s="87"/>
      <c r="K264" s="87"/>
      <c r="L264" s="87"/>
      <c r="M264" s="87"/>
      <c r="N264" s="87"/>
      <c r="O264" s="87"/>
      <c r="P264" s="87"/>
      <c r="Q264" s="87"/>
      <c r="R264" s="87"/>
      <c r="S264" s="99"/>
      <c r="T264" s="87"/>
      <c r="U264" s="87"/>
      <c r="V264" s="87"/>
      <c r="W264" s="87"/>
      <c r="X264" s="101"/>
      <c r="Y264" s="87"/>
      <c r="Z264" s="87"/>
      <c r="AA264" s="100"/>
      <c r="AB264" s="87"/>
      <c r="AC264" s="87"/>
      <c r="AD264" s="87"/>
      <c r="AE264" s="87"/>
      <c r="AF264" s="87"/>
      <c r="AG264" s="87"/>
      <c r="AH264" s="102"/>
      <c r="AI264" s="87"/>
      <c r="AJ264" s="103"/>
      <c r="AK264" s="87"/>
      <c r="AL264" s="87"/>
      <c r="AM264" s="87"/>
      <c r="AN264" s="87"/>
      <c r="AO264" s="87"/>
      <c r="AP264" s="87"/>
      <c r="AQ264" s="87"/>
      <c r="AR264" s="104"/>
      <c r="AS264" s="87"/>
      <c r="AT264" s="30"/>
      <c r="AU264" s="30"/>
      <c r="AV264" s="30"/>
      <c r="AW264" s="30"/>
      <c r="AX264" s="30"/>
      <c r="AY264" s="30"/>
    </row>
    <row r="265">
      <c r="F265" s="87"/>
      <c r="G265" s="87"/>
      <c r="H265" s="87"/>
      <c r="I265" s="87"/>
      <c r="J265" s="87"/>
      <c r="K265" s="87"/>
      <c r="L265" s="87"/>
      <c r="M265" s="87"/>
      <c r="N265" s="87"/>
      <c r="O265" s="87"/>
      <c r="P265" s="87"/>
      <c r="Q265" s="87"/>
      <c r="R265" s="87"/>
      <c r="S265" s="99"/>
      <c r="T265" s="87"/>
      <c r="U265" s="87"/>
      <c r="V265" s="87"/>
      <c r="W265" s="87"/>
      <c r="X265" s="101"/>
      <c r="Y265" s="87"/>
      <c r="Z265" s="87"/>
      <c r="AA265" s="100"/>
      <c r="AB265" s="87"/>
      <c r="AC265" s="87"/>
      <c r="AD265" s="87"/>
      <c r="AE265" s="87"/>
      <c r="AF265" s="87"/>
      <c r="AG265" s="87"/>
      <c r="AH265" s="102"/>
      <c r="AI265" s="87"/>
      <c r="AJ265" s="103"/>
      <c r="AK265" s="87"/>
      <c r="AL265" s="87"/>
      <c r="AM265" s="87"/>
      <c r="AN265" s="87"/>
      <c r="AO265" s="87"/>
      <c r="AP265" s="87"/>
      <c r="AQ265" s="87"/>
      <c r="AR265" s="104"/>
      <c r="AS265" s="87"/>
      <c r="AT265" s="30"/>
      <c r="AU265" s="30"/>
      <c r="AV265" s="30"/>
      <c r="AW265" s="30"/>
      <c r="AX265" s="30"/>
      <c r="AY265" s="30"/>
    </row>
    <row r="266">
      <c r="F266" s="87"/>
      <c r="G266" s="87"/>
      <c r="H266" s="87"/>
      <c r="I266" s="87"/>
      <c r="J266" s="87"/>
      <c r="K266" s="87"/>
      <c r="L266" s="87"/>
      <c r="M266" s="87"/>
      <c r="N266" s="87"/>
      <c r="O266" s="87"/>
      <c r="P266" s="87"/>
      <c r="Q266" s="87"/>
      <c r="R266" s="87"/>
      <c r="S266" s="99"/>
      <c r="T266" s="87"/>
      <c r="U266" s="87"/>
      <c r="V266" s="87"/>
      <c r="W266" s="87"/>
      <c r="X266" s="101"/>
      <c r="Y266" s="87"/>
      <c r="Z266" s="87"/>
      <c r="AA266" s="100"/>
      <c r="AB266" s="87"/>
      <c r="AC266" s="87"/>
      <c r="AD266" s="87"/>
      <c r="AE266" s="87"/>
      <c r="AF266" s="87"/>
      <c r="AG266" s="87"/>
      <c r="AH266" s="102"/>
      <c r="AI266" s="87"/>
      <c r="AJ266" s="103"/>
      <c r="AK266" s="87"/>
      <c r="AL266" s="87"/>
      <c r="AM266" s="87"/>
      <c r="AN266" s="87"/>
      <c r="AO266" s="87"/>
      <c r="AP266" s="87"/>
      <c r="AQ266" s="87"/>
      <c r="AR266" s="104"/>
      <c r="AS266" s="87"/>
      <c r="AT266" s="30"/>
      <c r="AU266" s="30"/>
      <c r="AV266" s="30"/>
      <c r="AW266" s="30"/>
      <c r="AX266" s="30"/>
      <c r="AY266" s="30"/>
    </row>
    <row r="267">
      <c r="F267" s="87"/>
      <c r="G267" s="87"/>
      <c r="H267" s="87"/>
      <c r="I267" s="87"/>
      <c r="J267" s="87"/>
      <c r="K267" s="87"/>
      <c r="L267" s="87"/>
      <c r="M267" s="87"/>
      <c r="N267" s="87"/>
      <c r="O267" s="87"/>
      <c r="P267" s="87"/>
      <c r="Q267" s="87"/>
      <c r="R267" s="87"/>
      <c r="S267" s="99"/>
      <c r="T267" s="87"/>
      <c r="U267" s="87"/>
      <c r="V267" s="87"/>
      <c r="W267" s="87"/>
      <c r="X267" s="101"/>
      <c r="Y267" s="87"/>
      <c r="Z267" s="87"/>
      <c r="AA267" s="100"/>
      <c r="AB267" s="87"/>
      <c r="AC267" s="87"/>
      <c r="AD267" s="87"/>
      <c r="AE267" s="87"/>
      <c r="AF267" s="87"/>
      <c r="AG267" s="87"/>
      <c r="AH267" s="102"/>
      <c r="AI267" s="87"/>
      <c r="AJ267" s="103"/>
      <c r="AK267" s="87"/>
      <c r="AL267" s="87"/>
      <c r="AM267" s="87"/>
      <c r="AN267" s="87"/>
      <c r="AO267" s="87"/>
      <c r="AP267" s="87"/>
      <c r="AQ267" s="87"/>
      <c r="AR267" s="104"/>
      <c r="AS267" s="87"/>
      <c r="AT267" s="30"/>
      <c r="AU267" s="30"/>
      <c r="AV267" s="30"/>
      <c r="AW267" s="30"/>
      <c r="AX267" s="30"/>
      <c r="AY267" s="30"/>
    </row>
    <row r="268">
      <c r="F268" s="87"/>
      <c r="G268" s="87"/>
      <c r="H268" s="87"/>
      <c r="I268" s="87"/>
      <c r="J268" s="87"/>
      <c r="K268" s="87"/>
      <c r="L268" s="87"/>
      <c r="M268" s="87"/>
      <c r="N268" s="87"/>
      <c r="O268" s="87"/>
      <c r="P268" s="87"/>
      <c r="Q268" s="87"/>
      <c r="R268" s="87"/>
      <c r="S268" s="99"/>
      <c r="T268" s="87"/>
      <c r="U268" s="87"/>
      <c r="V268" s="87"/>
      <c r="W268" s="87"/>
      <c r="X268" s="101"/>
      <c r="Y268" s="87"/>
      <c r="Z268" s="87"/>
      <c r="AA268" s="100"/>
      <c r="AB268" s="87"/>
      <c r="AC268" s="87"/>
      <c r="AD268" s="87"/>
      <c r="AE268" s="87"/>
      <c r="AF268" s="87"/>
      <c r="AG268" s="87"/>
      <c r="AH268" s="102"/>
      <c r="AI268" s="87"/>
      <c r="AJ268" s="103"/>
      <c r="AK268" s="87"/>
      <c r="AL268" s="87"/>
      <c r="AM268" s="87"/>
      <c r="AN268" s="87"/>
      <c r="AO268" s="87"/>
      <c r="AP268" s="87"/>
      <c r="AQ268" s="87"/>
      <c r="AR268" s="104"/>
      <c r="AS268" s="87"/>
      <c r="AT268" s="30"/>
      <c r="AU268" s="30"/>
      <c r="AV268" s="30"/>
      <c r="AW268" s="30"/>
      <c r="AX268" s="30"/>
      <c r="AY268" s="30"/>
    </row>
    <row r="269">
      <c r="F269" s="87"/>
      <c r="G269" s="87"/>
      <c r="H269" s="87"/>
      <c r="I269" s="87"/>
      <c r="J269" s="87"/>
      <c r="K269" s="87"/>
      <c r="L269" s="87"/>
      <c r="M269" s="87"/>
      <c r="N269" s="87"/>
      <c r="O269" s="87"/>
      <c r="P269" s="87"/>
      <c r="Q269" s="87"/>
      <c r="R269" s="87"/>
      <c r="S269" s="99"/>
      <c r="T269" s="87"/>
      <c r="U269" s="87"/>
      <c r="V269" s="87"/>
      <c r="W269" s="87"/>
      <c r="X269" s="101"/>
      <c r="Y269" s="87"/>
      <c r="Z269" s="87"/>
      <c r="AA269" s="100"/>
      <c r="AB269" s="87"/>
      <c r="AC269" s="87"/>
      <c r="AD269" s="87"/>
      <c r="AE269" s="87"/>
      <c r="AF269" s="87"/>
      <c r="AG269" s="87"/>
      <c r="AH269" s="102"/>
      <c r="AI269" s="87"/>
      <c r="AJ269" s="103"/>
      <c r="AK269" s="87"/>
      <c r="AL269" s="87"/>
      <c r="AM269" s="87"/>
      <c r="AN269" s="87"/>
      <c r="AO269" s="87"/>
      <c r="AP269" s="87"/>
      <c r="AQ269" s="87"/>
      <c r="AR269" s="104"/>
      <c r="AS269" s="87"/>
      <c r="AT269" s="30"/>
      <c r="AU269" s="30"/>
      <c r="AV269" s="30"/>
      <c r="AW269" s="30"/>
      <c r="AX269" s="30"/>
      <c r="AY269" s="30"/>
    </row>
    <row r="270">
      <c r="F270" s="87"/>
      <c r="G270" s="87"/>
      <c r="H270" s="87"/>
      <c r="I270" s="87"/>
      <c r="J270" s="87"/>
      <c r="K270" s="87"/>
      <c r="L270" s="87"/>
      <c r="M270" s="87"/>
      <c r="N270" s="87"/>
      <c r="O270" s="87"/>
      <c r="P270" s="87"/>
      <c r="Q270" s="87"/>
      <c r="R270" s="87"/>
      <c r="S270" s="99"/>
      <c r="T270" s="87"/>
      <c r="U270" s="87"/>
      <c r="V270" s="87"/>
      <c r="W270" s="87"/>
      <c r="X270" s="101"/>
      <c r="Y270" s="87"/>
      <c r="Z270" s="87"/>
      <c r="AA270" s="100"/>
      <c r="AB270" s="87"/>
      <c r="AC270" s="87"/>
      <c r="AD270" s="87"/>
      <c r="AE270" s="87"/>
      <c r="AF270" s="87"/>
      <c r="AG270" s="87"/>
      <c r="AH270" s="102"/>
      <c r="AI270" s="87"/>
      <c r="AJ270" s="103"/>
      <c r="AK270" s="87"/>
      <c r="AL270" s="87"/>
      <c r="AM270" s="87"/>
      <c r="AN270" s="87"/>
      <c r="AO270" s="87"/>
      <c r="AP270" s="87"/>
      <c r="AQ270" s="87"/>
      <c r="AR270" s="104"/>
      <c r="AS270" s="87"/>
      <c r="AT270" s="30"/>
      <c r="AU270" s="30"/>
      <c r="AV270" s="30"/>
      <c r="AW270" s="30"/>
      <c r="AX270" s="30"/>
      <c r="AY270" s="30"/>
    </row>
    <row r="271">
      <c r="F271" s="87"/>
      <c r="G271" s="87"/>
      <c r="H271" s="87"/>
      <c r="I271" s="87"/>
      <c r="J271" s="87"/>
      <c r="K271" s="87"/>
      <c r="L271" s="87"/>
      <c r="M271" s="87"/>
      <c r="N271" s="87"/>
      <c r="O271" s="87"/>
      <c r="P271" s="87"/>
      <c r="Q271" s="87"/>
      <c r="R271" s="87"/>
      <c r="S271" s="99"/>
      <c r="T271" s="87"/>
      <c r="U271" s="87"/>
      <c r="V271" s="87"/>
      <c r="W271" s="87"/>
      <c r="X271" s="101"/>
      <c r="Y271" s="87"/>
      <c r="Z271" s="87"/>
      <c r="AA271" s="100"/>
      <c r="AB271" s="87"/>
      <c r="AC271" s="87"/>
      <c r="AD271" s="87"/>
      <c r="AE271" s="87"/>
      <c r="AF271" s="87"/>
      <c r="AG271" s="87"/>
      <c r="AH271" s="102"/>
      <c r="AI271" s="87"/>
      <c r="AJ271" s="103"/>
      <c r="AK271" s="87"/>
      <c r="AL271" s="87"/>
      <c r="AM271" s="87"/>
      <c r="AN271" s="87"/>
      <c r="AO271" s="87"/>
      <c r="AP271" s="87"/>
      <c r="AQ271" s="87"/>
      <c r="AR271" s="104"/>
      <c r="AS271" s="87"/>
      <c r="AT271" s="30"/>
      <c r="AU271" s="30"/>
      <c r="AV271" s="30"/>
      <c r="AW271" s="30"/>
      <c r="AX271" s="30"/>
      <c r="AY271" s="30"/>
    </row>
    <row r="272">
      <c r="F272" s="87"/>
      <c r="G272" s="87"/>
      <c r="H272" s="87"/>
      <c r="I272" s="87"/>
      <c r="J272" s="87"/>
      <c r="K272" s="87"/>
      <c r="L272" s="87"/>
      <c r="M272" s="87"/>
      <c r="N272" s="87"/>
      <c r="O272" s="87"/>
      <c r="P272" s="87"/>
      <c r="Q272" s="87"/>
      <c r="R272" s="87"/>
      <c r="S272" s="99"/>
      <c r="T272" s="87"/>
      <c r="U272" s="87"/>
      <c r="V272" s="87"/>
      <c r="W272" s="87"/>
      <c r="X272" s="101"/>
      <c r="Y272" s="87"/>
      <c r="Z272" s="87"/>
      <c r="AA272" s="100"/>
      <c r="AB272" s="87"/>
      <c r="AC272" s="87"/>
      <c r="AD272" s="87"/>
      <c r="AE272" s="87"/>
      <c r="AF272" s="87"/>
      <c r="AG272" s="87"/>
      <c r="AH272" s="102"/>
      <c r="AI272" s="87"/>
      <c r="AJ272" s="103"/>
      <c r="AK272" s="87"/>
      <c r="AL272" s="87"/>
      <c r="AM272" s="87"/>
      <c r="AN272" s="87"/>
      <c r="AO272" s="87"/>
      <c r="AP272" s="87"/>
      <c r="AQ272" s="87"/>
      <c r="AR272" s="104"/>
      <c r="AS272" s="87"/>
      <c r="AT272" s="30"/>
      <c r="AU272" s="30"/>
      <c r="AV272" s="30"/>
      <c r="AW272" s="30"/>
      <c r="AX272" s="30"/>
      <c r="AY272" s="30"/>
    </row>
    <row r="273">
      <c r="F273" s="87"/>
      <c r="G273" s="87"/>
      <c r="H273" s="87"/>
      <c r="I273" s="87"/>
      <c r="J273" s="87"/>
      <c r="K273" s="87"/>
      <c r="L273" s="87"/>
      <c r="M273" s="87"/>
      <c r="N273" s="87"/>
      <c r="O273" s="87"/>
      <c r="P273" s="87"/>
      <c r="Q273" s="87"/>
      <c r="R273" s="87"/>
      <c r="S273" s="99"/>
      <c r="T273" s="87"/>
      <c r="U273" s="87"/>
      <c r="V273" s="87"/>
      <c r="W273" s="87"/>
      <c r="X273" s="101"/>
      <c r="Y273" s="87"/>
      <c r="Z273" s="87"/>
      <c r="AA273" s="100"/>
      <c r="AB273" s="87"/>
      <c r="AC273" s="87"/>
      <c r="AD273" s="87"/>
      <c r="AE273" s="87"/>
      <c r="AF273" s="87"/>
      <c r="AG273" s="87"/>
      <c r="AH273" s="102"/>
      <c r="AI273" s="87"/>
      <c r="AJ273" s="103"/>
      <c r="AK273" s="87"/>
      <c r="AL273" s="87"/>
      <c r="AM273" s="87"/>
      <c r="AN273" s="87"/>
      <c r="AO273" s="87"/>
      <c r="AP273" s="87"/>
      <c r="AQ273" s="87"/>
      <c r="AR273" s="104"/>
      <c r="AS273" s="87"/>
      <c r="AT273" s="30"/>
      <c r="AU273" s="30"/>
      <c r="AV273" s="30"/>
      <c r="AW273" s="30"/>
      <c r="AX273" s="30"/>
      <c r="AY273" s="30"/>
    </row>
    <row r="274">
      <c r="F274" s="87"/>
      <c r="G274" s="87"/>
      <c r="H274" s="87"/>
      <c r="I274" s="87"/>
      <c r="J274" s="87"/>
      <c r="K274" s="87"/>
      <c r="L274" s="87"/>
      <c r="M274" s="87"/>
      <c r="N274" s="87"/>
      <c r="O274" s="87"/>
      <c r="P274" s="87"/>
      <c r="Q274" s="87"/>
      <c r="R274" s="87"/>
      <c r="S274" s="99"/>
      <c r="T274" s="87"/>
      <c r="U274" s="87"/>
      <c r="V274" s="87"/>
      <c r="W274" s="87"/>
      <c r="X274" s="101"/>
      <c r="Y274" s="87"/>
      <c r="Z274" s="87"/>
      <c r="AA274" s="100"/>
      <c r="AB274" s="87"/>
      <c r="AC274" s="87"/>
      <c r="AD274" s="87"/>
      <c r="AE274" s="87"/>
      <c r="AF274" s="87"/>
      <c r="AG274" s="87"/>
      <c r="AH274" s="102"/>
      <c r="AI274" s="87"/>
      <c r="AJ274" s="103"/>
      <c r="AK274" s="87"/>
      <c r="AL274" s="87"/>
      <c r="AM274" s="87"/>
      <c r="AN274" s="87"/>
      <c r="AO274" s="87"/>
      <c r="AP274" s="87"/>
      <c r="AQ274" s="87"/>
      <c r="AR274" s="104"/>
      <c r="AS274" s="87"/>
      <c r="AT274" s="30"/>
      <c r="AU274" s="30"/>
      <c r="AV274" s="30"/>
      <c r="AW274" s="30"/>
      <c r="AX274" s="30"/>
      <c r="AY274" s="30"/>
    </row>
    <row r="275">
      <c r="F275" s="87"/>
      <c r="G275" s="87"/>
      <c r="H275" s="87"/>
      <c r="I275" s="87"/>
      <c r="J275" s="87"/>
      <c r="K275" s="87"/>
      <c r="L275" s="87"/>
      <c r="M275" s="87"/>
      <c r="N275" s="87"/>
      <c r="O275" s="87"/>
      <c r="P275" s="87"/>
      <c r="Q275" s="87"/>
      <c r="R275" s="87"/>
      <c r="S275" s="99"/>
      <c r="T275" s="87"/>
      <c r="U275" s="87"/>
      <c r="V275" s="87"/>
      <c r="W275" s="87"/>
      <c r="X275" s="101"/>
      <c r="Y275" s="87"/>
      <c r="Z275" s="87"/>
      <c r="AA275" s="100"/>
      <c r="AB275" s="87"/>
      <c r="AC275" s="87"/>
      <c r="AD275" s="87"/>
      <c r="AE275" s="87"/>
      <c r="AF275" s="87"/>
      <c r="AG275" s="87"/>
      <c r="AH275" s="102"/>
      <c r="AI275" s="87"/>
      <c r="AJ275" s="103"/>
      <c r="AK275" s="87"/>
      <c r="AL275" s="87"/>
      <c r="AM275" s="87"/>
      <c r="AN275" s="87"/>
      <c r="AO275" s="87"/>
      <c r="AP275" s="87"/>
      <c r="AQ275" s="87"/>
      <c r="AR275" s="104"/>
      <c r="AS275" s="87"/>
      <c r="AT275" s="30"/>
      <c r="AU275" s="30"/>
      <c r="AV275" s="30"/>
      <c r="AW275" s="30"/>
      <c r="AX275" s="30"/>
      <c r="AY275" s="30"/>
    </row>
    <row r="276">
      <c r="F276" s="87"/>
      <c r="G276" s="87"/>
      <c r="H276" s="87"/>
      <c r="I276" s="87"/>
      <c r="J276" s="87"/>
      <c r="K276" s="87"/>
      <c r="L276" s="87"/>
      <c r="M276" s="87"/>
      <c r="N276" s="87"/>
      <c r="O276" s="87"/>
      <c r="P276" s="87"/>
      <c r="Q276" s="87"/>
      <c r="R276" s="87"/>
      <c r="S276" s="99"/>
      <c r="T276" s="87"/>
      <c r="U276" s="87"/>
      <c r="V276" s="87"/>
      <c r="W276" s="87"/>
      <c r="X276" s="101"/>
      <c r="Y276" s="87"/>
      <c r="Z276" s="87"/>
      <c r="AA276" s="100"/>
      <c r="AB276" s="87"/>
      <c r="AC276" s="87"/>
      <c r="AD276" s="87"/>
      <c r="AE276" s="87"/>
      <c r="AF276" s="87"/>
      <c r="AG276" s="87"/>
      <c r="AH276" s="102"/>
      <c r="AI276" s="87"/>
      <c r="AJ276" s="103"/>
      <c r="AK276" s="87"/>
      <c r="AL276" s="87"/>
      <c r="AM276" s="87"/>
      <c r="AN276" s="87"/>
      <c r="AO276" s="87"/>
      <c r="AP276" s="87"/>
      <c r="AQ276" s="87"/>
      <c r="AR276" s="104"/>
      <c r="AS276" s="87"/>
      <c r="AT276" s="30"/>
      <c r="AU276" s="30"/>
      <c r="AV276" s="30"/>
      <c r="AW276" s="30"/>
      <c r="AX276" s="30"/>
      <c r="AY276" s="30"/>
    </row>
    <row r="277">
      <c r="F277" s="87"/>
      <c r="G277" s="87"/>
      <c r="H277" s="87"/>
      <c r="I277" s="87"/>
      <c r="J277" s="87"/>
      <c r="K277" s="87"/>
      <c r="L277" s="87"/>
      <c r="M277" s="87"/>
      <c r="N277" s="87"/>
      <c r="O277" s="87"/>
      <c r="P277" s="87"/>
      <c r="Q277" s="87"/>
      <c r="R277" s="87"/>
      <c r="S277" s="99"/>
      <c r="T277" s="87"/>
      <c r="U277" s="87"/>
      <c r="V277" s="87"/>
      <c r="W277" s="87"/>
      <c r="X277" s="101"/>
      <c r="Y277" s="87"/>
      <c r="Z277" s="87"/>
      <c r="AA277" s="100"/>
      <c r="AB277" s="87"/>
      <c r="AC277" s="87"/>
      <c r="AD277" s="87"/>
      <c r="AE277" s="87"/>
      <c r="AF277" s="87"/>
      <c r="AG277" s="87"/>
      <c r="AH277" s="102"/>
      <c r="AI277" s="87"/>
      <c r="AJ277" s="103"/>
      <c r="AK277" s="87"/>
      <c r="AL277" s="87"/>
      <c r="AM277" s="87"/>
      <c r="AN277" s="87"/>
      <c r="AO277" s="87"/>
      <c r="AP277" s="87"/>
      <c r="AQ277" s="87"/>
      <c r="AR277" s="104"/>
      <c r="AS277" s="87"/>
      <c r="AT277" s="30"/>
      <c r="AU277" s="30"/>
      <c r="AV277" s="30"/>
      <c r="AW277" s="30"/>
      <c r="AX277" s="30"/>
      <c r="AY277" s="30"/>
    </row>
    <row r="278">
      <c r="F278" s="87"/>
      <c r="G278" s="87"/>
      <c r="H278" s="87"/>
      <c r="I278" s="87"/>
      <c r="J278" s="87"/>
      <c r="K278" s="87"/>
      <c r="L278" s="87"/>
      <c r="M278" s="87"/>
      <c r="N278" s="87"/>
      <c r="O278" s="87"/>
      <c r="P278" s="87"/>
      <c r="Q278" s="87"/>
      <c r="R278" s="87"/>
      <c r="S278" s="99"/>
      <c r="T278" s="87"/>
      <c r="U278" s="87"/>
      <c r="V278" s="87"/>
      <c r="W278" s="87"/>
      <c r="X278" s="101"/>
      <c r="Y278" s="87"/>
      <c r="Z278" s="87"/>
      <c r="AA278" s="100"/>
      <c r="AB278" s="87"/>
      <c r="AC278" s="87"/>
      <c r="AD278" s="87"/>
      <c r="AE278" s="87"/>
      <c r="AF278" s="87"/>
      <c r="AG278" s="87"/>
      <c r="AH278" s="102"/>
      <c r="AI278" s="87"/>
      <c r="AJ278" s="103"/>
      <c r="AK278" s="87"/>
      <c r="AL278" s="87"/>
      <c r="AM278" s="87"/>
      <c r="AN278" s="87"/>
      <c r="AO278" s="87"/>
      <c r="AP278" s="87"/>
      <c r="AQ278" s="87"/>
      <c r="AR278" s="104"/>
      <c r="AS278" s="87"/>
      <c r="AT278" s="30"/>
      <c r="AU278" s="30"/>
      <c r="AV278" s="30"/>
      <c r="AW278" s="30"/>
      <c r="AX278" s="30"/>
      <c r="AY278" s="30"/>
    </row>
    <row r="279">
      <c r="F279" s="87"/>
      <c r="G279" s="87"/>
      <c r="H279" s="87"/>
      <c r="I279" s="87"/>
      <c r="J279" s="87"/>
      <c r="K279" s="87"/>
      <c r="L279" s="87"/>
      <c r="M279" s="87"/>
      <c r="N279" s="87"/>
      <c r="O279" s="87"/>
      <c r="P279" s="87"/>
      <c r="Q279" s="87"/>
      <c r="R279" s="87"/>
      <c r="S279" s="99"/>
      <c r="T279" s="87"/>
      <c r="U279" s="87"/>
      <c r="V279" s="87"/>
      <c r="W279" s="87"/>
      <c r="X279" s="101"/>
      <c r="Y279" s="87"/>
      <c r="Z279" s="87"/>
      <c r="AA279" s="100"/>
      <c r="AB279" s="87"/>
      <c r="AC279" s="87"/>
      <c r="AD279" s="87"/>
      <c r="AE279" s="87"/>
      <c r="AF279" s="87"/>
      <c r="AG279" s="87"/>
      <c r="AH279" s="102"/>
      <c r="AI279" s="87"/>
      <c r="AJ279" s="103"/>
      <c r="AK279" s="87"/>
      <c r="AL279" s="87"/>
      <c r="AM279" s="87"/>
      <c r="AN279" s="87"/>
      <c r="AO279" s="87"/>
      <c r="AP279" s="87"/>
      <c r="AQ279" s="87"/>
      <c r="AR279" s="104"/>
      <c r="AS279" s="87"/>
      <c r="AT279" s="30"/>
      <c r="AU279" s="30"/>
      <c r="AV279" s="30"/>
      <c r="AW279" s="30"/>
      <c r="AX279" s="30"/>
      <c r="AY279" s="30"/>
    </row>
    <row r="280">
      <c r="F280" s="87"/>
      <c r="G280" s="87"/>
      <c r="H280" s="87"/>
      <c r="I280" s="87"/>
      <c r="J280" s="87"/>
      <c r="K280" s="87"/>
      <c r="L280" s="87"/>
      <c r="M280" s="87"/>
      <c r="N280" s="87"/>
      <c r="O280" s="87"/>
      <c r="P280" s="87"/>
      <c r="Q280" s="87"/>
      <c r="R280" s="87"/>
      <c r="S280" s="99"/>
      <c r="T280" s="87"/>
      <c r="U280" s="87"/>
      <c r="V280" s="87"/>
      <c r="W280" s="87"/>
      <c r="X280" s="101"/>
      <c r="Y280" s="87"/>
      <c r="Z280" s="87"/>
      <c r="AA280" s="100"/>
      <c r="AB280" s="87"/>
      <c r="AC280" s="87"/>
      <c r="AD280" s="87"/>
      <c r="AE280" s="87"/>
      <c r="AF280" s="87"/>
      <c r="AG280" s="87"/>
      <c r="AH280" s="102"/>
      <c r="AI280" s="87"/>
      <c r="AJ280" s="103"/>
      <c r="AK280" s="87"/>
      <c r="AL280" s="87"/>
      <c r="AM280" s="87"/>
      <c r="AN280" s="87"/>
      <c r="AO280" s="87"/>
      <c r="AP280" s="87"/>
      <c r="AQ280" s="87"/>
      <c r="AR280" s="104"/>
      <c r="AS280" s="87"/>
      <c r="AT280" s="30"/>
      <c r="AU280" s="30"/>
      <c r="AV280" s="30"/>
      <c r="AW280" s="30"/>
      <c r="AX280" s="30"/>
      <c r="AY280" s="30"/>
    </row>
    <row r="281">
      <c r="F281" s="87"/>
      <c r="G281" s="87"/>
      <c r="H281" s="87"/>
      <c r="I281" s="87"/>
      <c r="J281" s="87"/>
      <c r="K281" s="87"/>
      <c r="L281" s="87"/>
      <c r="M281" s="87"/>
      <c r="N281" s="87"/>
      <c r="O281" s="87"/>
      <c r="P281" s="87"/>
      <c r="Q281" s="87"/>
      <c r="R281" s="87"/>
      <c r="S281" s="99"/>
      <c r="T281" s="87"/>
      <c r="U281" s="87"/>
      <c r="V281" s="87"/>
      <c r="W281" s="87"/>
      <c r="X281" s="101"/>
      <c r="Y281" s="87"/>
      <c r="Z281" s="87"/>
      <c r="AA281" s="100"/>
      <c r="AB281" s="87"/>
      <c r="AC281" s="87"/>
      <c r="AD281" s="87"/>
      <c r="AE281" s="87"/>
      <c r="AF281" s="87"/>
      <c r="AG281" s="87"/>
      <c r="AH281" s="102"/>
      <c r="AI281" s="87"/>
      <c r="AJ281" s="103"/>
      <c r="AK281" s="87"/>
      <c r="AL281" s="87"/>
      <c r="AM281" s="87"/>
      <c r="AN281" s="87"/>
      <c r="AO281" s="87"/>
      <c r="AP281" s="87"/>
      <c r="AQ281" s="87"/>
      <c r="AR281" s="104"/>
      <c r="AS281" s="87"/>
      <c r="AT281" s="30"/>
      <c r="AU281" s="30"/>
      <c r="AV281" s="30"/>
      <c r="AW281" s="30"/>
      <c r="AX281" s="30"/>
      <c r="AY281" s="30"/>
    </row>
    <row r="282">
      <c r="F282" s="87"/>
      <c r="G282" s="87"/>
      <c r="H282" s="87"/>
      <c r="I282" s="87"/>
      <c r="J282" s="87"/>
      <c r="K282" s="87"/>
      <c r="L282" s="87"/>
      <c r="M282" s="87"/>
      <c r="N282" s="87"/>
      <c r="O282" s="87"/>
      <c r="P282" s="87"/>
      <c r="Q282" s="87"/>
      <c r="R282" s="87"/>
      <c r="S282" s="99"/>
      <c r="T282" s="87"/>
      <c r="U282" s="87"/>
      <c r="V282" s="87"/>
      <c r="W282" s="87"/>
      <c r="X282" s="101"/>
      <c r="Y282" s="87"/>
      <c r="Z282" s="87"/>
      <c r="AA282" s="100"/>
      <c r="AB282" s="87"/>
      <c r="AC282" s="87"/>
      <c r="AD282" s="87"/>
      <c r="AE282" s="87"/>
      <c r="AF282" s="87"/>
      <c r="AG282" s="87"/>
      <c r="AH282" s="102"/>
      <c r="AI282" s="87"/>
      <c r="AJ282" s="103"/>
      <c r="AK282" s="87"/>
      <c r="AL282" s="87"/>
      <c r="AM282" s="87"/>
      <c r="AN282" s="87"/>
      <c r="AO282" s="87"/>
      <c r="AP282" s="87"/>
      <c r="AQ282" s="87"/>
      <c r="AR282" s="104"/>
      <c r="AS282" s="87"/>
      <c r="AT282" s="30"/>
      <c r="AU282" s="30"/>
      <c r="AV282" s="30"/>
      <c r="AW282" s="30"/>
      <c r="AX282" s="30"/>
      <c r="AY282" s="30"/>
    </row>
    <row r="283">
      <c r="F283" s="87"/>
      <c r="G283" s="87"/>
      <c r="H283" s="87"/>
      <c r="I283" s="87"/>
      <c r="J283" s="87"/>
      <c r="K283" s="87"/>
      <c r="L283" s="87"/>
      <c r="M283" s="87"/>
      <c r="N283" s="87"/>
      <c r="O283" s="87"/>
      <c r="P283" s="87"/>
      <c r="Q283" s="87"/>
      <c r="R283" s="87"/>
      <c r="S283" s="99"/>
      <c r="T283" s="87"/>
      <c r="U283" s="87"/>
      <c r="V283" s="87"/>
      <c r="W283" s="87"/>
      <c r="X283" s="101"/>
      <c r="Y283" s="87"/>
      <c r="Z283" s="87"/>
      <c r="AA283" s="100"/>
      <c r="AB283" s="87"/>
      <c r="AC283" s="87"/>
      <c r="AD283" s="87"/>
      <c r="AE283" s="87"/>
      <c r="AF283" s="87"/>
      <c r="AG283" s="87"/>
      <c r="AH283" s="102"/>
      <c r="AI283" s="87"/>
      <c r="AJ283" s="103"/>
      <c r="AK283" s="87"/>
      <c r="AL283" s="87"/>
      <c r="AM283" s="87"/>
      <c r="AN283" s="87"/>
      <c r="AO283" s="87"/>
      <c r="AP283" s="87"/>
      <c r="AQ283" s="87"/>
      <c r="AR283" s="104"/>
      <c r="AS283" s="87"/>
      <c r="AT283" s="30"/>
      <c r="AU283" s="30"/>
      <c r="AV283" s="30"/>
      <c r="AW283" s="30"/>
      <c r="AX283" s="30"/>
      <c r="AY283" s="30"/>
    </row>
    <row r="284">
      <c r="F284" s="87"/>
      <c r="G284" s="87"/>
      <c r="H284" s="87"/>
      <c r="I284" s="87"/>
      <c r="J284" s="87"/>
      <c r="K284" s="87"/>
      <c r="L284" s="87"/>
      <c r="M284" s="87"/>
      <c r="N284" s="87"/>
      <c r="O284" s="87"/>
      <c r="P284" s="87"/>
      <c r="Q284" s="87"/>
      <c r="R284" s="87"/>
      <c r="S284" s="99"/>
      <c r="T284" s="87"/>
      <c r="U284" s="87"/>
      <c r="V284" s="87"/>
      <c r="W284" s="87"/>
      <c r="X284" s="101"/>
      <c r="Y284" s="87"/>
      <c r="Z284" s="87"/>
      <c r="AA284" s="100"/>
      <c r="AB284" s="87"/>
      <c r="AC284" s="87"/>
      <c r="AD284" s="87"/>
      <c r="AE284" s="87"/>
      <c r="AF284" s="87"/>
      <c r="AG284" s="87"/>
      <c r="AH284" s="102"/>
      <c r="AI284" s="87"/>
      <c r="AJ284" s="103"/>
      <c r="AK284" s="87"/>
      <c r="AL284" s="87"/>
      <c r="AM284" s="87"/>
      <c r="AN284" s="87"/>
      <c r="AO284" s="87"/>
      <c r="AP284" s="87"/>
      <c r="AQ284" s="87"/>
      <c r="AR284" s="104"/>
      <c r="AS284" s="87"/>
      <c r="AT284" s="30"/>
      <c r="AU284" s="30"/>
      <c r="AV284" s="30"/>
      <c r="AW284" s="30"/>
      <c r="AX284" s="30"/>
      <c r="AY284" s="30"/>
    </row>
    <row r="285">
      <c r="F285" s="87"/>
      <c r="G285" s="87"/>
      <c r="H285" s="87"/>
      <c r="I285" s="87"/>
      <c r="J285" s="87"/>
      <c r="K285" s="87"/>
      <c r="L285" s="87"/>
      <c r="M285" s="87"/>
      <c r="N285" s="87"/>
      <c r="O285" s="87"/>
      <c r="P285" s="87"/>
      <c r="Q285" s="87"/>
      <c r="R285" s="87"/>
      <c r="S285" s="99"/>
      <c r="T285" s="87"/>
      <c r="U285" s="87"/>
      <c r="V285" s="87"/>
      <c r="W285" s="87"/>
      <c r="X285" s="101"/>
      <c r="Y285" s="87"/>
      <c r="Z285" s="87"/>
      <c r="AA285" s="100"/>
      <c r="AB285" s="87"/>
      <c r="AC285" s="87"/>
      <c r="AD285" s="87"/>
      <c r="AE285" s="87"/>
      <c r="AF285" s="87"/>
      <c r="AG285" s="87"/>
      <c r="AH285" s="102"/>
      <c r="AI285" s="87"/>
      <c r="AJ285" s="103"/>
      <c r="AK285" s="87"/>
      <c r="AL285" s="87"/>
      <c r="AM285" s="87"/>
      <c r="AN285" s="87"/>
      <c r="AO285" s="87"/>
      <c r="AP285" s="87"/>
      <c r="AQ285" s="87"/>
      <c r="AR285" s="104"/>
      <c r="AS285" s="87"/>
      <c r="AT285" s="30"/>
      <c r="AU285" s="30"/>
      <c r="AV285" s="30"/>
      <c r="AW285" s="30"/>
      <c r="AX285" s="30"/>
      <c r="AY285" s="30"/>
    </row>
    <row r="286">
      <c r="F286" s="87"/>
      <c r="G286" s="87"/>
      <c r="H286" s="87"/>
      <c r="I286" s="87"/>
      <c r="J286" s="87"/>
      <c r="K286" s="87"/>
      <c r="L286" s="87"/>
      <c r="M286" s="87"/>
      <c r="N286" s="87"/>
      <c r="O286" s="87"/>
      <c r="P286" s="87"/>
      <c r="Q286" s="87"/>
      <c r="R286" s="87"/>
      <c r="S286" s="99"/>
      <c r="T286" s="87"/>
      <c r="U286" s="87"/>
      <c r="V286" s="87"/>
      <c r="W286" s="87"/>
      <c r="X286" s="101"/>
      <c r="Y286" s="87"/>
      <c r="Z286" s="87"/>
      <c r="AA286" s="100"/>
      <c r="AB286" s="87"/>
      <c r="AC286" s="87"/>
      <c r="AD286" s="87"/>
      <c r="AE286" s="87"/>
      <c r="AF286" s="87"/>
      <c r="AG286" s="87"/>
      <c r="AH286" s="102"/>
      <c r="AI286" s="87"/>
      <c r="AJ286" s="103"/>
      <c r="AK286" s="87"/>
      <c r="AL286" s="87"/>
      <c r="AM286" s="87"/>
      <c r="AN286" s="87"/>
      <c r="AO286" s="87"/>
      <c r="AP286" s="87"/>
      <c r="AQ286" s="87"/>
      <c r="AR286" s="104"/>
      <c r="AS286" s="87"/>
      <c r="AT286" s="30"/>
      <c r="AU286" s="30"/>
      <c r="AV286" s="30"/>
      <c r="AW286" s="30"/>
      <c r="AX286" s="30"/>
      <c r="AY286" s="30"/>
    </row>
    <row r="287">
      <c r="F287" s="87"/>
      <c r="G287" s="87"/>
      <c r="H287" s="87"/>
      <c r="I287" s="87"/>
      <c r="J287" s="87"/>
      <c r="K287" s="87"/>
      <c r="L287" s="87"/>
      <c r="M287" s="87"/>
      <c r="N287" s="87"/>
      <c r="O287" s="87"/>
      <c r="P287" s="87"/>
      <c r="Q287" s="87"/>
      <c r="R287" s="87"/>
      <c r="S287" s="99"/>
      <c r="T287" s="87"/>
      <c r="U287" s="87"/>
      <c r="V287" s="87"/>
      <c r="W287" s="87"/>
      <c r="X287" s="101"/>
      <c r="Y287" s="87"/>
      <c r="Z287" s="87"/>
      <c r="AA287" s="100"/>
      <c r="AB287" s="87"/>
      <c r="AC287" s="87"/>
      <c r="AD287" s="87"/>
      <c r="AE287" s="87"/>
      <c r="AF287" s="87"/>
      <c r="AG287" s="87"/>
      <c r="AH287" s="102"/>
      <c r="AI287" s="87"/>
      <c r="AJ287" s="103"/>
      <c r="AK287" s="87"/>
      <c r="AL287" s="87"/>
      <c r="AM287" s="87"/>
      <c r="AN287" s="87"/>
      <c r="AO287" s="87"/>
      <c r="AP287" s="87"/>
      <c r="AQ287" s="87"/>
      <c r="AR287" s="104"/>
      <c r="AS287" s="87"/>
      <c r="AT287" s="30"/>
      <c r="AU287" s="30"/>
      <c r="AV287" s="30"/>
      <c r="AW287" s="30"/>
      <c r="AX287" s="30"/>
      <c r="AY287" s="30"/>
    </row>
    <row r="288">
      <c r="F288" s="87"/>
      <c r="G288" s="87"/>
      <c r="H288" s="87"/>
      <c r="I288" s="87"/>
      <c r="J288" s="87"/>
      <c r="K288" s="87"/>
      <c r="L288" s="87"/>
      <c r="M288" s="87"/>
      <c r="N288" s="87"/>
      <c r="O288" s="87"/>
      <c r="P288" s="87"/>
      <c r="Q288" s="87"/>
      <c r="R288" s="87"/>
      <c r="S288" s="99"/>
      <c r="T288" s="87"/>
      <c r="U288" s="87"/>
      <c r="V288" s="87"/>
      <c r="W288" s="87"/>
      <c r="X288" s="101"/>
      <c r="Y288" s="87"/>
      <c r="Z288" s="87"/>
      <c r="AA288" s="100"/>
      <c r="AB288" s="87"/>
      <c r="AC288" s="87"/>
      <c r="AD288" s="87"/>
      <c r="AE288" s="87"/>
      <c r="AF288" s="87"/>
      <c r="AG288" s="87"/>
      <c r="AH288" s="102"/>
      <c r="AI288" s="87"/>
      <c r="AJ288" s="103"/>
      <c r="AK288" s="87"/>
      <c r="AL288" s="87"/>
      <c r="AM288" s="87"/>
      <c r="AN288" s="87"/>
      <c r="AO288" s="87"/>
      <c r="AP288" s="87"/>
      <c r="AQ288" s="87"/>
      <c r="AR288" s="104"/>
      <c r="AS288" s="87"/>
      <c r="AT288" s="30"/>
      <c r="AU288" s="30"/>
      <c r="AV288" s="30"/>
      <c r="AW288" s="30"/>
      <c r="AX288" s="30"/>
      <c r="AY288" s="30"/>
    </row>
    <row r="289">
      <c r="F289" s="87"/>
      <c r="G289" s="87"/>
      <c r="H289" s="87"/>
      <c r="I289" s="87"/>
      <c r="J289" s="87"/>
      <c r="K289" s="87"/>
      <c r="L289" s="87"/>
      <c r="M289" s="87"/>
      <c r="N289" s="87"/>
      <c r="O289" s="87"/>
      <c r="P289" s="87"/>
      <c r="Q289" s="87"/>
      <c r="R289" s="87"/>
      <c r="S289" s="99"/>
      <c r="T289" s="87"/>
      <c r="U289" s="87"/>
      <c r="V289" s="87"/>
      <c r="W289" s="87"/>
      <c r="X289" s="101"/>
      <c r="Y289" s="87"/>
      <c r="Z289" s="87"/>
      <c r="AA289" s="100"/>
      <c r="AB289" s="87"/>
      <c r="AC289" s="87"/>
      <c r="AD289" s="87"/>
      <c r="AE289" s="87"/>
      <c r="AF289" s="87"/>
      <c r="AG289" s="87"/>
      <c r="AH289" s="102"/>
      <c r="AI289" s="87"/>
      <c r="AJ289" s="103"/>
      <c r="AK289" s="87"/>
      <c r="AL289" s="87"/>
      <c r="AM289" s="87"/>
      <c r="AN289" s="87"/>
      <c r="AO289" s="87"/>
      <c r="AP289" s="87"/>
      <c r="AQ289" s="87"/>
      <c r="AR289" s="104"/>
      <c r="AS289" s="87"/>
      <c r="AT289" s="30"/>
      <c r="AU289" s="30"/>
      <c r="AV289" s="30"/>
      <c r="AW289" s="30"/>
      <c r="AX289" s="30"/>
      <c r="AY289" s="30"/>
    </row>
    <row r="290">
      <c r="F290" s="87"/>
      <c r="G290" s="87"/>
      <c r="H290" s="87"/>
      <c r="I290" s="87"/>
      <c r="J290" s="87"/>
      <c r="K290" s="87"/>
      <c r="L290" s="87"/>
      <c r="M290" s="87"/>
      <c r="N290" s="87"/>
      <c r="O290" s="87"/>
      <c r="P290" s="87"/>
      <c r="Q290" s="87"/>
      <c r="R290" s="87"/>
      <c r="S290" s="99"/>
      <c r="T290" s="87"/>
      <c r="U290" s="87"/>
      <c r="V290" s="87"/>
      <c r="W290" s="87"/>
      <c r="X290" s="101"/>
      <c r="Y290" s="87"/>
      <c r="Z290" s="87"/>
      <c r="AA290" s="100"/>
      <c r="AB290" s="87"/>
      <c r="AC290" s="87"/>
      <c r="AD290" s="87"/>
      <c r="AE290" s="87"/>
      <c r="AF290" s="87"/>
      <c r="AG290" s="87"/>
      <c r="AH290" s="102"/>
      <c r="AI290" s="87"/>
      <c r="AJ290" s="103"/>
      <c r="AK290" s="87"/>
      <c r="AL290" s="87"/>
      <c r="AM290" s="87"/>
      <c r="AN290" s="87"/>
      <c r="AO290" s="87"/>
      <c r="AP290" s="87"/>
      <c r="AQ290" s="87"/>
      <c r="AR290" s="104"/>
      <c r="AS290" s="87"/>
      <c r="AT290" s="30"/>
      <c r="AU290" s="30"/>
      <c r="AV290" s="30"/>
      <c r="AW290" s="30"/>
      <c r="AX290" s="30"/>
      <c r="AY290" s="30"/>
    </row>
    <row r="291">
      <c r="F291" s="87"/>
      <c r="G291" s="87"/>
      <c r="H291" s="87"/>
      <c r="I291" s="87"/>
      <c r="J291" s="87"/>
      <c r="K291" s="87"/>
      <c r="L291" s="87"/>
      <c r="M291" s="87"/>
      <c r="N291" s="87"/>
      <c r="O291" s="87"/>
      <c r="P291" s="87"/>
      <c r="Q291" s="87"/>
      <c r="R291" s="87"/>
      <c r="S291" s="99"/>
      <c r="T291" s="87"/>
      <c r="U291" s="87"/>
      <c r="V291" s="87"/>
      <c r="W291" s="87"/>
      <c r="X291" s="101"/>
      <c r="Y291" s="87"/>
      <c r="Z291" s="87"/>
      <c r="AA291" s="100"/>
      <c r="AB291" s="87"/>
      <c r="AC291" s="87"/>
      <c r="AD291" s="87"/>
      <c r="AE291" s="87"/>
      <c r="AF291" s="87"/>
      <c r="AG291" s="87"/>
      <c r="AH291" s="102"/>
      <c r="AI291" s="87"/>
      <c r="AJ291" s="103"/>
      <c r="AK291" s="87"/>
      <c r="AL291" s="87"/>
      <c r="AM291" s="87"/>
      <c r="AN291" s="87"/>
      <c r="AO291" s="87"/>
      <c r="AP291" s="87"/>
      <c r="AQ291" s="87"/>
      <c r="AR291" s="104"/>
      <c r="AS291" s="87"/>
      <c r="AT291" s="30"/>
      <c r="AU291" s="30"/>
      <c r="AV291" s="30"/>
      <c r="AW291" s="30"/>
      <c r="AX291" s="30"/>
      <c r="AY291" s="30"/>
    </row>
    <row r="292">
      <c r="F292" s="87"/>
      <c r="G292" s="87"/>
      <c r="H292" s="87"/>
      <c r="I292" s="87"/>
      <c r="J292" s="87"/>
      <c r="K292" s="87"/>
      <c r="L292" s="87"/>
      <c r="M292" s="87"/>
      <c r="N292" s="87"/>
      <c r="O292" s="87"/>
      <c r="P292" s="87"/>
      <c r="Q292" s="87"/>
      <c r="R292" s="87"/>
      <c r="S292" s="99"/>
      <c r="T292" s="87"/>
      <c r="U292" s="87"/>
      <c r="V292" s="87"/>
      <c r="W292" s="87"/>
      <c r="X292" s="101"/>
      <c r="Y292" s="87"/>
      <c r="Z292" s="87"/>
      <c r="AA292" s="100"/>
      <c r="AB292" s="87"/>
      <c r="AC292" s="87"/>
      <c r="AD292" s="87"/>
      <c r="AE292" s="87"/>
      <c r="AF292" s="87"/>
      <c r="AG292" s="87"/>
      <c r="AH292" s="102"/>
      <c r="AI292" s="87"/>
      <c r="AJ292" s="103"/>
      <c r="AK292" s="87"/>
      <c r="AL292" s="87"/>
      <c r="AM292" s="87"/>
      <c r="AN292" s="87"/>
      <c r="AO292" s="87"/>
      <c r="AP292" s="87"/>
      <c r="AQ292" s="87"/>
      <c r="AR292" s="104"/>
      <c r="AS292" s="87"/>
      <c r="AT292" s="30"/>
      <c r="AU292" s="30"/>
      <c r="AV292" s="30"/>
      <c r="AW292" s="30"/>
      <c r="AX292" s="30"/>
      <c r="AY292" s="30"/>
    </row>
    <row r="293">
      <c r="F293" s="87"/>
      <c r="G293" s="87"/>
      <c r="H293" s="87"/>
      <c r="I293" s="87"/>
      <c r="J293" s="87"/>
      <c r="K293" s="87"/>
      <c r="L293" s="87"/>
      <c r="M293" s="87"/>
      <c r="N293" s="87"/>
      <c r="O293" s="87"/>
      <c r="P293" s="87"/>
      <c r="Q293" s="87"/>
      <c r="R293" s="87"/>
      <c r="S293" s="99"/>
      <c r="T293" s="87"/>
      <c r="U293" s="87"/>
      <c r="V293" s="87"/>
      <c r="W293" s="87"/>
      <c r="X293" s="101"/>
      <c r="Y293" s="87"/>
      <c r="Z293" s="87"/>
      <c r="AA293" s="100"/>
      <c r="AB293" s="87"/>
      <c r="AC293" s="87"/>
      <c r="AD293" s="87"/>
      <c r="AE293" s="87"/>
      <c r="AF293" s="87"/>
      <c r="AG293" s="87"/>
      <c r="AH293" s="102"/>
      <c r="AI293" s="87"/>
      <c r="AJ293" s="103"/>
      <c r="AK293" s="87"/>
      <c r="AL293" s="87"/>
      <c r="AM293" s="87"/>
      <c r="AN293" s="87"/>
      <c r="AO293" s="87"/>
      <c r="AP293" s="87"/>
      <c r="AQ293" s="87"/>
      <c r="AR293" s="104"/>
      <c r="AS293" s="87"/>
      <c r="AT293" s="30"/>
      <c r="AU293" s="30"/>
      <c r="AV293" s="30"/>
      <c r="AW293" s="30"/>
      <c r="AX293" s="30"/>
      <c r="AY293" s="30"/>
    </row>
    <row r="294">
      <c r="F294" s="87"/>
      <c r="G294" s="87"/>
      <c r="H294" s="87"/>
      <c r="I294" s="87"/>
      <c r="J294" s="87"/>
      <c r="K294" s="87"/>
      <c r="L294" s="87"/>
      <c r="M294" s="87"/>
      <c r="N294" s="87"/>
      <c r="O294" s="87"/>
      <c r="P294" s="87"/>
      <c r="Q294" s="87"/>
      <c r="R294" s="87"/>
      <c r="S294" s="99"/>
      <c r="T294" s="87"/>
      <c r="U294" s="87"/>
      <c r="V294" s="87"/>
      <c r="W294" s="87"/>
      <c r="X294" s="101"/>
      <c r="Y294" s="87"/>
      <c r="Z294" s="87"/>
      <c r="AA294" s="100"/>
      <c r="AB294" s="87"/>
      <c r="AC294" s="87"/>
      <c r="AD294" s="87"/>
      <c r="AE294" s="87"/>
      <c r="AF294" s="87"/>
      <c r="AG294" s="87"/>
      <c r="AH294" s="102"/>
      <c r="AI294" s="87"/>
      <c r="AJ294" s="103"/>
      <c r="AK294" s="87"/>
      <c r="AL294" s="87"/>
      <c r="AM294" s="87"/>
      <c r="AN294" s="87"/>
      <c r="AO294" s="87"/>
      <c r="AP294" s="87"/>
      <c r="AQ294" s="87"/>
      <c r="AR294" s="104"/>
      <c r="AS294" s="87"/>
      <c r="AT294" s="30"/>
      <c r="AU294" s="30"/>
      <c r="AV294" s="30"/>
      <c r="AW294" s="30"/>
      <c r="AX294" s="30"/>
      <c r="AY294" s="30"/>
    </row>
    <row r="295">
      <c r="F295" s="87"/>
      <c r="G295" s="87"/>
      <c r="H295" s="87"/>
      <c r="I295" s="87"/>
      <c r="J295" s="87"/>
      <c r="K295" s="87"/>
      <c r="L295" s="87"/>
      <c r="M295" s="87"/>
      <c r="N295" s="87"/>
      <c r="O295" s="87"/>
      <c r="P295" s="87"/>
      <c r="Q295" s="87"/>
      <c r="R295" s="87"/>
      <c r="S295" s="99"/>
      <c r="T295" s="87"/>
      <c r="U295" s="87"/>
      <c r="V295" s="87"/>
      <c r="W295" s="87"/>
      <c r="X295" s="101"/>
      <c r="Y295" s="87"/>
      <c r="Z295" s="87"/>
      <c r="AA295" s="100"/>
      <c r="AB295" s="87"/>
      <c r="AC295" s="87"/>
      <c r="AD295" s="87"/>
      <c r="AE295" s="87"/>
      <c r="AF295" s="87"/>
      <c r="AG295" s="87"/>
      <c r="AH295" s="102"/>
      <c r="AI295" s="87"/>
      <c r="AJ295" s="103"/>
      <c r="AK295" s="87"/>
      <c r="AL295" s="87"/>
      <c r="AM295" s="87"/>
      <c r="AN295" s="87"/>
      <c r="AO295" s="87"/>
      <c r="AP295" s="87"/>
      <c r="AQ295" s="87"/>
      <c r="AR295" s="104"/>
      <c r="AS295" s="87"/>
      <c r="AT295" s="30"/>
      <c r="AU295" s="30"/>
      <c r="AV295" s="30"/>
      <c r="AW295" s="30"/>
      <c r="AX295" s="30"/>
      <c r="AY295" s="30"/>
    </row>
    <row r="296">
      <c r="F296" s="87"/>
      <c r="G296" s="87"/>
      <c r="H296" s="87"/>
      <c r="I296" s="87"/>
      <c r="J296" s="87"/>
      <c r="K296" s="87"/>
      <c r="L296" s="87"/>
      <c r="M296" s="87"/>
      <c r="N296" s="87"/>
      <c r="O296" s="87"/>
      <c r="P296" s="87"/>
      <c r="Q296" s="87"/>
      <c r="R296" s="87"/>
      <c r="S296" s="99"/>
      <c r="T296" s="87"/>
      <c r="U296" s="87"/>
      <c r="V296" s="87"/>
      <c r="W296" s="87"/>
      <c r="X296" s="101"/>
      <c r="Y296" s="87"/>
      <c r="Z296" s="87"/>
      <c r="AA296" s="100"/>
      <c r="AB296" s="87"/>
      <c r="AC296" s="87"/>
      <c r="AD296" s="87"/>
      <c r="AE296" s="87"/>
      <c r="AF296" s="87"/>
      <c r="AG296" s="87"/>
      <c r="AH296" s="102"/>
      <c r="AI296" s="87"/>
      <c r="AJ296" s="103"/>
      <c r="AK296" s="87"/>
      <c r="AL296" s="87"/>
      <c r="AM296" s="87"/>
      <c r="AN296" s="87"/>
      <c r="AO296" s="87"/>
      <c r="AP296" s="87"/>
      <c r="AQ296" s="87"/>
      <c r="AR296" s="104"/>
      <c r="AS296" s="87"/>
      <c r="AT296" s="30"/>
      <c r="AU296" s="30"/>
      <c r="AV296" s="30"/>
      <c r="AW296" s="30"/>
      <c r="AX296" s="30"/>
      <c r="AY296" s="30"/>
    </row>
    <row r="297">
      <c r="F297" s="87"/>
      <c r="G297" s="87"/>
      <c r="H297" s="87"/>
      <c r="I297" s="87"/>
      <c r="J297" s="87"/>
      <c r="K297" s="87"/>
      <c r="L297" s="87"/>
      <c r="M297" s="87"/>
      <c r="N297" s="87"/>
      <c r="O297" s="87"/>
      <c r="P297" s="87"/>
      <c r="Q297" s="87"/>
      <c r="R297" s="87"/>
      <c r="S297" s="99"/>
      <c r="T297" s="87"/>
      <c r="U297" s="87"/>
      <c r="V297" s="87"/>
      <c r="W297" s="87"/>
      <c r="X297" s="101"/>
      <c r="Y297" s="87"/>
      <c r="Z297" s="87"/>
      <c r="AA297" s="100"/>
      <c r="AB297" s="87"/>
      <c r="AC297" s="87"/>
      <c r="AD297" s="87"/>
      <c r="AE297" s="87"/>
      <c r="AF297" s="87"/>
      <c r="AG297" s="87"/>
      <c r="AH297" s="102"/>
      <c r="AI297" s="87"/>
      <c r="AJ297" s="103"/>
      <c r="AK297" s="87"/>
      <c r="AL297" s="87"/>
      <c r="AM297" s="87"/>
      <c r="AN297" s="87"/>
      <c r="AO297" s="87"/>
      <c r="AP297" s="87"/>
      <c r="AQ297" s="87"/>
      <c r="AR297" s="104"/>
      <c r="AS297" s="87"/>
      <c r="AT297" s="30"/>
      <c r="AU297" s="30"/>
      <c r="AV297" s="30"/>
      <c r="AW297" s="30"/>
      <c r="AX297" s="30"/>
      <c r="AY297" s="30"/>
    </row>
    <row r="298">
      <c r="F298" s="87"/>
      <c r="G298" s="87"/>
      <c r="H298" s="87"/>
      <c r="I298" s="87"/>
      <c r="J298" s="87"/>
      <c r="K298" s="87"/>
      <c r="L298" s="87"/>
      <c r="M298" s="87"/>
      <c r="N298" s="87"/>
      <c r="O298" s="87"/>
      <c r="P298" s="87"/>
      <c r="Q298" s="87"/>
      <c r="R298" s="87"/>
      <c r="S298" s="99"/>
      <c r="T298" s="87"/>
      <c r="U298" s="87"/>
      <c r="V298" s="87"/>
      <c r="W298" s="87"/>
      <c r="X298" s="101"/>
      <c r="Y298" s="87"/>
      <c r="Z298" s="87"/>
      <c r="AA298" s="100"/>
      <c r="AB298" s="87"/>
      <c r="AC298" s="87"/>
      <c r="AD298" s="87"/>
      <c r="AE298" s="87"/>
      <c r="AF298" s="87"/>
      <c r="AG298" s="87"/>
      <c r="AH298" s="102"/>
      <c r="AI298" s="87"/>
      <c r="AJ298" s="103"/>
      <c r="AK298" s="87"/>
      <c r="AL298" s="87"/>
      <c r="AM298" s="87"/>
      <c r="AN298" s="87"/>
      <c r="AO298" s="87"/>
      <c r="AP298" s="87"/>
      <c r="AQ298" s="87"/>
      <c r="AR298" s="104"/>
      <c r="AS298" s="87"/>
      <c r="AT298" s="30"/>
      <c r="AU298" s="30"/>
      <c r="AV298" s="30"/>
      <c r="AW298" s="30"/>
      <c r="AX298" s="30"/>
      <c r="AY298" s="30"/>
    </row>
    <row r="299">
      <c r="F299" s="87"/>
      <c r="G299" s="87"/>
      <c r="H299" s="87"/>
      <c r="I299" s="87"/>
      <c r="J299" s="87"/>
      <c r="K299" s="87"/>
      <c r="L299" s="87"/>
      <c r="M299" s="87"/>
      <c r="N299" s="87"/>
      <c r="O299" s="87"/>
      <c r="P299" s="87"/>
      <c r="Q299" s="87"/>
      <c r="R299" s="87"/>
      <c r="S299" s="99"/>
      <c r="T299" s="87"/>
      <c r="U299" s="87"/>
      <c r="V299" s="87"/>
      <c r="W299" s="87"/>
      <c r="X299" s="101"/>
      <c r="Y299" s="87"/>
      <c r="Z299" s="87"/>
      <c r="AA299" s="100"/>
      <c r="AB299" s="87"/>
      <c r="AC299" s="87"/>
      <c r="AD299" s="87"/>
      <c r="AE299" s="87"/>
      <c r="AF299" s="87"/>
      <c r="AG299" s="87"/>
      <c r="AH299" s="102"/>
      <c r="AI299" s="87"/>
      <c r="AJ299" s="103"/>
      <c r="AK299" s="87"/>
      <c r="AL299" s="87"/>
      <c r="AM299" s="87"/>
      <c r="AN299" s="87"/>
      <c r="AO299" s="87"/>
      <c r="AP299" s="87"/>
      <c r="AQ299" s="87"/>
      <c r="AR299" s="104"/>
      <c r="AS299" s="87"/>
      <c r="AT299" s="30"/>
      <c r="AU299" s="30"/>
      <c r="AV299" s="30"/>
      <c r="AW299" s="30"/>
      <c r="AX299" s="30"/>
      <c r="AY299" s="30"/>
    </row>
    <row r="300">
      <c r="F300" s="87"/>
      <c r="G300" s="87"/>
      <c r="H300" s="87"/>
      <c r="I300" s="87"/>
      <c r="J300" s="87"/>
      <c r="K300" s="87"/>
      <c r="L300" s="87"/>
      <c r="M300" s="87"/>
      <c r="N300" s="87"/>
      <c r="O300" s="87"/>
      <c r="P300" s="87"/>
      <c r="Q300" s="87"/>
      <c r="R300" s="87"/>
      <c r="S300" s="99"/>
      <c r="T300" s="87"/>
      <c r="U300" s="87"/>
      <c r="V300" s="87"/>
      <c r="W300" s="87"/>
      <c r="X300" s="101"/>
      <c r="Y300" s="87"/>
      <c r="Z300" s="87"/>
      <c r="AA300" s="100"/>
      <c r="AB300" s="87"/>
      <c r="AC300" s="87"/>
      <c r="AD300" s="87"/>
      <c r="AE300" s="87"/>
      <c r="AF300" s="87"/>
      <c r="AG300" s="87"/>
      <c r="AH300" s="102"/>
      <c r="AI300" s="87"/>
      <c r="AJ300" s="103"/>
      <c r="AK300" s="87"/>
      <c r="AL300" s="87"/>
      <c r="AM300" s="87"/>
      <c r="AN300" s="87"/>
      <c r="AO300" s="87"/>
      <c r="AP300" s="87"/>
      <c r="AQ300" s="87"/>
      <c r="AR300" s="104"/>
      <c r="AS300" s="87"/>
      <c r="AT300" s="30"/>
      <c r="AU300" s="30"/>
      <c r="AV300" s="30"/>
      <c r="AW300" s="30"/>
      <c r="AX300" s="30"/>
      <c r="AY300" s="30"/>
    </row>
    <row r="301">
      <c r="F301" s="87"/>
      <c r="G301" s="87"/>
      <c r="H301" s="87"/>
      <c r="I301" s="87"/>
      <c r="J301" s="87"/>
      <c r="K301" s="87"/>
      <c r="L301" s="87"/>
      <c r="M301" s="87"/>
      <c r="N301" s="87"/>
      <c r="O301" s="87"/>
      <c r="P301" s="87"/>
      <c r="Q301" s="87"/>
      <c r="R301" s="87"/>
      <c r="S301" s="99"/>
      <c r="T301" s="87"/>
      <c r="U301" s="87"/>
      <c r="V301" s="87"/>
      <c r="W301" s="87"/>
      <c r="X301" s="101"/>
      <c r="Y301" s="87"/>
      <c r="Z301" s="87"/>
      <c r="AA301" s="100"/>
      <c r="AB301" s="87"/>
      <c r="AC301" s="87"/>
      <c r="AD301" s="87"/>
      <c r="AE301" s="87"/>
      <c r="AF301" s="87"/>
      <c r="AG301" s="87"/>
      <c r="AH301" s="102"/>
      <c r="AI301" s="87"/>
      <c r="AJ301" s="103"/>
      <c r="AK301" s="87"/>
      <c r="AL301" s="87"/>
      <c r="AM301" s="87"/>
      <c r="AN301" s="87"/>
      <c r="AO301" s="87"/>
      <c r="AP301" s="87"/>
      <c r="AQ301" s="87"/>
      <c r="AR301" s="104"/>
      <c r="AS301" s="87"/>
      <c r="AT301" s="30"/>
      <c r="AU301" s="30"/>
      <c r="AV301" s="30"/>
      <c r="AW301" s="30"/>
      <c r="AX301" s="30"/>
      <c r="AY301" s="30"/>
    </row>
    <row r="302">
      <c r="F302" s="87"/>
      <c r="G302" s="87"/>
      <c r="H302" s="87"/>
      <c r="I302" s="87"/>
      <c r="J302" s="87"/>
      <c r="K302" s="87"/>
      <c r="L302" s="87"/>
      <c r="M302" s="87"/>
      <c r="N302" s="87"/>
      <c r="O302" s="87"/>
      <c r="P302" s="87"/>
      <c r="Q302" s="87"/>
      <c r="R302" s="87"/>
      <c r="S302" s="99"/>
      <c r="T302" s="87"/>
      <c r="U302" s="87"/>
      <c r="V302" s="87"/>
      <c r="W302" s="87"/>
      <c r="X302" s="101"/>
      <c r="Y302" s="87"/>
      <c r="Z302" s="87"/>
      <c r="AA302" s="100"/>
      <c r="AB302" s="87"/>
      <c r="AC302" s="87"/>
      <c r="AD302" s="87"/>
      <c r="AE302" s="87"/>
      <c r="AF302" s="87"/>
      <c r="AG302" s="87"/>
      <c r="AH302" s="102"/>
      <c r="AI302" s="87"/>
      <c r="AJ302" s="103"/>
      <c r="AK302" s="87"/>
      <c r="AL302" s="87"/>
      <c r="AM302" s="87"/>
      <c r="AN302" s="87"/>
      <c r="AO302" s="87"/>
      <c r="AP302" s="87"/>
      <c r="AQ302" s="87"/>
      <c r="AR302" s="104"/>
      <c r="AS302" s="87"/>
      <c r="AT302" s="30"/>
      <c r="AU302" s="30"/>
      <c r="AV302" s="30"/>
      <c r="AW302" s="30"/>
      <c r="AX302" s="30"/>
      <c r="AY302" s="30"/>
    </row>
    <row r="303">
      <c r="F303" s="87"/>
      <c r="G303" s="87"/>
      <c r="H303" s="87"/>
      <c r="I303" s="87"/>
      <c r="J303" s="87"/>
      <c r="K303" s="87"/>
      <c r="L303" s="87"/>
      <c r="M303" s="87"/>
      <c r="N303" s="87"/>
      <c r="O303" s="87"/>
      <c r="P303" s="87"/>
      <c r="Q303" s="87"/>
      <c r="R303" s="87"/>
      <c r="S303" s="99"/>
      <c r="T303" s="87"/>
      <c r="U303" s="87"/>
      <c r="V303" s="87"/>
      <c r="W303" s="87"/>
      <c r="X303" s="101"/>
      <c r="Y303" s="87"/>
      <c r="Z303" s="87"/>
      <c r="AA303" s="100"/>
      <c r="AB303" s="87"/>
      <c r="AC303" s="87"/>
      <c r="AD303" s="87"/>
      <c r="AE303" s="87"/>
      <c r="AF303" s="87"/>
      <c r="AG303" s="87"/>
      <c r="AH303" s="102"/>
      <c r="AI303" s="87"/>
      <c r="AJ303" s="103"/>
      <c r="AK303" s="87"/>
      <c r="AL303" s="87"/>
      <c r="AM303" s="87"/>
      <c r="AN303" s="87"/>
      <c r="AO303" s="87"/>
      <c r="AP303" s="87"/>
      <c r="AQ303" s="87"/>
      <c r="AR303" s="104"/>
      <c r="AS303" s="87"/>
      <c r="AT303" s="30"/>
      <c r="AU303" s="30"/>
      <c r="AV303" s="30"/>
      <c r="AW303" s="30"/>
      <c r="AX303" s="30"/>
      <c r="AY303" s="30"/>
    </row>
    <row r="304">
      <c r="F304" s="87"/>
      <c r="G304" s="87"/>
      <c r="H304" s="87"/>
      <c r="I304" s="87"/>
      <c r="J304" s="87"/>
      <c r="K304" s="87"/>
      <c r="L304" s="87"/>
      <c r="M304" s="87"/>
      <c r="N304" s="87"/>
      <c r="O304" s="87"/>
      <c r="P304" s="87"/>
      <c r="Q304" s="87"/>
      <c r="R304" s="87"/>
      <c r="S304" s="99"/>
      <c r="T304" s="87"/>
      <c r="U304" s="87"/>
      <c r="V304" s="87"/>
      <c r="W304" s="87"/>
      <c r="X304" s="101"/>
      <c r="Y304" s="87"/>
      <c r="Z304" s="87"/>
      <c r="AA304" s="100"/>
      <c r="AB304" s="87"/>
      <c r="AC304" s="87"/>
      <c r="AD304" s="87"/>
      <c r="AE304" s="87"/>
      <c r="AF304" s="87"/>
      <c r="AG304" s="87"/>
      <c r="AH304" s="102"/>
      <c r="AI304" s="87"/>
      <c r="AJ304" s="103"/>
      <c r="AK304" s="87"/>
      <c r="AL304" s="87"/>
      <c r="AM304" s="87"/>
      <c r="AN304" s="87"/>
      <c r="AO304" s="87"/>
      <c r="AP304" s="87"/>
      <c r="AQ304" s="87"/>
      <c r="AR304" s="104"/>
      <c r="AS304" s="87"/>
      <c r="AT304" s="30"/>
      <c r="AU304" s="30"/>
      <c r="AV304" s="30"/>
      <c r="AW304" s="30"/>
      <c r="AX304" s="30"/>
      <c r="AY304" s="30"/>
    </row>
    <row r="305">
      <c r="F305" s="87"/>
      <c r="G305" s="87"/>
      <c r="H305" s="87"/>
      <c r="I305" s="87"/>
      <c r="J305" s="87"/>
      <c r="K305" s="87"/>
      <c r="L305" s="87"/>
      <c r="M305" s="87"/>
      <c r="N305" s="87"/>
      <c r="O305" s="87"/>
      <c r="P305" s="87"/>
      <c r="Q305" s="87"/>
      <c r="R305" s="87"/>
      <c r="S305" s="99"/>
      <c r="T305" s="87"/>
      <c r="U305" s="87"/>
      <c r="V305" s="87"/>
      <c r="W305" s="87"/>
      <c r="X305" s="101"/>
      <c r="Y305" s="87"/>
      <c r="Z305" s="87"/>
      <c r="AA305" s="100"/>
      <c r="AB305" s="87"/>
      <c r="AC305" s="87"/>
      <c r="AD305" s="87"/>
      <c r="AE305" s="87"/>
      <c r="AF305" s="87"/>
      <c r="AG305" s="87"/>
      <c r="AH305" s="102"/>
      <c r="AI305" s="87"/>
      <c r="AJ305" s="103"/>
      <c r="AK305" s="87"/>
      <c r="AL305" s="87"/>
      <c r="AM305" s="87"/>
      <c r="AN305" s="87"/>
      <c r="AO305" s="87"/>
      <c r="AP305" s="87"/>
      <c r="AQ305" s="87"/>
      <c r="AR305" s="104"/>
      <c r="AS305" s="87"/>
      <c r="AT305" s="30"/>
      <c r="AU305" s="30"/>
      <c r="AV305" s="30"/>
      <c r="AW305" s="30"/>
      <c r="AX305" s="30"/>
      <c r="AY305" s="30"/>
    </row>
    <row r="306">
      <c r="F306" s="87"/>
      <c r="G306" s="87"/>
      <c r="H306" s="87"/>
      <c r="I306" s="87"/>
      <c r="J306" s="87"/>
      <c r="K306" s="87"/>
      <c r="L306" s="87"/>
      <c r="M306" s="87"/>
      <c r="N306" s="87"/>
      <c r="O306" s="87"/>
      <c r="P306" s="87"/>
      <c r="Q306" s="87"/>
      <c r="R306" s="87"/>
      <c r="S306" s="99"/>
      <c r="T306" s="87"/>
      <c r="U306" s="87"/>
      <c r="V306" s="87"/>
      <c r="W306" s="87"/>
      <c r="X306" s="101"/>
      <c r="Y306" s="87"/>
      <c r="Z306" s="87"/>
      <c r="AA306" s="100"/>
      <c r="AB306" s="87"/>
      <c r="AC306" s="87"/>
      <c r="AD306" s="87"/>
      <c r="AE306" s="87"/>
      <c r="AF306" s="87"/>
      <c r="AG306" s="87"/>
      <c r="AH306" s="102"/>
      <c r="AI306" s="87"/>
      <c r="AJ306" s="103"/>
      <c r="AK306" s="87"/>
      <c r="AL306" s="87"/>
      <c r="AM306" s="87"/>
      <c r="AN306" s="87"/>
      <c r="AO306" s="87"/>
      <c r="AP306" s="87"/>
      <c r="AQ306" s="87"/>
      <c r="AR306" s="104"/>
      <c r="AS306" s="87"/>
      <c r="AT306" s="30"/>
      <c r="AU306" s="30"/>
      <c r="AV306" s="30"/>
      <c r="AW306" s="30"/>
      <c r="AX306" s="30"/>
      <c r="AY306" s="30"/>
    </row>
    <row r="307">
      <c r="F307" s="87"/>
      <c r="G307" s="87"/>
      <c r="H307" s="87"/>
      <c r="I307" s="87"/>
      <c r="J307" s="87"/>
      <c r="K307" s="87"/>
      <c r="L307" s="87"/>
      <c r="M307" s="87"/>
      <c r="N307" s="87"/>
      <c r="O307" s="87"/>
      <c r="P307" s="87"/>
      <c r="Q307" s="87"/>
      <c r="R307" s="87"/>
      <c r="S307" s="99"/>
      <c r="T307" s="87"/>
      <c r="U307" s="87"/>
      <c r="V307" s="87"/>
      <c r="W307" s="87"/>
      <c r="X307" s="101"/>
      <c r="Y307" s="87"/>
      <c r="Z307" s="87"/>
      <c r="AA307" s="100"/>
      <c r="AB307" s="87"/>
      <c r="AC307" s="87"/>
      <c r="AD307" s="87"/>
      <c r="AE307" s="87"/>
      <c r="AF307" s="87"/>
      <c r="AG307" s="87"/>
      <c r="AH307" s="102"/>
      <c r="AI307" s="87"/>
      <c r="AJ307" s="103"/>
      <c r="AK307" s="87"/>
      <c r="AL307" s="87"/>
      <c r="AM307" s="87"/>
      <c r="AN307" s="87"/>
      <c r="AO307" s="87"/>
      <c r="AP307" s="87"/>
      <c r="AQ307" s="87"/>
      <c r="AR307" s="104"/>
      <c r="AS307" s="87"/>
      <c r="AT307" s="30"/>
      <c r="AU307" s="30"/>
      <c r="AV307" s="30"/>
      <c r="AW307" s="30"/>
      <c r="AX307" s="30"/>
      <c r="AY307" s="30"/>
    </row>
    <row r="308">
      <c r="F308" s="87"/>
      <c r="G308" s="87"/>
      <c r="H308" s="87"/>
      <c r="I308" s="87"/>
      <c r="J308" s="87"/>
      <c r="K308" s="87"/>
      <c r="L308" s="87"/>
      <c r="M308" s="87"/>
      <c r="N308" s="87"/>
      <c r="O308" s="87"/>
      <c r="P308" s="87"/>
      <c r="Q308" s="87"/>
      <c r="R308" s="87"/>
      <c r="S308" s="99"/>
      <c r="T308" s="87"/>
      <c r="U308" s="87"/>
      <c r="V308" s="87"/>
      <c r="W308" s="87"/>
      <c r="X308" s="101"/>
      <c r="Y308" s="87"/>
      <c r="Z308" s="87"/>
      <c r="AA308" s="100"/>
      <c r="AB308" s="87"/>
      <c r="AC308" s="87"/>
      <c r="AD308" s="87"/>
      <c r="AE308" s="87"/>
      <c r="AF308" s="87"/>
      <c r="AG308" s="87"/>
      <c r="AH308" s="102"/>
      <c r="AI308" s="87"/>
      <c r="AJ308" s="103"/>
      <c r="AK308" s="87"/>
      <c r="AL308" s="87"/>
      <c r="AM308" s="87"/>
      <c r="AN308" s="87"/>
      <c r="AO308" s="87"/>
      <c r="AP308" s="87"/>
      <c r="AQ308" s="87"/>
      <c r="AR308" s="104"/>
      <c r="AS308" s="87"/>
      <c r="AT308" s="30"/>
      <c r="AU308" s="30"/>
      <c r="AV308" s="30"/>
      <c r="AW308" s="30"/>
      <c r="AX308" s="30"/>
      <c r="AY308" s="30"/>
    </row>
    <row r="309">
      <c r="F309" s="87"/>
      <c r="G309" s="87"/>
      <c r="H309" s="87"/>
      <c r="I309" s="87"/>
      <c r="J309" s="87"/>
      <c r="K309" s="87"/>
      <c r="L309" s="87"/>
      <c r="M309" s="87"/>
      <c r="N309" s="87"/>
      <c r="O309" s="87"/>
      <c r="P309" s="87"/>
      <c r="Q309" s="87"/>
      <c r="R309" s="87"/>
      <c r="S309" s="99"/>
      <c r="T309" s="87"/>
      <c r="U309" s="87"/>
      <c r="V309" s="87"/>
      <c r="W309" s="87"/>
      <c r="X309" s="101"/>
      <c r="Y309" s="87"/>
      <c r="Z309" s="87"/>
      <c r="AA309" s="100"/>
      <c r="AB309" s="87"/>
      <c r="AC309" s="87"/>
      <c r="AD309" s="87"/>
      <c r="AE309" s="87"/>
      <c r="AF309" s="87"/>
      <c r="AG309" s="87"/>
      <c r="AH309" s="102"/>
      <c r="AI309" s="87"/>
      <c r="AJ309" s="103"/>
      <c r="AK309" s="87"/>
      <c r="AL309" s="87"/>
      <c r="AM309" s="87"/>
      <c r="AN309" s="87"/>
      <c r="AO309" s="87"/>
      <c r="AP309" s="87"/>
      <c r="AQ309" s="87"/>
      <c r="AR309" s="104"/>
      <c r="AS309" s="87"/>
      <c r="AT309" s="30"/>
      <c r="AU309" s="30"/>
      <c r="AV309" s="30"/>
      <c r="AW309" s="30"/>
      <c r="AX309" s="30"/>
      <c r="AY309" s="30"/>
    </row>
    <row r="310">
      <c r="F310" s="87"/>
      <c r="G310" s="87"/>
      <c r="H310" s="87"/>
      <c r="I310" s="87"/>
      <c r="J310" s="87"/>
      <c r="K310" s="87"/>
      <c r="L310" s="87"/>
      <c r="M310" s="87"/>
      <c r="N310" s="87"/>
      <c r="O310" s="87"/>
      <c r="P310" s="87"/>
      <c r="Q310" s="87"/>
      <c r="R310" s="87"/>
      <c r="S310" s="99"/>
      <c r="T310" s="87"/>
      <c r="U310" s="87"/>
      <c r="V310" s="87"/>
      <c r="W310" s="87"/>
      <c r="X310" s="101"/>
      <c r="Y310" s="87"/>
      <c r="Z310" s="87"/>
      <c r="AA310" s="100"/>
      <c r="AB310" s="87"/>
      <c r="AC310" s="87"/>
      <c r="AD310" s="87"/>
      <c r="AE310" s="87"/>
      <c r="AF310" s="87"/>
      <c r="AG310" s="87"/>
      <c r="AH310" s="102"/>
      <c r="AI310" s="87"/>
      <c r="AJ310" s="103"/>
      <c r="AK310" s="87"/>
      <c r="AL310" s="87"/>
      <c r="AM310" s="87"/>
      <c r="AN310" s="87"/>
      <c r="AO310" s="87"/>
      <c r="AP310" s="87"/>
      <c r="AQ310" s="87"/>
      <c r="AR310" s="104"/>
      <c r="AS310" s="87"/>
      <c r="AT310" s="30"/>
      <c r="AU310" s="30"/>
      <c r="AV310" s="30"/>
      <c r="AW310" s="30"/>
      <c r="AX310" s="30"/>
      <c r="AY310" s="30"/>
    </row>
    <row r="311">
      <c r="F311" s="87"/>
      <c r="G311" s="87"/>
      <c r="H311" s="87"/>
      <c r="I311" s="87"/>
      <c r="J311" s="87"/>
      <c r="K311" s="87"/>
      <c r="L311" s="87"/>
      <c r="M311" s="87"/>
      <c r="N311" s="87"/>
      <c r="O311" s="87"/>
      <c r="P311" s="87"/>
      <c r="Q311" s="87"/>
      <c r="R311" s="87"/>
      <c r="S311" s="99"/>
      <c r="T311" s="87"/>
      <c r="U311" s="87"/>
      <c r="V311" s="87"/>
      <c r="W311" s="87"/>
      <c r="X311" s="101"/>
      <c r="Y311" s="87"/>
      <c r="Z311" s="87"/>
      <c r="AA311" s="100"/>
      <c r="AB311" s="87"/>
      <c r="AC311" s="87"/>
      <c r="AD311" s="87"/>
      <c r="AE311" s="87"/>
      <c r="AF311" s="87"/>
      <c r="AG311" s="87"/>
      <c r="AH311" s="102"/>
      <c r="AI311" s="87"/>
      <c r="AJ311" s="103"/>
      <c r="AK311" s="87"/>
      <c r="AL311" s="87"/>
      <c r="AM311" s="87"/>
      <c r="AN311" s="87"/>
      <c r="AO311" s="87"/>
      <c r="AP311" s="87"/>
      <c r="AQ311" s="87"/>
      <c r="AR311" s="104"/>
      <c r="AS311" s="87"/>
      <c r="AT311" s="30"/>
      <c r="AU311" s="30"/>
      <c r="AV311" s="30"/>
      <c r="AW311" s="30"/>
      <c r="AX311" s="30"/>
      <c r="AY311" s="30"/>
    </row>
    <row r="312">
      <c r="F312" s="87"/>
      <c r="G312" s="87"/>
      <c r="H312" s="87"/>
      <c r="I312" s="87"/>
      <c r="J312" s="87"/>
      <c r="K312" s="87"/>
      <c r="L312" s="87"/>
      <c r="M312" s="87"/>
      <c r="N312" s="87"/>
      <c r="O312" s="87"/>
      <c r="P312" s="87"/>
      <c r="Q312" s="87"/>
      <c r="R312" s="87"/>
      <c r="S312" s="99"/>
      <c r="T312" s="87"/>
      <c r="U312" s="87"/>
      <c r="V312" s="87"/>
      <c r="W312" s="87"/>
      <c r="X312" s="101"/>
      <c r="Y312" s="87"/>
      <c r="Z312" s="87"/>
      <c r="AA312" s="100"/>
      <c r="AB312" s="87"/>
      <c r="AC312" s="87"/>
      <c r="AD312" s="87"/>
      <c r="AE312" s="87"/>
      <c r="AF312" s="87"/>
      <c r="AG312" s="87"/>
      <c r="AH312" s="102"/>
      <c r="AI312" s="87"/>
      <c r="AJ312" s="103"/>
      <c r="AK312" s="87"/>
      <c r="AL312" s="87"/>
      <c r="AM312" s="87"/>
      <c r="AN312" s="87"/>
      <c r="AO312" s="87"/>
      <c r="AP312" s="87"/>
      <c r="AQ312" s="87"/>
      <c r="AR312" s="104"/>
      <c r="AS312" s="87"/>
      <c r="AT312" s="30"/>
      <c r="AU312" s="30"/>
      <c r="AV312" s="30"/>
      <c r="AW312" s="30"/>
      <c r="AX312" s="30"/>
      <c r="AY312" s="30"/>
    </row>
    <row r="313">
      <c r="F313" s="87"/>
      <c r="G313" s="87"/>
      <c r="H313" s="87"/>
      <c r="I313" s="87"/>
      <c r="J313" s="87"/>
      <c r="K313" s="87"/>
      <c r="L313" s="87"/>
      <c r="M313" s="87"/>
      <c r="N313" s="87"/>
      <c r="O313" s="87"/>
      <c r="P313" s="87"/>
      <c r="Q313" s="87"/>
      <c r="R313" s="87"/>
      <c r="S313" s="99"/>
      <c r="T313" s="87"/>
      <c r="U313" s="87"/>
      <c r="V313" s="87"/>
      <c r="W313" s="87"/>
      <c r="X313" s="101"/>
      <c r="Y313" s="87"/>
      <c r="Z313" s="87"/>
      <c r="AA313" s="100"/>
      <c r="AB313" s="87"/>
      <c r="AC313" s="87"/>
      <c r="AD313" s="87"/>
      <c r="AE313" s="87"/>
      <c r="AF313" s="87"/>
      <c r="AG313" s="87"/>
      <c r="AH313" s="102"/>
      <c r="AI313" s="87"/>
      <c r="AJ313" s="103"/>
      <c r="AK313" s="87"/>
      <c r="AL313" s="87"/>
      <c r="AM313" s="87"/>
      <c r="AN313" s="87"/>
      <c r="AO313" s="87"/>
      <c r="AP313" s="87"/>
      <c r="AQ313" s="87"/>
      <c r="AR313" s="104"/>
      <c r="AS313" s="87"/>
      <c r="AT313" s="30"/>
      <c r="AU313" s="30"/>
      <c r="AV313" s="30"/>
      <c r="AW313" s="30"/>
      <c r="AX313" s="30"/>
      <c r="AY313" s="30"/>
    </row>
    <row r="314">
      <c r="F314" s="87"/>
      <c r="G314" s="87"/>
      <c r="H314" s="87"/>
      <c r="I314" s="87"/>
      <c r="J314" s="87"/>
      <c r="K314" s="87"/>
      <c r="L314" s="87"/>
      <c r="M314" s="87"/>
      <c r="N314" s="87"/>
      <c r="O314" s="87"/>
      <c r="P314" s="87"/>
      <c r="Q314" s="87"/>
      <c r="R314" s="87"/>
      <c r="S314" s="99"/>
      <c r="T314" s="87"/>
      <c r="U314" s="87"/>
      <c r="V314" s="87"/>
      <c r="W314" s="87"/>
      <c r="X314" s="101"/>
      <c r="Y314" s="87"/>
      <c r="Z314" s="87"/>
      <c r="AA314" s="100"/>
      <c r="AB314" s="87"/>
      <c r="AC314" s="87"/>
      <c r="AD314" s="87"/>
      <c r="AE314" s="87"/>
      <c r="AF314" s="87"/>
      <c r="AG314" s="87"/>
      <c r="AH314" s="102"/>
      <c r="AI314" s="87"/>
      <c r="AJ314" s="103"/>
      <c r="AK314" s="87"/>
      <c r="AL314" s="87"/>
      <c r="AM314" s="87"/>
      <c r="AN314" s="87"/>
      <c r="AO314" s="87"/>
      <c r="AP314" s="87"/>
      <c r="AQ314" s="87"/>
      <c r="AR314" s="104"/>
      <c r="AS314" s="87"/>
      <c r="AT314" s="30"/>
      <c r="AU314" s="30"/>
      <c r="AV314" s="30"/>
      <c r="AW314" s="30"/>
      <c r="AX314" s="30"/>
      <c r="AY314" s="30"/>
    </row>
    <row r="315">
      <c r="F315" s="87"/>
      <c r="G315" s="87"/>
      <c r="H315" s="87"/>
      <c r="I315" s="87"/>
      <c r="J315" s="87"/>
      <c r="K315" s="87"/>
      <c r="L315" s="87"/>
      <c r="M315" s="87"/>
      <c r="N315" s="87"/>
      <c r="O315" s="87"/>
      <c r="P315" s="87"/>
      <c r="Q315" s="87"/>
      <c r="R315" s="87"/>
      <c r="S315" s="99"/>
      <c r="T315" s="87"/>
      <c r="U315" s="87"/>
      <c r="V315" s="87"/>
      <c r="W315" s="87"/>
      <c r="X315" s="101"/>
      <c r="Y315" s="87"/>
      <c r="Z315" s="87"/>
      <c r="AA315" s="100"/>
      <c r="AB315" s="87"/>
      <c r="AC315" s="87"/>
      <c r="AD315" s="87"/>
      <c r="AE315" s="87"/>
      <c r="AF315" s="87"/>
      <c r="AG315" s="87"/>
      <c r="AH315" s="102"/>
      <c r="AI315" s="87"/>
      <c r="AJ315" s="103"/>
      <c r="AK315" s="87"/>
      <c r="AL315" s="87"/>
      <c r="AM315" s="87"/>
      <c r="AN315" s="87"/>
      <c r="AO315" s="87"/>
      <c r="AP315" s="87"/>
      <c r="AQ315" s="87"/>
      <c r="AR315" s="104"/>
      <c r="AS315" s="87"/>
      <c r="AT315" s="30"/>
      <c r="AU315" s="30"/>
      <c r="AV315" s="30"/>
      <c r="AW315" s="30"/>
      <c r="AX315" s="30"/>
      <c r="AY315" s="30"/>
    </row>
    <row r="316">
      <c r="F316" s="87"/>
      <c r="G316" s="87"/>
      <c r="H316" s="87"/>
      <c r="I316" s="87"/>
      <c r="J316" s="87"/>
      <c r="K316" s="87"/>
      <c r="L316" s="87"/>
      <c r="M316" s="87"/>
      <c r="N316" s="87"/>
      <c r="O316" s="87"/>
      <c r="P316" s="87"/>
      <c r="Q316" s="87"/>
      <c r="R316" s="87"/>
      <c r="S316" s="99"/>
      <c r="T316" s="87"/>
      <c r="U316" s="87"/>
      <c r="V316" s="87"/>
      <c r="W316" s="87"/>
      <c r="X316" s="101"/>
      <c r="Y316" s="87"/>
      <c r="Z316" s="87"/>
      <c r="AA316" s="100"/>
      <c r="AB316" s="87"/>
      <c r="AC316" s="87"/>
      <c r="AD316" s="87"/>
      <c r="AE316" s="87"/>
      <c r="AF316" s="87"/>
      <c r="AG316" s="87"/>
      <c r="AH316" s="102"/>
      <c r="AI316" s="87"/>
      <c r="AJ316" s="103"/>
      <c r="AK316" s="87"/>
      <c r="AL316" s="87"/>
      <c r="AM316" s="87"/>
      <c r="AN316" s="87"/>
      <c r="AO316" s="87"/>
      <c r="AP316" s="87"/>
      <c r="AQ316" s="87"/>
      <c r="AR316" s="104"/>
      <c r="AS316" s="87"/>
      <c r="AT316" s="30"/>
      <c r="AU316" s="30"/>
      <c r="AV316" s="30"/>
      <c r="AW316" s="30"/>
      <c r="AX316" s="30"/>
      <c r="AY316" s="30"/>
    </row>
    <row r="317">
      <c r="F317" s="87"/>
      <c r="G317" s="87"/>
      <c r="H317" s="87"/>
      <c r="I317" s="87"/>
      <c r="J317" s="87"/>
      <c r="K317" s="87"/>
      <c r="L317" s="87"/>
      <c r="M317" s="87"/>
      <c r="N317" s="87"/>
      <c r="O317" s="87"/>
      <c r="P317" s="87"/>
      <c r="Q317" s="87"/>
      <c r="R317" s="87"/>
      <c r="S317" s="99"/>
      <c r="T317" s="87"/>
      <c r="U317" s="87"/>
      <c r="V317" s="87"/>
      <c r="W317" s="87"/>
      <c r="X317" s="101"/>
      <c r="Y317" s="87"/>
      <c r="Z317" s="87"/>
      <c r="AA317" s="100"/>
      <c r="AB317" s="87"/>
      <c r="AC317" s="87"/>
      <c r="AD317" s="87"/>
      <c r="AE317" s="87"/>
      <c r="AF317" s="87"/>
      <c r="AG317" s="87"/>
      <c r="AH317" s="102"/>
      <c r="AI317" s="87"/>
      <c r="AJ317" s="103"/>
      <c r="AK317" s="87"/>
      <c r="AL317" s="87"/>
      <c r="AM317" s="87"/>
      <c r="AN317" s="87"/>
      <c r="AO317" s="87"/>
      <c r="AP317" s="87"/>
      <c r="AQ317" s="87"/>
      <c r="AR317" s="104"/>
      <c r="AS317" s="87"/>
      <c r="AT317" s="30"/>
      <c r="AU317" s="30"/>
      <c r="AV317" s="30"/>
      <c r="AW317" s="30"/>
      <c r="AX317" s="30"/>
      <c r="AY317" s="30"/>
    </row>
    <row r="318">
      <c r="F318" s="87"/>
      <c r="G318" s="87"/>
      <c r="H318" s="87"/>
      <c r="I318" s="87"/>
      <c r="J318" s="87"/>
      <c r="K318" s="87"/>
      <c r="L318" s="87"/>
      <c r="M318" s="87"/>
      <c r="N318" s="87"/>
      <c r="O318" s="87"/>
      <c r="P318" s="87"/>
      <c r="Q318" s="87"/>
      <c r="R318" s="87"/>
      <c r="S318" s="99"/>
      <c r="T318" s="87"/>
      <c r="U318" s="87"/>
      <c r="V318" s="87"/>
      <c r="W318" s="87"/>
      <c r="X318" s="101"/>
      <c r="Y318" s="87"/>
      <c r="Z318" s="87"/>
      <c r="AA318" s="100"/>
      <c r="AB318" s="87"/>
      <c r="AC318" s="87"/>
      <c r="AD318" s="87"/>
      <c r="AE318" s="87"/>
      <c r="AF318" s="87"/>
      <c r="AG318" s="87"/>
      <c r="AH318" s="102"/>
      <c r="AI318" s="87"/>
      <c r="AJ318" s="103"/>
      <c r="AK318" s="87"/>
      <c r="AL318" s="87"/>
      <c r="AM318" s="87"/>
      <c r="AN318" s="87"/>
      <c r="AO318" s="87"/>
      <c r="AP318" s="87"/>
      <c r="AQ318" s="87"/>
      <c r="AR318" s="104"/>
      <c r="AS318" s="87"/>
      <c r="AT318" s="30"/>
      <c r="AU318" s="30"/>
      <c r="AV318" s="30"/>
      <c r="AW318" s="30"/>
      <c r="AX318" s="30"/>
      <c r="AY318" s="30"/>
    </row>
    <row r="319">
      <c r="F319" s="87"/>
      <c r="G319" s="87"/>
      <c r="H319" s="87"/>
      <c r="I319" s="87"/>
      <c r="J319" s="87"/>
      <c r="K319" s="87"/>
      <c r="L319" s="87"/>
      <c r="M319" s="87"/>
      <c r="N319" s="87"/>
      <c r="O319" s="87"/>
      <c r="P319" s="87"/>
      <c r="Q319" s="87"/>
      <c r="R319" s="87"/>
      <c r="S319" s="99"/>
      <c r="T319" s="87"/>
      <c r="U319" s="87"/>
      <c r="V319" s="87"/>
      <c r="W319" s="87"/>
      <c r="X319" s="101"/>
      <c r="Y319" s="87"/>
      <c r="Z319" s="87"/>
      <c r="AA319" s="100"/>
      <c r="AB319" s="87"/>
      <c r="AC319" s="87"/>
      <c r="AD319" s="87"/>
      <c r="AE319" s="87"/>
      <c r="AF319" s="87"/>
      <c r="AG319" s="87"/>
      <c r="AH319" s="102"/>
      <c r="AI319" s="87"/>
      <c r="AJ319" s="103"/>
      <c r="AK319" s="87"/>
      <c r="AL319" s="87"/>
      <c r="AM319" s="87"/>
      <c r="AN319" s="87"/>
      <c r="AO319" s="87"/>
      <c r="AP319" s="87"/>
      <c r="AQ319" s="87"/>
      <c r="AR319" s="104"/>
      <c r="AS319" s="87"/>
      <c r="AT319" s="30"/>
      <c r="AU319" s="30"/>
      <c r="AV319" s="30"/>
      <c r="AW319" s="30"/>
      <c r="AX319" s="30"/>
      <c r="AY319" s="30"/>
    </row>
    <row r="320">
      <c r="F320" s="87"/>
      <c r="G320" s="87"/>
      <c r="H320" s="87"/>
      <c r="I320" s="87"/>
      <c r="J320" s="87"/>
      <c r="K320" s="87"/>
      <c r="L320" s="87"/>
      <c r="M320" s="87"/>
      <c r="N320" s="87"/>
      <c r="O320" s="87"/>
      <c r="P320" s="87"/>
      <c r="Q320" s="87"/>
      <c r="R320" s="87"/>
      <c r="S320" s="99"/>
      <c r="T320" s="87"/>
      <c r="U320" s="87"/>
      <c r="V320" s="87"/>
      <c r="W320" s="87"/>
      <c r="X320" s="101"/>
      <c r="Y320" s="87"/>
      <c r="Z320" s="87"/>
      <c r="AA320" s="100"/>
      <c r="AB320" s="87"/>
      <c r="AC320" s="87"/>
      <c r="AD320" s="87"/>
      <c r="AE320" s="87"/>
      <c r="AF320" s="87"/>
      <c r="AG320" s="87"/>
      <c r="AH320" s="102"/>
      <c r="AI320" s="87"/>
      <c r="AJ320" s="103"/>
      <c r="AK320" s="87"/>
      <c r="AL320" s="87"/>
      <c r="AM320" s="87"/>
      <c r="AN320" s="87"/>
      <c r="AO320" s="87"/>
      <c r="AP320" s="87"/>
      <c r="AQ320" s="87"/>
      <c r="AR320" s="104"/>
      <c r="AS320" s="87"/>
      <c r="AT320" s="30"/>
      <c r="AU320" s="30"/>
      <c r="AV320" s="30"/>
      <c r="AW320" s="30"/>
      <c r="AX320" s="30"/>
      <c r="AY320" s="30"/>
    </row>
    <row r="321">
      <c r="F321" s="87"/>
      <c r="G321" s="87"/>
      <c r="H321" s="87"/>
      <c r="I321" s="87"/>
      <c r="J321" s="87"/>
      <c r="K321" s="87"/>
      <c r="L321" s="87"/>
      <c r="M321" s="87"/>
      <c r="N321" s="87"/>
      <c r="O321" s="87"/>
      <c r="P321" s="87"/>
      <c r="Q321" s="87"/>
      <c r="R321" s="87"/>
      <c r="S321" s="99"/>
      <c r="T321" s="87"/>
      <c r="U321" s="87"/>
      <c r="V321" s="87"/>
      <c r="W321" s="87"/>
      <c r="X321" s="101"/>
      <c r="Y321" s="87"/>
      <c r="Z321" s="87"/>
      <c r="AA321" s="100"/>
      <c r="AB321" s="87"/>
      <c r="AC321" s="87"/>
      <c r="AD321" s="87"/>
      <c r="AE321" s="87"/>
      <c r="AF321" s="87"/>
      <c r="AG321" s="87"/>
      <c r="AH321" s="102"/>
      <c r="AI321" s="87"/>
      <c r="AJ321" s="103"/>
      <c r="AK321" s="87"/>
      <c r="AL321" s="87"/>
      <c r="AM321" s="87"/>
      <c r="AN321" s="87"/>
      <c r="AO321" s="87"/>
      <c r="AP321" s="87"/>
      <c r="AQ321" s="87"/>
      <c r="AR321" s="104"/>
      <c r="AS321" s="87"/>
      <c r="AT321" s="30"/>
      <c r="AU321" s="30"/>
      <c r="AV321" s="30"/>
      <c r="AW321" s="30"/>
      <c r="AX321" s="30"/>
      <c r="AY321" s="30"/>
    </row>
    <row r="322">
      <c r="F322" s="87"/>
      <c r="G322" s="87"/>
      <c r="H322" s="87"/>
      <c r="I322" s="87"/>
      <c r="J322" s="87"/>
      <c r="K322" s="87"/>
      <c r="L322" s="87"/>
      <c r="M322" s="87"/>
      <c r="N322" s="87"/>
      <c r="O322" s="87"/>
      <c r="P322" s="87"/>
      <c r="Q322" s="87"/>
      <c r="R322" s="87"/>
      <c r="S322" s="99"/>
      <c r="T322" s="87"/>
      <c r="U322" s="87"/>
      <c r="V322" s="87"/>
      <c r="W322" s="87"/>
      <c r="X322" s="101"/>
      <c r="Y322" s="87"/>
      <c r="Z322" s="87"/>
      <c r="AA322" s="100"/>
      <c r="AB322" s="87"/>
      <c r="AC322" s="87"/>
      <c r="AD322" s="87"/>
      <c r="AE322" s="87"/>
      <c r="AF322" s="87"/>
      <c r="AG322" s="87"/>
      <c r="AH322" s="102"/>
      <c r="AI322" s="87"/>
      <c r="AJ322" s="103"/>
      <c r="AK322" s="87"/>
      <c r="AL322" s="87"/>
      <c r="AM322" s="87"/>
      <c r="AN322" s="87"/>
      <c r="AO322" s="87"/>
      <c r="AP322" s="87"/>
      <c r="AQ322" s="87"/>
      <c r="AR322" s="104"/>
      <c r="AS322" s="87"/>
      <c r="AT322" s="30"/>
      <c r="AU322" s="30"/>
      <c r="AV322" s="30"/>
      <c r="AW322" s="30"/>
      <c r="AX322" s="30"/>
      <c r="AY322" s="30"/>
    </row>
    <row r="323">
      <c r="F323" s="87"/>
      <c r="G323" s="87"/>
      <c r="H323" s="87"/>
      <c r="I323" s="87"/>
      <c r="J323" s="87"/>
      <c r="K323" s="87"/>
      <c r="L323" s="87"/>
      <c r="M323" s="87"/>
      <c r="N323" s="87"/>
      <c r="O323" s="87"/>
      <c r="P323" s="87"/>
      <c r="Q323" s="87"/>
      <c r="R323" s="87"/>
      <c r="S323" s="99"/>
      <c r="T323" s="87"/>
      <c r="U323" s="87"/>
      <c r="V323" s="87"/>
      <c r="W323" s="87"/>
      <c r="X323" s="101"/>
      <c r="Y323" s="87"/>
      <c r="Z323" s="87"/>
      <c r="AA323" s="100"/>
      <c r="AB323" s="87"/>
      <c r="AC323" s="87"/>
      <c r="AD323" s="87"/>
      <c r="AE323" s="87"/>
      <c r="AF323" s="87"/>
      <c r="AG323" s="87"/>
      <c r="AH323" s="102"/>
      <c r="AI323" s="87"/>
      <c r="AJ323" s="103"/>
      <c r="AK323" s="87"/>
      <c r="AL323" s="87"/>
      <c r="AM323" s="87"/>
      <c r="AN323" s="87"/>
      <c r="AO323" s="87"/>
      <c r="AP323" s="87"/>
      <c r="AQ323" s="87"/>
      <c r="AR323" s="104"/>
      <c r="AS323" s="87"/>
      <c r="AT323" s="30"/>
      <c r="AU323" s="30"/>
      <c r="AV323" s="30"/>
      <c r="AW323" s="30"/>
      <c r="AX323" s="30"/>
      <c r="AY323" s="30"/>
    </row>
    <row r="324">
      <c r="F324" s="87"/>
      <c r="G324" s="87"/>
      <c r="H324" s="87"/>
      <c r="I324" s="87"/>
      <c r="J324" s="87"/>
      <c r="K324" s="87"/>
      <c r="L324" s="87"/>
      <c r="M324" s="87"/>
      <c r="N324" s="87"/>
      <c r="O324" s="87"/>
      <c r="P324" s="87"/>
      <c r="Q324" s="87"/>
      <c r="R324" s="87"/>
      <c r="S324" s="99"/>
      <c r="T324" s="87"/>
      <c r="U324" s="87"/>
      <c r="V324" s="87"/>
      <c r="W324" s="87"/>
      <c r="X324" s="101"/>
      <c r="Y324" s="87"/>
      <c r="Z324" s="87"/>
      <c r="AA324" s="100"/>
      <c r="AB324" s="87"/>
      <c r="AC324" s="87"/>
      <c r="AD324" s="87"/>
      <c r="AE324" s="87"/>
      <c r="AF324" s="87"/>
      <c r="AG324" s="87"/>
      <c r="AH324" s="102"/>
      <c r="AI324" s="87"/>
      <c r="AJ324" s="103"/>
      <c r="AK324" s="87"/>
      <c r="AL324" s="87"/>
      <c r="AM324" s="87"/>
      <c r="AN324" s="87"/>
      <c r="AO324" s="87"/>
      <c r="AP324" s="87"/>
      <c r="AQ324" s="87"/>
      <c r="AR324" s="104"/>
      <c r="AS324" s="87"/>
      <c r="AT324" s="30"/>
      <c r="AU324" s="30"/>
      <c r="AV324" s="30"/>
      <c r="AW324" s="30"/>
      <c r="AX324" s="30"/>
      <c r="AY324" s="30"/>
    </row>
    <row r="325">
      <c r="F325" s="87"/>
      <c r="G325" s="87"/>
      <c r="H325" s="87"/>
      <c r="I325" s="87"/>
      <c r="J325" s="87"/>
      <c r="K325" s="87"/>
      <c r="L325" s="87"/>
      <c r="M325" s="87"/>
      <c r="N325" s="87"/>
      <c r="O325" s="87"/>
      <c r="P325" s="87"/>
      <c r="Q325" s="87"/>
      <c r="R325" s="87"/>
      <c r="S325" s="99"/>
      <c r="T325" s="87"/>
      <c r="U325" s="87"/>
      <c r="V325" s="87"/>
      <c r="W325" s="87"/>
      <c r="X325" s="101"/>
      <c r="Y325" s="87"/>
      <c r="Z325" s="87"/>
      <c r="AA325" s="100"/>
      <c r="AB325" s="87"/>
      <c r="AC325" s="87"/>
      <c r="AD325" s="87"/>
      <c r="AE325" s="87"/>
      <c r="AF325" s="87"/>
      <c r="AG325" s="87"/>
      <c r="AH325" s="102"/>
      <c r="AI325" s="87"/>
      <c r="AJ325" s="103"/>
      <c r="AK325" s="87"/>
      <c r="AL325" s="87"/>
      <c r="AM325" s="87"/>
      <c r="AN325" s="87"/>
      <c r="AO325" s="87"/>
      <c r="AP325" s="87"/>
      <c r="AQ325" s="87"/>
      <c r="AR325" s="104"/>
      <c r="AS325" s="87"/>
      <c r="AT325" s="30"/>
      <c r="AU325" s="30"/>
      <c r="AV325" s="30"/>
      <c r="AW325" s="30"/>
      <c r="AX325" s="30"/>
      <c r="AY325" s="30"/>
    </row>
    <row r="326">
      <c r="F326" s="87"/>
      <c r="G326" s="87"/>
      <c r="H326" s="87"/>
      <c r="I326" s="87"/>
      <c r="J326" s="87"/>
      <c r="K326" s="87"/>
      <c r="L326" s="87"/>
      <c r="M326" s="87"/>
      <c r="N326" s="87"/>
      <c r="O326" s="87"/>
      <c r="P326" s="87"/>
      <c r="Q326" s="87"/>
      <c r="R326" s="87"/>
      <c r="S326" s="99"/>
      <c r="T326" s="87"/>
      <c r="U326" s="87"/>
      <c r="V326" s="87"/>
      <c r="W326" s="87"/>
      <c r="X326" s="101"/>
      <c r="Y326" s="87"/>
      <c r="Z326" s="87"/>
      <c r="AA326" s="100"/>
      <c r="AB326" s="87"/>
      <c r="AC326" s="87"/>
      <c r="AD326" s="87"/>
      <c r="AE326" s="87"/>
      <c r="AF326" s="87"/>
      <c r="AG326" s="87"/>
      <c r="AH326" s="102"/>
      <c r="AI326" s="87"/>
      <c r="AJ326" s="103"/>
      <c r="AK326" s="87"/>
      <c r="AL326" s="87"/>
      <c r="AM326" s="87"/>
      <c r="AN326" s="87"/>
      <c r="AO326" s="87"/>
      <c r="AP326" s="87"/>
      <c r="AQ326" s="87"/>
      <c r="AR326" s="104"/>
      <c r="AS326" s="87"/>
      <c r="AT326" s="30"/>
      <c r="AU326" s="30"/>
      <c r="AV326" s="30"/>
      <c r="AW326" s="30"/>
      <c r="AX326" s="30"/>
      <c r="AY326" s="30"/>
    </row>
    <row r="327">
      <c r="F327" s="87"/>
      <c r="G327" s="87"/>
      <c r="H327" s="87"/>
      <c r="I327" s="87"/>
      <c r="J327" s="87"/>
      <c r="K327" s="87"/>
      <c r="L327" s="87"/>
      <c r="M327" s="87"/>
      <c r="N327" s="87"/>
      <c r="O327" s="87"/>
      <c r="P327" s="87"/>
      <c r="Q327" s="87"/>
      <c r="R327" s="87"/>
      <c r="S327" s="99"/>
      <c r="T327" s="87"/>
      <c r="U327" s="87"/>
      <c r="V327" s="87"/>
      <c r="W327" s="87"/>
      <c r="X327" s="101"/>
      <c r="Y327" s="87"/>
      <c r="Z327" s="87"/>
      <c r="AA327" s="100"/>
      <c r="AB327" s="87"/>
      <c r="AC327" s="87"/>
      <c r="AD327" s="87"/>
      <c r="AE327" s="87"/>
      <c r="AF327" s="87"/>
      <c r="AG327" s="87"/>
      <c r="AH327" s="102"/>
      <c r="AI327" s="87"/>
      <c r="AJ327" s="103"/>
      <c r="AK327" s="87"/>
      <c r="AL327" s="87"/>
      <c r="AM327" s="87"/>
      <c r="AN327" s="87"/>
      <c r="AO327" s="87"/>
      <c r="AP327" s="87"/>
      <c r="AQ327" s="87"/>
      <c r="AR327" s="104"/>
      <c r="AS327" s="87"/>
      <c r="AT327" s="30"/>
      <c r="AU327" s="30"/>
      <c r="AV327" s="30"/>
      <c r="AW327" s="30"/>
      <c r="AX327" s="30"/>
      <c r="AY327" s="30"/>
    </row>
    <row r="328">
      <c r="F328" s="87"/>
      <c r="G328" s="87"/>
      <c r="H328" s="87"/>
      <c r="I328" s="87"/>
      <c r="J328" s="87"/>
      <c r="K328" s="87"/>
      <c r="L328" s="87"/>
      <c r="M328" s="87"/>
      <c r="N328" s="87"/>
      <c r="O328" s="87"/>
      <c r="P328" s="87"/>
      <c r="Q328" s="87"/>
      <c r="R328" s="87"/>
      <c r="S328" s="99"/>
      <c r="T328" s="87"/>
      <c r="U328" s="87"/>
      <c r="V328" s="87"/>
      <c r="W328" s="87"/>
      <c r="X328" s="101"/>
      <c r="Y328" s="87"/>
      <c r="Z328" s="87"/>
      <c r="AA328" s="100"/>
      <c r="AB328" s="87"/>
      <c r="AC328" s="87"/>
      <c r="AD328" s="87"/>
      <c r="AE328" s="87"/>
      <c r="AF328" s="87"/>
      <c r="AG328" s="87"/>
      <c r="AH328" s="102"/>
      <c r="AI328" s="87"/>
      <c r="AJ328" s="103"/>
      <c r="AK328" s="87"/>
      <c r="AL328" s="87"/>
      <c r="AM328" s="87"/>
      <c r="AN328" s="87"/>
      <c r="AO328" s="87"/>
      <c r="AP328" s="87"/>
      <c r="AQ328" s="87"/>
      <c r="AR328" s="104"/>
      <c r="AS328" s="87"/>
      <c r="AT328" s="30"/>
      <c r="AU328" s="30"/>
      <c r="AV328" s="30"/>
      <c r="AW328" s="30"/>
      <c r="AX328" s="30"/>
      <c r="AY328" s="30"/>
    </row>
    <row r="329">
      <c r="F329" s="87"/>
      <c r="G329" s="87"/>
      <c r="H329" s="87"/>
      <c r="I329" s="87"/>
      <c r="J329" s="87"/>
      <c r="K329" s="87"/>
      <c r="L329" s="87"/>
      <c r="M329" s="87"/>
      <c r="N329" s="87"/>
      <c r="O329" s="87"/>
      <c r="P329" s="87"/>
      <c r="Q329" s="87"/>
      <c r="R329" s="87"/>
      <c r="S329" s="99"/>
      <c r="T329" s="87"/>
      <c r="U329" s="87"/>
      <c r="V329" s="87"/>
      <c r="W329" s="87"/>
      <c r="X329" s="101"/>
      <c r="Y329" s="87"/>
      <c r="Z329" s="87"/>
      <c r="AA329" s="100"/>
      <c r="AB329" s="87"/>
      <c r="AC329" s="87"/>
      <c r="AD329" s="87"/>
      <c r="AE329" s="87"/>
      <c r="AF329" s="87"/>
      <c r="AG329" s="87"/>
      <c r="AH329" s="102"/>
      <c r="AI329" s="87"/>
      <c r="AJ329" s="103"/>
      <c r="AK329" s="87"/>
      <c r="AL329" s="87"/>
      <c r="AM329" s="87"/>
      <c r="AN329" s="87"/>
      <c r="AO329" s="87"/>
      <c r="AP329" s="87"/>
      <c r="AQ329" s="87"/>
      <c r="AR329" s="104"/>
      <c r="AS329" s="87"/>
      <c r="AT329" s="30"/>
      <c r="AU329" s="30"/>
      <c r="AV329" s="30"/>
      <c r="AW329" s="30"/>
      <c r="AX329" s="30"/>
      <c r="AY329" s="30"/>
    </row>
    <row r="330">
      <c r="F330" s="87"/>
      <c r="G330" s="87"/>
      <c r="H330" s="87"/>
      <c r="I330" s="87"/>
      <c r="J330" s="87"/>
      <c r="K330" s="87"/>
      <c r="L330" s="87"/>
      <c r="M330" s="87"/>
      <c r="N330" s="87"/>
      <c r="O330" s="87"/>
      <c r="P330" s="87"/>
      <c r="Q330" s="87"/>
      <c r="R330" s="87"/>
      <c r="S330" s="99"/>
      <c r="T330" s="87"/>
      <c r="U330" s="87"/>
      <c r="V330" s="87"/>
      <c r="W330" s="87"/>
      <c r="X330" s="101"/>
      <c r="Y330" s="87"/>
      <c r="Z330" s="87"/>
      <c r="AA330" s="100"/>
      <c r="AB330" s="87"/>
      <c r="AC330" s="87"/>
      <c r="AD330" s="87"/>
      <c r="AE330" s="87"/>
      <c r="AF330" s="87"/>
      <c r="AG330" s="87"/>
      <c r="AH330" s="102"/>
      <c r="AI330" s="87"/>
      <c r="AJ330" s="103"/>
      <c r="AK330" s="87"/>
      <c r="AL330" s="87"/>
      <c r="AM330" s="87"/>
      <c r="AN330" s="87"/>
      <c r="AO330" s="87"/>
      <c r="AP330" s="87"/>
      <c r="AQ330" s="87"/>
      <c r="AR330" s="104"/>
      <c r="AS330" s="87"/>
      <c r="AT330" s="30"/>
      <c r="AU330" s="30"/>
      <c r="AV330" s="30"/>
      <c r="AW330" s="30"/>
      <c r="AX330" s="30"/>
      <c r="AY330" s="30"/>
    </row>
    <row r="331">
      <c r="F331" s="87"/>
      <c r="G331" s="87"/>
      <c r="H331" s="87"/>
      <c r="I331" s="87"/>
      <c r="J331" s="87"/>
      <c r="K331" s="87"/>
      <c r="L331" s="87"/>
      <c r="M331" s="87"/>
      <c r="N331" s="87"/>
      <c r="O331" s="87"/>
      <c r="P331" s="87"/>
      <c r="Q331" s="87"/>
      <c r="R331" s="87"/>
      <c r="S331" s="99"/>
      <c r="T331" s="87"/>
      <c r="U331" s="87"/>
      <c r="V331" s="87"/>
      <c r="W331" s="87"/>
      <c r="X331" s="101"/>
      <c r="Y331" s="87"/>
      <c r="Z331" s="87"/>
      <c r="AA331" s="100"/>
      <c r="AB331" s="87"/>
      <c r="AC331" s="87"/>
      <c r="AD331" s="87"/>
      <c r="AE331" s="87"/>
      <c r="AF331" s="87"/>
      <c r="AG331" s="87"/>
      <c r="AH331" s="102"/>
      <c r="AI331" s="87"/>
      <c r="AJ331" s="103"/>
      <c r="AK331" s="87"/>
      <c r="AL331" s="87"/>
      <c r="AM331" s="87"/>
      <c r="AN331" s="87"/>
      <c r="AO331" s="87"/>
      <c r="AP331" s="87"/>
      <c r="AQ331" s="87"/>
      <c r="AR331" s="104"/>
      <c r="AS331" s="87"/>
      <c r="AT331" s="30"/>
      <c r="AU331" s="30"/>
      <c r="AV331" s="30"/>
      <c r="AW331" s="30"/>
      <c r="AX331" s="30"/>
      <c r="AY331" s="30"/>
    </row>
    <row r="332">
      <c r="F332" s="87"/>
      <c r="G332" s="87"/>
      <c r="H332" s="87"/>
      <c r="I332" s="87"/>
      <c r="J332" s="87"/>
      <c r="K332" s="87"/>
      <c r="L332" s="87"/>
      <c r="M332" s="87"/>
      <c r="N332" s="87"/>
      <c r="O332" s="87"/>
      <c r="P332" s="87"/>
      <c r="Q332" s="87"/>
      <c r="R332" s="87"/>
      <c r="S332" s="99"/>
      <c r="T332" s="87"/>
      <c r="U332" s="87"/>
      <c r="V332" s="87"/>
      <c r="W332" s="87"/>
      <c r="X332" s="101"/>
      <c r="Y332" s="87"/>
      <c r="Z332" s="87"/>
      <c r="AA332" s="100"/>
      <c r="AB332" s="87"/>
      <c r="AC332" s="87"/>
      <c r="AD332" s="87"/>
      <c r="AE332" s="87"/>
      <c r="AF332" s="87"/>
      <c r="AG332" s="87"/>
      <c r="AH332" s="102"/>
      <c r="AI332" s="87"/>
      <c r="AJ332" s="103"/>
      <c r="AK332" s="87"/>
      <c r="AL332" s="87"/>
      <c r="AM332" s="87"/>
      <c r="AN332" s="87"/>
      <c r="AO332" s="87"/>
      <c r="AP332" s="87"/>
      <c r="AQ332" s="87"/>
      <c r="AR332" s="104"/>
      <c r="AS332" s="87"/>
      <c r="AT332" s="30"/>
      <c r="AU332" s="30"/>
      <c r="AV332" s="30"/>
      <c r="AW332" s="30"/>
      <c r="AX332" s="30"/>
      <c r="AY332" s="30"/>
    </row>
    <row r="333">
      <c r="F333" s="87"/>
      <c r="G333" s="87"/>
      <c r="H333" s="87"/>
      <c r="I333" s="87"/>
      <c r="J333" s="87"/>
      <c r="K333" s="87"/>
      <c r="L333" s="87"/>
      <c r="M333" s="87"/>
      <c r="N333" s="87"/>
      <c r="O333" s="87"/>
      <c r="P333" s="87"/>
      <c r="Q333" s="87"/>
      <c r="R333" s="87"/>
      <c r="S333" s="99"/>
      <c r="T333" s="87"/>
      <c r="U333" s="87"/>
      <c r="V333" s="87"/>
      <c r="W333" s="87"/>
      <c r="X333" s="101"/>
      <c r="Y333" s="87"/>
      <c r="Z333" s="87"/>
      <c r="AA333" s="100"/>
      <c r="AB333" s="87"/>
      <c r="AC333" s="87"/>
      <c r="AD333" s="87"/>
      <c r="AE333" s="87"/>
      <c r="AF333" s="87"/>
      <c r="AG333" s="87"/>
      <c r="AH333" s="102"/>
      <c r="AI333" s="87"/>
      <c r="AJ333" s="103"/>
      <c r="AK333" s="87"/>
      <c r="AL333" s="87"/>
      <c r="AM333" s="87"/>
      <c r="AN333" s="87"/>
      <c r="AO333" s="87"/>
      <c r="AP333" s="87"/>
      <c r="AQ333" s="87"/>
      <c r="AR333" s="104"/>
      <c r="AS333" s="87"/>
      <c r="AT333" s="30"/>
      <c r="AU333" s="30"/>
      <c r="AV333" s="30"/>
      <c r="AW333" s="30"/>
      <c r="AX333" s="30"/>
      <c r="AY333" s="30"/>
    </row>
    <row r="334">
      <c r="F334" s="87"/>
      <c r="G334" s="87"/>
      <c r="H334" s="87"/>
      <c r="I334" s="87"/>
      <c r="J334" s="87"/>
      <c r="K334" s="87"/>
      <c r="L334" s="87"/>
      <c r="M334" s="87"/>
      <c r="N334" s="87"/>
      <c r="O334" s="87"/>
      <c r="P334" s="87"/>
      <c r="Q334" s="87"/>
      <c r="R334" s="87"/>
      <c r="S334" s="99"/>
      <c r="T334" s="87"/>
      <c r="U334" s="87"/>
      <c r="V334" s="87"/>
      <c r="W334" s="87"/>
      <c r="X334" s="101"/>
      <c r="Y334" s="87"/>
      <c r="Z334" s="87"/>
      <c r="AA334" s="100"/>
      <c r="AB334" s="87"/>
      <c r="AC334" s="87"/>
      <c r="AD334" s="87"/>
      <c r="AE334" s="87"/>
      <c r="AF334" s="87"/>
      <c r="AG334" s="87"/>
      <c r="AH334" s="102"/>
      <c r="AI334" s="87"/>
      <c r="AJ334" s="103"/>
      <c r="AK334" s="87"/>
      <c r="AL334" s="87"/>
      <c r="AM334" s="87"/>
      <c r="AN334" s="87"/>
      <c r="AO334" s="87"/>
      <c r="AP334" s="87"/>
      <c r="AQ334" s="87"/>
      <c r="AR334" s="104"/>
      <c r="AS334" s="87"/>
      <c r="AT334" s="30"/>
      <c r="AU334" s="30"/>
      <c r="AV334" s="30"/>
      <c r="AW334" s="30"/>
      <c r="AX334" s="30"/>
      <c r="AY334" s="30"/>
    </row>
    <row r="335">
      <c r="F335" s="87"/>
      <c r="G335" s="87"/>
      <c r="H335" s="87"/>
      <c r="I335" s="87"/>
      <c r="J335" s="87"/>
      <c r="K335" s="87"/>
      <c r="L335" s="87"/>
      <c r="M335" s="87"/>
      <c r="N335" s="87"/>
      <c r="O335" s="87"/>
      <c r="P335" s="87"/>
      <c r="Q335" s="87"/>
      <c r="R335" s="87"/>
      <c r="S335" s="99"/>
      <c r="T335" s="87"/>
      <c r="U335" s="87"/>
      <c r="V335" s="87"/>
      <c r="W335" s="87"/>
      <c r="X335" s="101"/>
      <c r="Y335" s="87"/>
      <c r="Z335" s="87"/>
      <c r="AA335" s="100"/>
      <c r="AB335" s="87"/>
      <c r="AC335" s="87"/>
      <c r="AD335" s="87"/>
      <c r="AE335" s="87"/>
      <c r="AF335" s="87"/>
      <c r="AG335" s="87"/>
      <c r="AH335" s="102"/>
      <c r="AI335" s="87"/>
      <c r="AJ335" s="103"/>
      <c r="AK335" s="87"/>
      <c r="AL335" s="87"/>
      <c r="AM335" s="87"/>
      <c r="AN335" s="87"/>
      <c r="AO335" s="87"/>
      <c r="AP335" s="87"/>
      <c r="AQ335" s="87"/>
      <c r="AR335" s="104"/>
      <c r="AS335" s="87"/>
      <c r="AT335" s="30"/>
      <c r="AU335" s="30"/>
      <c r="AV335" s="30"/>
      <c r="AW335" s="30"/>
      <c r="AX335" s="30"/>
      <c r="AY335" s="30"/>
    </row>
    <row r="336">
      <c r="F336" s="87"/>
      <c r="G336" s="87"/>
      <c r="H336" s="87"/>
      <c r="I336" s="87"/>
      <c r="J336" s="87"/>
      <c r="K336" s="87"/>
      <c r="L336" s="87"/>
      <c r="M336" s="87"/>
      <c r="N336" s="87"/>
      <c r="O336" s="87"/>
      <c r="P336" s="87"/>
      <c r="Q336" s="87"/>
      <c r="R336" s="87"/>
      <c r="S336" s="99"/>
      <c r="T336" s="87"/>
      <c r="U336" s="87"/>
      <c r="V336" s="87"/>
      <c r="W336" s="87"/>
      <c r="X336" s="101"/>
      <c r="Y336" s="87"/>
      <c r="Z336" s="87"/>
      <c r="AA336" s="100"/>
      <c r="AB336" s="87"/>
      <c r="AC336" s="87"/>
      <c r="AD336" s="87"/>
      <c r="AE336" s="87"/>
      <c r="AF336" s="87"/>
      <c r="AG336" s="87"/>
      <c r="AH336" s="102"/>
      <c r="AI336" s="87"/>
      <c r="AJ336" s="103"/>
      <c r="AK336" s="87"/>
      <c r="AL336" s="87"/>
      <c r="AM336" s="87"/>
      <c r="AN336" s="87"/>
      <c r="AO336" s="87"/>
      <c r="AP336" s="87"/>
      <c r="AQ336" s="87"/>
      <c r="AR336" s="104"/>
      <c r="AS336" s="87"/>
      <c r="AT336" s="30"/>
      <c r="AU336" s="30"/>
      <c r="AV336" s="30"/>
      <c r="AW336" s="30"/>
      <c r="AX336" s="30"/>
      <c r="AY336" s="30"/>
    </row>
    <row r="337">
      <c r="F337" s="87"/>
      <c r="G337" s="87"/>
      <c r="H337" s="87"/>
      <c r="I337" s="87"/>
      <c r="J337" s="87"/>
      <c r="K337" s="87"/>
      <c r="L337" s="87"/>
      <c r="M337" s="87"/>
      <c r="N337" s="87"/>
      <c r="O337" s="87"/>
      <c r="P337" s="87"/>
      <c r="Q337" s="87"/>
      <c r="R337" s="87"/>
      <c r="S337" s="99"/>
      <c r="T337" s="87"/>
      <c r="U337" s="87"/>
      <c r="V337" s="87"/>
      <c r="W337" s="87"/>
      <c r="X337" s="101"/>
      <c r="Y337" s="87"/>
      <c r="Z337" s="87"/>
      <c r="AA337" s="100"/>
      <c r="AB337" s="87"/>
      <c r="AC337" s="87"/>
      <c r="AD337" s="87"/>
      <c r="AE337" s="87"/>
      <c r="AF337" s="87"/>
      <c r="AG337" s="87"/>
      <c r="AH337" s="102"/>
      <c r="AI337" s="87"/>
      <c r="AJ337" s="103"/>
      <c r="AK337" s="87"/>
      <c r="AL337" s="87"/>
      <c r="AM337" s="87"/>
      <c r="AN337" s="87"/>
      <c r="AO337" s="87"/>
      <c r="AP337" s="87"/>
      <c r="AQ337" s="87"/>
      <c r="AR337" s="104"/>
      <c r="AS337" s="87"/>
      <c r="AT337" s="30"/>
      <c r="AU337" s="30"/>
      <c r="AV337" s="30"/>
      <c r="AW337" s="30"/>
      <c r="AX337" s="30"/>
      <c r="AY337" s="30"/>
    </row>
    <row r="338">
      <c r="F338" s="87"/>
      <c r="G338" s="87"/>
      <c r="H338" s="87"/>
      <c r="I338" s="87"/>
      <c r="J338" s="87"/>
      <c r="K338" s="87"/>
      <c r="L338" s="87"/>
      <c r="M338" s="87"/>
      <c r="N338" s="87"/>
      <c r="O338" s="87"/>
      <c r="P338" s="87"/>
      <c r="Q338" s="87"/>
      <c r="R338" s="87"/>
      <c r="S338" s="99"/>
      <c r="T338" s="87"/>
      <c r="U338" s="87"/>
      <c r="V338" s="87"/>
      <c r="W338" s="87"/>
      <c r="X338" s="101"/>
      <c r="Y338" s="87"/>
      <c r="Z338" s="87"/>
      <c r="AA338" s="100"/>
      <c r="AB338" s="87"/>
      <c r="AC338" s="87"/>
      <c r="AD338" s="87"/>
      <c r="AE338" s="87"/>
      <c r="AF338" s="87"/>
      <c r="AG338" s="87"/>
      <c r="AH338" s="102"/>
      <c r="AI338" s="87"/>
      <c r="AJ338" s="103"/>
      <c r="AK338" s="87"/>
      <c r="AL338" s="87"/>
      <c r="AM338" s="87"/>
      <c r="AN338" s="87"/>
      <c r="AO338" s="87"/>
      <c r="AP338" s="87"/>
      <c r="AQ338" s="87"/>
      <c r="AR338" s="104"/>
      <c r="AS338" s="87"/>
      <c r="AT338" s="30"/>
      <c r="AU338" s="30"/>
      <c r="AV338" s="30"/>
      <c r="AW338" s="30"/>
      <c r="AX338" s="30"/>
      <c r="AY338" s="30"/>
    </row>
    <row r="339">
      <c r="F339" s="87"/>
      <c r="G339" s="87"/>
      <c r="H339" s="87"/>
      <c r="I339" s="87"/>
      <c r="J339" s="87"/>
      <c r="K339" s="87"/>
      <c r="L339" s="87"/>
      <c r="M339" s="87"/>
      <c r="N339" s="87"/>
      <c r="O339" s="87"/>
      <c r="P339" s="87"/>
      <c r="Q339" s="87"/>
      <c r="R339" s="87"/>
      <c r="S339" s="99"/>
      <c r="T339" s="87"/>
      <c r="U339" s="87"/>
      <c r="V339" s="87"/>
      <c r="W339" s="87"/>
      <c r="X339" s="101"/>
      <c r="Y339" s="87"/>
      <c r="Z339" s="87"/>
      <c r="AA339" s="100"/>
      <c r="AB339" s="87"/>
      <c r="AC339" s="87"/>
      <c r="AD339" s="87"/>
      <c r="AE339" s="87"/>
      <c r="AF339" s="87"/>
      <c r="AG339" s="87"/>
      <c r="AH339" s="102"/>
      <c r="AI339" s="87"/>
      <c r="AJ339" s="103"/>
      <c r="AK339" s="87"/>
      <c r="AL339" s="87"/>
      <c r="AM339" s="87"/>
      <c r="AN339" s="87"/>
      <c r="AO339" s="87"/>
      <c r="AP339" s="87"/>
      <c r="AQ339" s="87"/>
      <c r="AR339" s="104"/>
      <c r="AS339" s="87"/>
      <c r="AT339" s="30"/>
      <c r="AU339" s="30"/>
      <c r="AV339" s="30"/>
      <c r="AW339" s="30"/>
      <c r="AX339" s="30"/>
      <c r="AY339" s="30"/>
    </row>
    <row r="340">
      <c r="F340" s="87"/>
      <c r="G340" s="87"/>
      <c r="H340" s="87"/>
      <c r="I340" s="87"/>
      <c r="J340" s="87"/>
      <c r="K340" s="87"/>
      <c r="L340" s="87"/>
      <c r="M340" s="87"/>
      <c r="N340" s="87"/>
      <c r="O340" s="87"/>
      <c r="P340" s="87"/>
      <c r="Q340" s="87"/>
      <c r="R340" s="87"/>
      <c r="S340" s="99"/>
      <c r="T340" s="87"/>
      <c r="U340" s="87"/>
      <c r="V340" s="87"/>
      <c r="W340" s="87"/>
      <c r="X340" s="101"/>
      <c r="Y340" s="87"/>
      <c r="Z340" s="87"/>
      <c r="AA340" s="100"/>
      <c r="AB340" s="87"/>
      <c r="AC340" s="87"/>
      <c r="AD340" s="87"/>
      <c r="AE340" s="87"/>
      <c r="AF340" s="87"/>
      <c r="AG340" s="87"/>
      <c r="AH340" s="102"/>
      <c r="AI340" s="87"/>
      <c r="AJ340" s="103"/>
      <c r="AK340" s="87"/>
      <c r="AL340" s="87"/>
      <c r="AM340" s="87"/>
      <c r="AN340" s="87"/>
      <c r="AO340" s="87"/>
      <c r="AP340" s="87"/>
      <c r="AQ340" s="87"/>
      <c r="AR340" s="104"/>
      <c r="AS340" s="87"/>
      <c r="AT340" s="30"/>
      <c r="AU340" s="30"/>
      <c r="AV340" s="30"/>
      <c r="AW340" s="30"/>
      <c r="AX340" s="30"/>
      <c r="AY340" s="30"/>
    </row>
    <row r="341">
      <c r="F341" s="87"/>
      <c r="G341" s="87"/>
      <c r="H341" s="87"/>
      <c r="I341" s="87"/>
      <c r="J341" s="87"/>
      <c r="K341" s="87"/>
      <c r="L341" s="87"/>
      <c r="M341" s="87"/>
      <c r="N341" s="87"/>
      <c r="O341" s="87"/>
      <c r="P341" s="87"/>
      <c r="Q341" s="87"/>
      <c r="R341" s="87"/>
      <c r="S341" s="99"/>
      <c r="T341" s="87"/>
      <c r="U341" s="87"/>
      <c r="V341" s="87"/>
      <c r="W341" s="87"/>
      <c r="X341" s="101"/>
      <c r="Y341" s="87"/>
      <c r="Z341" s="87"/>
      <c r="AA341" s="100"/>
      <c r="AB341" s="87"/>
      <c r="AC341" s="87"/>
      <c r="AD341" s="87"/>
      <c r="AE341" s="87"/>
      <c r="AF341" s="87"/>
      <c r="AG341" s="87"/>
      <c r="AH341" s="102"/>
      <c r="AI341" s="87"/>
      <c r="AJ341" s="103"/>
      <c r="AK341" s="87"/>
      <c r="AL341" s="87"/>
      <c r="AM341" s="87"/>
      <c r="AN341" s="87"/>
      <c r="AO341" s="87"/>
      <c r="AP341" s="87"/>
      <c r="AQ341" s="87"/>
      <c r="AR341" s="104"/>
      <c r="AS341" s="87"/>
      <c r="AT341" s="30"/>
      <c r="AU341" s="30"/>
      <c r="AV341" s="30"/>
      <c r="AW341" s="30"/>
      <c r="AX341" s="30"/>
      <c r="AY341" s="30"/>
    </row>
    <row r="342">
      <c r="F342" s="87"/>
      <c r="G342" s="87"/>
      <c r="H342" s="87"/>
      <c r="I342" s="87"/>
      <c r="J342" s="87"/>
      <c r="K342" s="87"/>
      <c r="L342" s="87"/>
      <c r="M342" s="87"/>
      <c r="N342" s="87"/>
      <c r="O342" s="87"/>
      <c r="P342" s="87"/>
      <c r="Q342" s="87"/>
      <c r="R342" s="87"/>
      <c r="S342" s="99"/>
      <c r="T342" s="87"/>
      <c r="U342" s="87"/>
      <c r="V342" s="87"/>
      <c r="W342" s="87"/>
      <c r="X342" s="101"/>
      <c r="Y342" s="87"/>
      <c r="Z342" s="87"/>
      <c r="AA342" s="100"/>
      <c r="AB342" s="87"/>
      <c r="AC342" s="87"/>
      <c r="AD342" s="87"/>
      <c r="AE342" s="87"/>
      <c r="AF342" s="87"/>
      <c r="AG342" s="87"/>
      <c r="AH342" s="102"/>
      <c r="AI342" s="87"/>
      <c r="AJ342" s="103"/>
      <c r="AK342" s="87"/>
      <c r="AL342" s="87"/>
      <c r="AM342" s="87"/>
      <c r="AN342" s="87"/>
      <c r="AO342" s="87"/>
      <c r="AP342" s="87"/>
      <c r="AQ342" s="87"/>
      <c r="AR342" s="104"/>
      <c r="AS342" s="87"/>
      <c r="AT342" s="30"/>
      <c r="AU342" s="30"/>
      <c r="AV342" s="30"/>
      <c r="AW342" s="30"/>
      <c r="AX342" s="30"/>
      <c r="AY342" s="30"/>
    </row>
    <row r="343">
      <c r="F343" s="87"/>
      <c r="G343" s="87"/>
      <c r="H343" s="87"/>
      <c r="I343" s="87"/>
      <c r="J343" s="87"/>
      <c r="K343" s="87"/>
      <c r="L343" s="87"/>
      <c r="M343" s="87"/>
      <c r="N343" s="87"/>
      <c r="O343" s="87"/>
      <c r="P343" s="87"/>
      <c r="Q343" s="87"/>
      <c r="R343" s="87"/>
      <c r="S343" s="99"/>
      <c r="T343" s="87"/>
      <c r="U343" s="87"/>
      <c r="V343" s="87"/>
      <c r="W343" s="87"/>
      <c r="X343" s="101"/>
      <c r="Y343" s="87"/>
      <c r="Z343" s="87"/>
      <c r="AA343" s="100"/>
      <c r="AB343" s="87"/>
      <c r="AC343" s="87"/>
      <c r="AD343" s="87"/>
      <c r="AE343" s="87"/>
      <c r="AF343" s="87"/>
      <c r="AG343" s="87"/>
      <c r="AH343" s="102"/>
      <c r="AI343" s="87"/>
      <c r="AJ343" s="103"/>
      <c r="AK343" s="87"/>
      <c r="AL343" s="87"/>
      <c r="AM343" s="87"/>
      <c r="AN343" s="87"/>
      <c r="AO343" s="87"/>
      <c r="AP343" s="87"/>
      <c r="AQ343" s="87"/>
      <c r="AR343" s="104"/>
      <c r="AS343" s="87"/>
      <c r="AT343" s="30"/>
      <c r="AU343" s="30"/>
      <c r="AV343" s="30"/>
      <c r="AW343" s="30"/>
      <c r="AX343" s="30"/>
      <c r="AY343" s="30"/>
    </row>
    <row r="344">
      <c r="F344" s="87"/>
      <c r="G344" s="87"/>
      <c r="H344" s="87"/>
      <c r="I344" s="87"/>
      <c r="J344" s="87"/>
      <c r="K344" s="87"/>
      <c r="L344" s="87"/>
      <c r="M344" s="87"/>
      <c r="N344" s="87"/>
      <c r="O344" s="87"/>
      <c r="P344" s="87"/>
      <c r="Q344" s="87"/>
      <c r="R344" s="87"/>
      <c r="S344" s="99"/>
      <c r="T344" s="87"/>
      <c r="U344" s="87"/>
      <c r="V344" s="87"/>
      <c r="W344" s="87"/>
      <c r="X344" s="101"/>
      <c r="Y344" s="87"/>
      <c r="Z344" s="87"/>
      <c r="AA344" s="100"/>
      <c r="AB344" s="87"/>
      <c r="AC344" s="87"/>
      <c r="AD344" s="87"/>
      <c r="AE344" s="87"/>
      <c r="AF344" s="87"/>
      <c r="AG344" s="87"/>
      <c r="AH344" s="102"/>
      <c r="AI344" s="87"/>
      <c r="AJ344" s="103"/>
      <c r="AK344" s="87"/>
      <c r="AL344" s="87"/>
      <c r="AM344" s="87"/>
      <c r="AN344" s="87"/>
      <c r="AO344" s="87"/>
      <c r="AP344" s="87"/>
      <c r="AQ344" s="87"/>
      <c r="AR344" s="104"/>
      <c r="AS344" s="87"/>
      <c r="AT344" s="30"/>
      <c r="AU344" s="30"/>
      <c r="AV344" s="30"/>
      <c r="AW344" s="30"/>
      <c r="AX344" s="30"/>
      <c r="AY344" s="30"/>
    </row>
    <row r="345">
      <c r="F345" s="87"/>
      <c r="G345" s="87"/>
      <c r="H345" s="87"/>
      <c r="I345" s="87"/>
      <c r="J345" s="87"/>
      <c r="K345" s="87"/>
      <c r="L345" s="87"/>
      <c r="M345" s="87"/>
      <c r="N345" s="87"/>
      <c r="O345" s="87"/>
      <c r="P345" s="87"/>
      <c r="Q345" s="87"/>
      <c r="R345" s="87"/>
      <c r="S345" s="99"/>
      <c r="T345" s="87"/>
      <c r="U345" s="87"/>
      <c r="V345" s="87"/>
      <c r="W345" s="87"/>
      <c r="X345" s="101"/>
      <c r="Y345" s="87"/>
      <c r="Z345" s="87"/>
      <c r="AA345" s="100"/>
      <c r="AB345" s="87"/>
      <c r="AC345" s="87"/>
      <c r="AD345" s="87"/>
      <c r="AE345" s="87"/>
      <c r="AF345" s="87"/>
      <c r="AG345" s="87"/>
      <c r="AH345" s="102"/>
      <c r="AI345" s="87"/>
      <c r="AJ345" s="103"/>
      <c r="AK345" s="87"/>
      <c r="AL345" s="87"/>
      <c r="AM345" s="87"/>
      <c r="AN345" s="87"/>
      <c r="AO345" s="87"/>
      <c r="AP345" s="87"/>
      <c r="AQ345" s="87"/>
      <c r="AR345" s="104"/>
      <c r="AS345" s="87"/>
      <c r="AT345" s="30"/>
      <c r="AU345" s="30"/>
      <c r="AV345" s="30"/>
      <c r="AW345" s="30"/>
      <c r="AX345" s="30"/>
      <c r="AY345" s="30"/>
    </row>
    <row r="346">
      <c r="F346" s="87"/>
      <c r="G346" s="87"/>
      <c r="H346" s="87"/>
      <c r="I346" s="87"/>
      <c r="J346" s="87"/>
      <c r="K346" s="87"/>
      <c r="L346" s="87"/>
      <c r="M346" s="87"/>
      <c r="N346" s="87"/>
      <c r="O346" s="87"/>
      <c r="P346" s="87"/>
      <c r="Q346" s="87"/>
      <c r="R346" s="87"/>
      <c r="S346" s="99"/>
      <c r="T346" s="87"/>
      <c r="U346" s="87"/>
      <c r="V346" s="87"/>
      <c r="W346" s="87"/>
      <c r="X346" s="101"/>
      <c r="Y346" s="87"/>
      <c r="Z346" s="87"/>
      <c r="AA346" s="100"/>
      <c r="AB346" s="87"/>
      <c r="AC346" s="87"/>
      <c r="AD346" s="87"/>
      <c r="AE346" s="87"/>
      <c r="AF346" s="87"/>
      <c r="AG346" s="87"/>
      <c r="AH346" s="102"/>
      <c r="AI346" s="87"/>
      <c r="AJ346" s="103"/>
      <c r="AK346" s="87"/>
      <c r="AL346" s="87"/>
      <c r="AM346" s="87"/>
      <c r="AN346" s="87"/>
      <c r="AO346" s="87"/>
      <c r="AP346" s="87"/>
      <c r="AQ346" s="87"/>
      <c r="AR346" s="104"/>
      <c r="AS346" s="87"/>
      <c r="AT346" s="30"/>
      <c r="AU346" s="30"/>
      <c r="AV346" s="30"/>
      <c r="AW346" s="30"/>
      <c r="AX346" s="30"/>
      <c r="AY346" s="30"/>
    </row>
    <row r="347">
      <c r="F347" s="87"/>
      <c r="G347" s="87"/>
      <c r="H347" s="87"/>
      <c r="I347" s="87"/>
      <c r="J347" s="87"/>
      <c r="K347" s="87"/>
      <c r="L347" s="87"/>
      <c r="M347" s="87"/>
      <c r="N347" s="87"/>
      <c r="O347" s="87"/>
      <c r="P347" s="87"/>
      <c r="Q347" s="87"/>
      <c r="R347" s="87"/>
      <c r="S347" s="99"/>
      <c r="T347" s="87"/>
      <c r="U347" s="87"/>
      <c r="V347" s="87"/>
      <c r="W347" s="87"/>
      <c r="X347" s="101"/>
      <c r="Y347" s="87"/>
      <c r="Z347" s="87"/>
      <c r="AA347" s="100"/>
      <c r="AB347" s="87"/>
      <c r="AC347" s="87"/>
      <c r="AD347" s="87"/>
      <c r="AE347" s="87"/>
      <c r="AF347" s="87"/>
      <c r="AG347" s="87"/>
      <c r="AH347" s="102"/>
      <c r="AI347" s="87"/>
      <c r="AJ347" s="103"/>
      <c r="AK347" s="87"/>
      <c r="AL347" s="87"/>
      <c r="AM347" s="87"/>
      <c r="AN347" s="87"/>
      <c r="AO347" s="87"/>
      <c r="AP347" s="87"/>
      <c r="AQ347" s="87"/>
      <c r="AR347" s="104"/>
      <c r="AS347" s="87"/>
      <c r="AT347" s="30"/>
      <c r="AU347" s="30"/>
      <c r="AV347" s="30"/>
      <c r="AW347" s="30"/>
      <c r="AX347" s="30"/>
      <c r="AY347" s="30"/>
    </row>
    <row r="348">
      <c r="F348" s="87"/>
      <c r="G348" s="87"/>
      <c r="H348" s="87"/>
      <c r="I348" s="87"/>
      <c r="J348" s="87"/>
      <c r="K348" s="87"/>
      <c r="L348" s="87"/>
      <c r="M348" s="87"/>
      <c r="N348" s="87"/>
      <c r="O348" s="87"/>
      <c r="P348" s="87"/>
      <c r="Q348" s="87"/>
      <c r="R348" s="87"/>
      <c r="S348" s="99"/>
      <c r="T348" s="87"/>
      <c r="U348" s="87"/>
      <c r="V348" s="87"/>
      <c r="W348" s="87"/>
      <c r="X348" s="101"/>
      <c r="Y348" s="87"/>
      <c r="Z348" s="87"/>
      <c r="AA348" s="100"/>
      <c r="AB348" s="87"/>
      <c r="AC348" s="87"/>
      <c r="AD348" s="87"/>
      <c r="AE348" s="87"/>
      <c r="AF348" s="87"/>
      <c r="AG348" s="87"/>
      <c r="AH348" s="102"/>
      <c r="AI348" s="87"/>
      <c r="AJ348" s="103"/>
      <c r="AK348" s="87"/>
      <c r="AL348" s="87"/>
      <c r="AM348" s="87"/>
      <c r="AN348" s="87"/>
      <c r="AO348" s="87"/>
      <c r="AP348" s="87"/>
      <c r="AQ348" s="87"/>
      <c r="AR348" s="104"/>
      <c r="AS348" s="87"/>
      <c r="AT348" s="30"/>
      <c r="AU348" s="30"/>
      <c r="AV348" s="30"/>
      <c r="AW348" s="30"/>
      <c r="AX348" s="30"/>
      <c r="AY348" s="30"/>
    </row>
    <row r="349">
      <c r="F349" s="87"/>
      <c r="G349" s="87"/>
      <c r="H349" s="87"/>
      <c r="I349" s="87"/>
      <c r="J349" s="87"/>
      <c r="K349" s="87"/>
      <c r="L349" s="87"/>
      <c r="M349" s="87"/>
      <c r="N349" s="87"/>
      <c r="O349" s="87"/>
      <c r="P349" s="87"/>
      <c r="Q349" s="87"/>
      <c r="R349" s="87"/>
      <c r="S349" s="99"/>
      <c r="T349" s="87"/>
      <c r="U349" s="87"/>
      <c r="V349" s="87"/>
      <c r="W349" s="87"/>
      <c r="X349" s="101"/>
      <c r="Y349" s="87"/>
      <c r="Z349" s="87"/>
      <c r="AA349" s="100"/>
      <c r="AB349" s="87"/>
      <c r="AC349" s="87"/>
      <c r="AD349" s="87"/>
      <c r="AE349" s="87"/>
      <c r="AF349" s="87"/>
      <c r="AG349" s="87"/>
      <c r="AH349" s="102"/>
      <c r="AI349" s="87"/>
      <c r="AJ349" s="103"/>
      <c r="AK349" s="87"/>
      <c r="AL349" s="87"/>
      <c r="AM349" s="87"/>
      <c r="AN349" s="87"/>
      <c r="AO349" s="87"/>
      <c r="AP349" s="87"/>
      <c r="AQ349" s="87"/>
      <c r="AR349" s="104"/>
      <c r="AS349" s="87"/>
      <c r="AT349" s="30"/>
      <c r="AU349" s="30"/>
      <c r="AV349" s="30"/>
      <c r="AW349" s="30"/>
      <c r="AX349" s="30"/>
      <c r="AY349" s="30"/>
    </row>
    <row r="350">
      <c r="F350" s="87"/>
      <c r="G350" s="87"/>
      <c r="H350" s="87"/>
      <c r="I350" s="87"/>
      <c r="J350" s="87"/>
      <c r="K350" s="87"/>
      <c r="L350" s="87"/>
      <c r="M350" s="87"/>
      <c r="N350" s="87"/>
      <c r="O350" s="87"/>
      <c r="P350" s="87"/>
      <c r="Q350" s="87"/>
      <c r="R350" s="87"/>
      <c r="S350" s="99"/>
      <c r="T350" s="87"/>
      <c r="U350" s="87"/>
      <c r="V350" s="87"/>
      <c r="W350" s="87"/>
      <c r="X350" s="101"/>
      <c r="Y350" s="87"/>
      <c r="Z350" s="87"/>
      <c r="AA350" s="100"/>
      <c r="AB350" s="87"/>
      <c r="AC350" s="87"/>
      <c r="AD350" s="87"/>
      <c r="AE350" s="87"/>
      <c r="AF350" s="87"/>
      <c r="AG350" s="87"/>
      <c r="AH350" s="102"/>
      <c r="AI350" s="87"/>
      <c r="AJ350" s="103"/>
      <c r="AK350" s="87"/>
      <c r="AL350" s="87"/>
      <c r="AM350" s="87"/>
      <c r="AN350" s="87"/>
      <c r="AO350" s="87"/>
      <c r="AP350" s="87"/>
      <c r="AQ350" s="87"/>
      <c r="AR350" s="104"/>
      <c r="AS350" s="87"/>
      <c r="AT350" s="30"/>
      <c r="AU350" s="30"/>
      <c r="AV350" s="30"/>
      <c r="AW350" s="30"/>
      <c r="AX350" s="30"/>
      <c r="AY350" s="30"/>
    </row>
    <row r="351">
      <c r="F351" s="87"/>
      <c r="G351" s="87"/>
      <c r="H351" s="87"/>
      <c r="I351" s="87"/>
      <c r="J351" s="87"/>
      <c r="K351" s="87"/>
      <c r="L351" s="87"/>
      <c r="M351" s="87"/>
      <c r="N351" s="87"/>
      <c r="O351" s="87"/>
      <c r="P351" s="87"/>
      <c r="Q351" s="87"/>
      <c r="R351" s="87"/>
      <c r="S351" s="99"/>
      <c r="T351" s="87"/>
      <c r="U351" s="87"/>
      <c r="V351" s="87"/>
      <c r="W351" s="87"/>
      <c r="X351" s="101"/>
      <c r="Y351" s="87"/>
      <c r="Z351" s="87"/>
      <c r="AA351" s="100"/>
      <c r="AB351" s="87"/>
      <c r="AC351" s="87"/>
      <c r="AD351" s="87"/>
      <c r="AE351" s="87"/>
      <c r="AF351" s="87"/>
      <c r="AG351" s="87"/>
      <c r="AH351" s="102"/>
      <c r="AI351" s="87"/>
      <c r="AJ351" s="103"/>
      <c r="AK351" s="87"/>
      <c r="AL351" s="87"/>
      <c r="AM351" s="87"/>
      <c r="AN351" s="87"/>
      <c r="AO351" s="87"/>
      <c r="AP351" s="87"/>
      <c r="AQ351" s="87"/>
      <c r="AR351" s="104"/>
      <c r="AS351" s="87"/>
      <c r="AT351" s="30"/>
      <c r="AU351" s="30"/>
      <c r="AV351" s="30"/>
      <c r="AW351" s="30"/>
      <c r="AX351" s="30"/>
      <c r="AY351" s="30"/>
    </row>
    <row r="352">
      <c r="F352" s="87"/>
      <c r="G352" s="87"/>
      <c r="H352" s="87"/>
      <c r="I352" s="87"/>
      <c r="J352" s="87"/>
      <c r="K352" s="87"/>
      <c r="L352" s="87"/>
      <c r="M352" s="87"/>
      <c r="N352" s="87"/>
      <c r="O352" s="87"/>
      <c r="P352" s="87"/>
      <c r="Q352" s="87"/>
      <c r="R352" s="87"/>
      <c r="S352" s="99"/>
      <c r="T352" s="87"/>
      <c r="U352" s="87"/>
      <c r="V352" s="87"/>
      <c r="W352" s="87"/>
      <c r="X352" s="101"/>
      <c r="Y352" s="87"/>
      <c r="Z352" s="87"/>
      <c r="AA352" s="100"/>
      <c r="AB352" s="87"/>
      <c r="AC352" s="87"/>
      <c r="AD352" s="87"/>
      <c r="AE352" s="87"/>
      <c r="AF352" s="87"/>
      <c r="AG352" s="87"/>
      <c r="AH352" s="102"/>
      <c r="AI352" s="87"/>
      <c r="AJ352" s="103"/>
      <c r="AK352" s="87"/>
      <c r="AL352" s="87"/>
      <c r="AM352" s="87"/>
      <c r="AN352" s="87"/>
      <c r="AO352" s="87"/>
      <c r="AP352" s="87"/>
      <c r="AQ352" s="87"/>
      <c r="AR352" s="104"/>
      <c r="AS352" s="87"/>
      <c r="AT352" s="30"/>
      <c r="AU352" s="30"/>
      <c r="AV352" s="30"/>
      <c r="AW352" s="30"/>
      <c r="AX352" s="30"/>
      <c r="AY352" s="30"/>
    </row>
    <row r="353">
      <c r="F353" s="87"/>
      <c r="G353" s="87"/>
      <c r="H353" s="87"/>
      <c r="I353" s="87"/>
      <c r="J353" s="87"/>
      <c r="K353" s="87"/>
      <c r="L353" s="87"/>
      <c r="M353" s="87"/>
      <c r="N353" s="87"/>
      <c r="O353" s="87"/>
      <c r="P353" s="87"/>
      <c r="Q353" s="87"/>
      <c r="R353" s="87"/>
      <c r="S353" s="99"/>
      <c r="T353" s="87"/>
      <c r="U353" s="87"/>
      <c r="V353" s="87"/>
      <c r="W353" s="87"/>
      <c r="X353" s="101"/>
      <c r="Y353" s="87"/>
      <c r="Z353" s="87"/>
      <c r="AA353" s="100"/>
      <c r="AB353" s="87"/>
      <c r="AC353" s="87"/>
      <c r="AD353" s="87"/>
      <c r="AE353" s="87"/>
      <c r="AF353" s="87"/>
      <c r="AG353" s="87"/>
      <c r="AH353" s="102"/>
      <c r="AI353" s="87"/>
      <c r="AJ353" s="103"/>
      <c r="AK353" s="87"/>
      <c r="AL353" s="87"/>
      <c r="AM353" s="87"/>
      <c r="AN353" s="87"/>
      <c r="AO353" s="87"/>
      <c r="AP353" s="87"/>
      <c r="AQ353" s="87"/>
      <c r="AR353" s="104"/>
      <c r="AS353" s="87"/>
      <c r="AT353" s="30"/>
      <c r="AU353" s="30"/>
      <c r="AV353" s="30"/>
      <c r="AW353" s="30"/>
      <c r="AX353" s="30"/>
      <c r="AY353" s="30"/>
    </row>
    <row r="354">
      <c r="F354" s="87"/>
      <c r="G354" s="87"/>
      <c r="H354" s="87"/>
      <c r="I354" s="87"/>
      <c r="J354" s="87"/>
      <c r="K354" s="87"/>
      <c r="L354" s="87"/>
      <c r="M354" s="87"/>
      <c r="N354" s="87"/>
      <c r="O354" s="87"/>
      <c r="P354" s="87"/>
      <c r="Q354" s="87"/>
      <c r="R354" s="87"/>
      <c r="S354" s="99"/>
      <c r="T354" s="87"/>
      <c r="U354" s="87"/>
      <c r="V354" s="87"/>
      <c r="W354" s="87"/>
      <c r="X354" s="101"/>
      <c r="Y354" s="87"/>
      <c r="Z354" s="87"/>
      <c r="AA354" s="100"/>
      <c r="AB354" s="87"/>
      <c r="AC354" s="87"/>
      <c r="AD354" s="87"/>
      <c r="AE354" s="87"/>
      <c r="AF354" s="87"/>
      <c r="AG354" s="87"/>
      <c r="AH354" s="102"/>
      <c r="AI354" s="87"/>
      <c r="AJ354" s="103"/>
      <c r="AK354" s="87"/>
      <c r="AL354" s="87"/>
      <c r="AM354" s="87"/>
      <c r="AN354" s="87"/>
      <c r="AO354" s="87"/>
      <c r="AP354" s="87"/>
      <c r="AQ354" s="87"/>
      <c r="AR354" s="104"/>
      <c r="AS354" s="87"/>
      <c r="AT354" s="30"/>
      <c r="AU354" s="30"/>
      <c r="AV354" s="30"/>
      <c r="AW354" s="30"/>
      <c r="AX354" s="30"/>
      <c r="AY354" s="30"/>
    </row>
    <row r="355">
      <c r="F355" s="87"/>
      <c r="G355" s="87"/>
      <c r="H355" s="87"/>
      <c r="I355" s="87"/>
      <c r="J355" s="87"/>
      <c r="K355" s="87"/>
      <c r="L355" s="87"/>
      <c r="M355" s="87"/>
      <c r="N355" s="87"/>
      <c r="O355" s="87"/>
      <c r="P355" s="87"/>
      <c r="Q355" s="87"/>
      <c r="R355" s="87"/>
      <c r="S355" s="99"/>
      <c r="T355" s="87"/>
      <c r="U355" s="87"/>
      <c r="V355" s="87"/>
      <c r="W355" s="87"/>
      <c r="X355" s="101"/>
      <c r="Y355" s="87"/>
      <c r="Z355" s="87"/>
      <c r="AA355" s="100"/>
      <c r="AB355" s="87"/>
      <c r="AC355" s="87"/>
      <c r="AD355" s="87"/>
      <c r="AE355" s="87"/>
      <c r="AF355" s="87"/>
      <c r="AG355" s="87"/>
      <c r="AH355" s="102"/>
      <c r="AI355" s="87"/>
      <c r="AJ355" s="103"/>
      <c r="AK355" s="87"/>
      <c r="AL355" s="87"/>
      <c r="AM355" s="87"/>
      <c r="AN355" s="87"/>
      <c r="AO355" s="87"/>
      <c r="AP355" s="87"/>
      <c r="AQ355" s="87"/>
      <c r="AR355" s="104"/>
      <c r="AS355" s="87"/>
      <c r="AT355" s="30"/>
      <c r="AU355" s="30"/>
      <c r="AV355" s="30"/>
      <c r="AW355" s="30"/>
      <c r="AX355" s="30"/>
      <c r="AY355" s="30"/>
    </row>
    <row r="356">
      <c r="F356" s="87"/>
      <c r="G356" s="87"/>
      <c r="H356" s="87"/>
      <c r="I356" s="87"/>
      <c r="J356" s="87"/>
      <c r="K356" s="87"/>
      <c r="L356" s="87"/>
      <c r="M356" s="87"/>
      <c r="N356" s="87"/>
      <c r="O356" s="87"/>
      <c r="P356" s="87"/>
      <c r="Q356" s="87"/>
      <c r="R356" s="87"/>
      <c r="S356" s="99"/>
      <c r="T356" s="87"/>
      <c r="U356" s="87"/>
      <c r="V356" s="87"/>
      <c r="W356" s="87"/>
      <c r="X356" s="101"/>
      <c r="Y356" s="87"/>
      <c r="Z356" s="87"/>
      <c r="AA356" s="100"/>
      <c r="AB356" s="87"/>
      <c r="AC356" s="87"/>
      <c r="AD356" s="87"/>
      <c r="AE356" s="87"/>
      <c r="AF356" s="87"/>
      <c r="AG356" s="87"/>
      <c r="AH356" s="102"/>
      <c r="AI356" s="87"/>
      <c r="AJ356" s="103"/>
      <c r="AK356" s="87"/>
      <c r="AL356" s="87"/>
      <c r="AM356" s="87"/>
      <c r="AN356" s="87"/>
      <c r="AO356" s="87"/>
      <c r="AP356" s="87"/>
      <c r="AQ356" s="87"/>
      <c r="AR356" s="104"/>
      <c r="AS356" s="87"/>
      <c r="AT356" s="30"/>
      <c r="AU356" s="30"/>
      <c r="AV356" s="30"/>
      <c r="AW356" s="30"/>
      <c r="AX356" s="30"/>
      <c r="AY356" s="30"/>
    </row>
    <row r="357">
      <c r="F357" s="87"/>
      <c r="G357" s="87"/>
      <c r="H357" s="87"/>
      <c r="I357" s="87"/>
      <c r="J357" s="87"/>
      <c r="K357" s="87"/>
      <c r="L357" s="87"/>
      <c r="M357" s="87"/>
      <c r="N357" s="87"/>
      <c r="O357" s="87"/>
      <c r="P357" s="87"/>
      <c r="Q357" s="87"/>
      <c r="R357" s="87"/>
      <c r="S357" s="99"/>
      <c r="T357" s="87"/>
      <c r="U357" s="87"/>
      <c r="V357" s="87"/>
      <c r="W357" s="87"/>
      <c r="X357" s="101"/>
      <c r="Y357" s="87"/>
      <c r="Z357" s="87"/>
      <c r="AA357" s="100"/>
      <c r="AB357" s="87"/>
      <c r="AC357" s="87"/>
      <c r="AD357" s="87"/>
      <c r="AE357" s="87"/>
      <c r="AF357" s="87"/>
      <c r="AG357" s="87"/>
      <c r="AH357" s="102"/>
      <c r="AI357" s="87"/>
      <c r="AJ357" s="103"/>
      <c r="AK357" s="87"/>
      <c r="AL357" s="87"/>
      <c r="AM357" s="87"/>
      <c r="AN357" s="87"/>
      <c r="AO357" s="87"/>
      <c r="AP357" s="87"/>
      <c r="AQ357" s="87"/>
      <c r="AR357" s="104"/>
      <c r="AS357" s="87"/>
      <c r="AT357" s="30"/>
      <c r="AU357" s="30"/>
      <c r="AV357" s="30"/>
      <c r="AW357" s="30"/>
      <c r="AX357" s="30"/>
      <c r="AY357" s="30"/>
    </row>
    <row r="358">
      <c r="F358" s="87"/>
      <c r="G358" s="87"/>
      <c r="H358" s="87"/>
      <c r="I358" s="87"/>
      <c r="J358" s="87"/>
      <c r="K358" s="87"/>
      <c r="L358" s="87"/>
      <c r="M358" s="87"/>
      <c r="N358" s="87"/>
      <c r="O358" s="87"/>
      <c r="P358" s="87"/>
      <c r="Q358" s="87"/>
      <c r="R358" s="87"/>
      <c r="S358" s="99"/>
      <c r="T358" s="87"/>
      <c r="U358" s="87"/>
      <c r="V358" s="87"/>
      <c r="W358" s="87"/>
      <c r="X358" s="101"/>
      <c r="Y358" s="87"/>
      <c r="Z358" s="87"/>
      <c r="AA358" s="100"/>
      <c r="AB358" s="87"/>
      <c r="AC358" s="87"/>
      <c r="AD358" s="87"/>
      <c r="AE358" s="87"/>
      <c r="AF358" s="87"/>
      <c r="AG358" s="87"/>
      <c r="AH358" s="102"/>
      <c r="AI358" s="87"/>
      <c r="AJ358" s="103"/>
      <c r="AK358" s="87"/>
      <c r="AL358" s="87"/>
      <c r="AM358" s="87"/>
      <c r="AN358" s="87"/>
      <c r="AO358" s="87"/>
      <c r="AP358" s="87"/>
      <c r="AQ358" s="87"/>
      <c r="AR358" s="104"/>
      <c r="AS358" s="87"/>
      <c r="AT358" s="30"/>
      <c r="AU358" s="30"/>
      <c r="AV358" s="30"/>
      <c r="AW358" s="30"/>
      <c r="AX358" s="30"/>
      <c r="AY358" s="30"/>
    </row>
    <row r="359">
      <c r="F359" s="87"/>
      <c r="G359" s="87"/>
      <c r="H359" s="87"/>
      <c r="I359" s="87"/>
      <c r="J359" s="87"/>
      <c r="K359" s="87"/>
      <c r="L359" s="87"/>
      <c r="M359" s="87"/>
      <c r="N359" s="87"/>
      <c r="O359" s="87"/>
      <c r="P359" s="87"/>
      <c r="Q359" s="87"/>
      <c r="R359" s="87"/>
      <c r="S359" s="99"/>
      <c r="T359" s="87"/>
      <c r="U359" s="87"/>
      <c r="V359" s="87"/>
      <c r="W359" s="87"/>
      <c r="X359" s="101"/>
      <c r="Y359" s="87"/>
      <c r="Z359" s="87"/>
      <c r="AA359" s="100"/>
      <c r="AB359" s="87"/>
      <c r="AC359" s="87"/>
      <c r="AD359" s="87"/>
      <c r="AE359" s="87"/>
      <c r="AF359" s="87"/>
      <c r="AG359" s="87"/>
      <c r="AH359" s="102"/>
      <c r="AI359" s="87"/>
      <c r="AJ359" s="103"/>
      <c r="AK359" s="87"/>
      <c r="AL359" s="87"/>
      <c r="AM359" s="87"/>
      <c r="AN359" s="87"/>
      <c r="AO359" s="87"/>
      <c r="AP359" s="87"/>
      <c r="AQ359" s="87"/>
      <c r="AR359" s="104"/>
      <c r="AS359" s="87"/>
      <c r="AT359" s="30"/>
      <c r="AU359" s="30"/>
      <c r="AV359" s="30"/>
      <c r="AW359" s="30"/>
      <c r="AX359" s="30"/>
      <c r="AY359" s="30"/>
    </row>
    <row r="360">
      <c r="F360" s="87"/>
      <c r="G360" s="87"/>
      <c r="H360" s="87"/>
      <c r="I360" s="87"/>
      <c r="J360" s="87"/>
      <c r="K360" s="87"/>
      <c r="L360" s="87"/>
      <c r="M360" s="87"/>
      <c r="N360" s="87"/>
      <c r="O360" s="87"/>
      <c r="P360" s="87"/>
      <c r="Q360" s="87"/>
      <c r="R360" s="87"/>
      <c r="S360" s="99"/>
      <c r="T360" s="87"/>
      <c r="U360" s="87"/>
      <c r="V360" s="87"/>
      <c r="W360" s="87"/>
      <c r="X360" s="101"/>
      <c r="Y360" s="87"/>
      <c r="Z360" s="87"/>
      <c r="AA360" s="100"/>
      <c r="AB360" s="87"/>
      <c r="AC360" s="87"/>
      <c r="AD360" s="87"/>
      <c r="AE360" s="87"/>
      <c r="AF360" s="87"/>
      <c r="AG360" s="87"/>
      <c r="AH360" s="102"/>
      <c r="AI360" s="87"/>
      <c r="AJ360" s="103"/>
      <c r="AK360" s="87"/>
      <c r="AL360" s="87"/>
      <c r="AM360" s="87"/>
      <c r="AN360" s="87"/>
      <c r="AO360" s="87"/>
      <c r="AP360" s="87"/>
      <c r="AQ360" s="87"/>
      <c r="AR360" s="104"/>
      <c r="AS360" s="87"/>
      <c r="AT360" s="30"/>
      <c r="AU360" s="30"/>
      <c r="AV360" s="30"/>
      <c r="AW360" s="30"/>
      <c r="AX360" s="30"/>
      <c r="AY360" s="30"/>
    </row>
    <row r="361">
      <c r="F361" s="87"/>
      <c r="G361" s="87"/>
      <c r="H361" s="87"/>
      <c r="I361" s="87"/>
      <c r="J361" s="87"/>
      <c r="K361" s="87"/>
      <c r="L361" s="87"/>
      <c r="M361" s="87"/>
      <c r="N361" s="87"/>
      <c r="O361" s="87"/>
      <c r="P361" s="87"/>
      <c r="Q361" s="87"/>
      <c r="R361" s="87"/>
      <c r="S361" s="99"/>
      <c r="T361" s="87"/>
      <c r="U361" s="87"/>
      <c r="V361" s="87"/>
      <c r="W361" s="87"/>
      <c r="X361" s="101"/>
      <c r="Y361" s="87"/>
      <c r="Z361" s="87"/>
      <c r="AA361" s="100"/>
      <c r="AB361" s="87"/>
      <c r="AC361" s="87"/>
      <c r="AD361" s="87"/>
      <c r="AE361" s="87"/>
      <c r="AF361" s="87"/>
      <c r="AG361" s="87"/>
      <c r="AH361" s="102"/>
      <c r="AI361" s="87"/>
      <c r="AJ361" s="103"/>
      <c r="AK361" s="87"/>
      <c r="AL361" s="87"/>
      <c r="AM361" s="87"/>
      <c r="AN361" s="87"/>
      <c r="AO361" s="87"/>
      <c r="AP361" s="87"/>
      <c r="AQ361" s="87"/>
      <c r="AR361" s="104"/>
      <c r="AS361" s="87"/>
      <c r="AT361" s="30"/>
      <c r="AU361" s="30"/>
      <c r="AV361" s="30"/>
      <c r="AW361" s="30"/>
      <c r="AX361" s="30"/>
      <c r="AY361" s="30"/>
    </row>
    <row r="362">
      <c r="F362" s="87"/>
      <c r="G362" s="87"/>
      <c r="H362" s="87"/>
      <c r="I362" s="87"/>
      <c r="J362" s="87"/>
      <c r="K362" s="87"/>
      <c r="L362" s="87"/>
      <c r="M362" s="87"/>
      <c r="N362" s="87"/>
      <c r="O362" s="87"/>
      <c r="P362" s="87"/>
      <c r="Q362" s="87"/>
      <c r="R362" s="87"/>
      <c r="S362" s="99"/>
      <c r="T362" s="87"/>
      <c r="U362" s="87"/>
      <c r="V362" s="87"/>
      <c r="W362" s="87"/>
      <c r="X362" s="101"/>
      <c r="Y362" s="87"/>
      <c r="Z362" s="87"/>
      <c r="AA362" s="100"/>
      <c r="AB362" s="87"/>
      <c r="AC362" s="87"/>
      <c r="AD362" s="87"/>
      <c r="AE362" s="87"/>
      <c r="AF362" s="87"/>
      <c r="AG362" s="87"/>
      <c r="AH362" s="102"/>
      <c r="AI362" s="87"/>
      <c r="AJ362" s="103"/>
      <c r="AK362" s="87"/>
      <c r="AL362" s="87"/>
      <c r="AM362" s="87"/>
      <c r="AN362" s="87"/>
      <c r="AO362" s="87"/>
      <c r="AP362" s="87"/>
      <c r="AQ362" s="87"/>
      <c r="AR362" s="104"/>
      <c r="AS362" s="87"/>
      <c r="AT362" s="30"/>
      <c r="AU362" s="30"/>
      <c r="AV362" s="30"/>
      <c r="AW362" s="30"/>
      <c r="AX362" s="30"/>
      <c r="AY362" s="30"/>
    </row>
    <row r="363">
      <c r="F363" s="87"/>
      <c r="G363" s="87"/>
      <c r="H363" s="87"/>
      <c r="I363" s="87"/>
      <c r="J363" s="87"/>
      <c r="K363" s="87"/>
      <c r="L363" s="87"/>
      <c r="M363" s="87"/>
      <c r="N363" s="87"/>
      <c r="O363" s="87"/>
      <c r="P363" s="87"/>
      <c r="Q363" s="87"/>
      <c r="R363" s="87"/>
      <c r="S363" s="99"/>
      <c r="T363" s="87"/>
      <c r="U363" s="87"/>
      <c r="V363" s="87"/>
      <c r="W363" s="87"/>
      <c r="X363" s="101"/>
      <c r="Y363" s="87"/>
      <c r="Z363" s="87"/>
      <c r="AA363" s="100"/>
      <c r="AB363" s="87"/>
      <c r="AC363" s="87"/>
      <c r="AD363" s="87"/>
      <c r="AE363" s="87"/>
      <c r="AF363" s="87"/>
      <c r="AG363" s="87"/>
      <c r="AH363" s="102"/>
      <c r="AI363" s="87"/>
      <c r="AJ363" s="103"/>
      <c r="AK363" s="87"/>
      <c r="AL363" s="87"/>
      <c r="AM363" s="87"/>
      <c r="AN363" s="87"/>
      <c r="AO363" s="87"/>
      <c r="AP363" s="87"/>
      <c r="AQ363" s="87"/>
      <c r="AR363" s="104"/>
      <c r="AS363" s="87"/>
      <c r="AT363" s="30"/>
      <c r="AU363" s="30"/>
      <c r="AV363" s="30"/>
      <c r="AW363" s="30"/>
      <c r="AX363" s="30"/>
      <c r="AY363" s="30"/>
    </row>
    <row r="364">
      <c r="F364" s="87"/>
      <c r="G364" s="87"/>
      <c r="H364" s="87"/>
      <c r="I364" s="87"/>
      <c r="J364" s="87"/>
      <c r="K364" s="87"/>
      <c r="L364" s="87"/>
      <c r="M364" s="87"/>
      <c r="N364" s="87"/>
      <c r="O364" s="87"/>
      <c r="P364" s="87"/>
      <c r="Q364" s="87"/>
      <c r="R364" s="87"/>
      <c r="S364" s="99"/>
      <c r="T364" s="87"/>
      <c r="U364" s="87"/>
      <c r="V364" s="87"/>
      <c r="W364" s="87"/>
      <c r="X364" s="101"/>
      <c r="Y364" s="87"/>
      <c r="Z364" s="87"/>
      <c r="AA364" s="100"/>
      <c r="AB364" s="87"/>
      <c r="AC364" s="87"/>
      <c r="AD364" s="87"/>
      <c r="AE364" s="87"/>
      <c r="AF364" s="87"/>
      <c r="AG364" s="87"/>
      <c r="AH364" s="102"/>
      <c r="AI364" s="87"/>
      <c r="AJ364" s="103"/>
      <c r="AK364" s="87"/>
      <c r="AL364" s="87"/>
      <c r="AM364" s="87"/>
      <c r="AN364" s="87"/>
      <c r="AO364" s="87"/>
      <c r="AP364" s="87"/>
      <c r="AQ364" s="87"/>
      <c r="AR364" s="104"/>
      <c r="AS364" s="87"/>
      <c r="AT364" s="30"/>
      <c r="AU364" s="30"/>
      <c r="AV364" s="30"/>
      <c r="AW364" s="30"/>
      <c r="AX364" s="30"/>
      <c r="AY364" s="30"/>
    </row>
    <row r="365">
      <c r="F365" s="87"/>
      <c r="G365" s="87"/>
      <c r="H365" s="87"/>
      <c r="I365" s="87"/>
      <c r="J365" s="87"/>
      <c r="K365" s="87"/>
      <c r="L365" s="87"/>
      <c r="M365" s="87"/>
      <c r="N365" s="87"/>
      <c r="O365" s="87"/>
      <c r="P365" s="87"/>
      <c r="Q365" s="87"/>
      <c r="R365" s="87"/>
      <c r="S365" s="99"/>
      <c r="T365" s="87"/>
      <c r="U365" s="87"/>
      <c r="V365" s="87"/>
      <c r="W365" s="87"/>
      <c r="X365" s="101"/>
      <c r="Y365" s="87"/>
      <c r="Z365" s="87"/>
      <c r="AA365" s="100"/>
      <c r="AB365" s="87"/>
      <c r="AC365" s="87"/>
      <c r="AD365" s="87"/>
      <c r="AE365" s="87"/>
      <c r="AF365" s="87"/>
      <c r="AG365" s="87"/>
      <c r="AH365" s="102"/>
      <c r="AI365" s="87"/>
      <c r="AJ365" s="103"/>
      <c r="AK365" s="87"/>
      <c r="AL365" s="87"/>
      <c r="AM365" s="87"/>
      <c r="AN365" s="87"/>
      <c r="AO365" s="87"/>
      <c r="AP365" s="87"/>
      <c r="AQ365" s="87"/>
      <c r="AR365" s="104"/>
      <c r="AS365" s="87"/>
      <c r="AT365" s="30"/>
      <c r="AU365" s="30"/>
      <c r="AV365" s="30"/>
      <c r="AW365" s="30"/>
      <c r="AX365" s="30"/>
      <c r="AY365" s="30"/>
    </row>
    <row r="366">
      <c r="F366" s="87"/>
      <c r="G366" s="87"/>
      <c r="H366" s="87"/>
      <c r="I366" s="87"/>
      <c r="J366" s="87"/>
      <c r="K366" s="87"/>
      <c r="L366" s="87"/>
      <c r="M366" s="87"/>
      <c r="N366" s="87"/>
      <c r="O366" s="87"/>
      <c r="P366" s="87"/>
      <c r="Q366" s="87"/>
      <c r="R366" s="87"/>
      <c r="S366" s="99"/>
      <c r="T366" s="87"/>
      <c r="U366" s="87"/>
      <c r="V366" s="87"/>
      <c r="W366" s="87"/>
      <c r="X366" s="101"/>
      <c r="Y366" s="87"/>
      <c r="Z366" s="87"/>
      <c r="AA366" s="100"/>
      <c r="AB366" s="87"/>
      <c r="AC366" s="87"/>
      <c r="AD366" s="87"/>
      <c r="AE366" s="87"/>
      <c r="AF366" s="87"/>
      <c r="AG366" s="87"/>
      <c r="AH366" s="102"/>
      <c r="AI366" s="87"/>
      <c r="AJ366" s="103"/>
      <c r="AK366" s="87"/>
      <c r="AL366" s="87"/>
      <c r="AM366" s="87"/>
      <c r="AN366" s="87"/>
      <c r="AO366" s="87"/>
      <c r="AP366" s="87"/>
      <c r="AQ366" s="87"/>
      <c r="AR366" s="104"/>
      <c r="AS366" s="87"/>
      <c r="AT366" s="30"/>
      <c r="AU366" s="30"/>
      <c r="AV366" s="30"/>
      <c r="AW366" s="30"/>
      <c r="AX366" s="30"/>
      <c r="AY366" s="30"/>
    </row>
    <row r="367">
      <c r="F367" s="87"/>
      <c r="G367" s="87"/>
      <c r="H367" s="87"/>
      <c r="I367" s="87"/>
      <c r="J367" s="87"/>
      <c r="K367" s="87"/>
      <c r="L367" s="87"/>
      <c r="M367" s="87"/>
      <c r="N367" s="87"/>
      <c r="O367" s="87"/>
      <c r="P367" s="87"/>
      <c r="Q367" s="87"/>
      <c r="R367" s="87"/>
      <c r="S367" s="99"/>
      <c r="T367" s="87"/>
      <c r="U367" s="87"/>
      <c r="V367" s="87"/>
      <c r="W367" s="87"/>
      <c r="X367" s="101"/>
      <c r="Y367" s="87"/>
      <c r="Z367" s="87"/>
      <c r="AA367" s="100"/>
      <c r="AB367" s="87"/>
      <c r="AC367" s="87"/>
      <c r="AD367" s="87"/>
      <c r="AE367" s="87"/>
      <c r="AF367" s="87"/>
      <c r="AG367" s="87"/>
      <c r="AH367" s="102"/>
      <c r="AI367" s="87"/>
      <c r="AJ367" s="103"/>
      <c r="AK367" s="87"/>
      <c r="AL367" s="87"/>
      <c r="AM367" s="87"/>
      <c r="AN367" s="87"/>
      <c r="AO367" s="87"/>
      <c r="AP367" s="87"/>
      <c r="AQ367" s="87"/>
      <c r="AR367" s="104"/>
      <c r="AS367" s="87"/>
      <c r="AT367" s="30"/>
      <c r="AU367" s="30"/>
      <c r="AV367" s="30"/>
      <c r="AW367" s="30"/>
      <c r="AX367" s="30"/>
      <c r="AY367" s="30"/>
    </row>
    <row r="368">
      <c r="F368" s="87"/>
      <c r="G368" s="87"/>
      <c r="H368" s="87"/>
      <c r="I368" s="87"/>
      <c r="J368" s="87"/>
      <c r="K368" s="87"/>
      <c r="L368" s="87"/>
      <c r="M368" s="87"/>
      <c r="N368" s="87"/>
      <c r="O368" s="87"/>
      <c r="P368" s="87"/>
      <c r="Q368" s="87"/>
      <c r="R368" s="87"/>
      <c r="S368" s="99"/>
      <c r="T368" s="87"/>
      <c r="U368" s="87"/>
      <c r="V368" s="87"/>
      <c r="W368" s="87"/>
      <c r="X368" s="101"/>
      <c r="Y368" s="87"/>
      <c r="Z368" s="87"/>
      <c r="AA368" s="100"/>
      <c r="AB368" s="87"/>
      <c r="AC368" s="87"/>
      <c r="AD368" s="87"/>
      <c r="AE368" s="87"/>
      <c r="AF368" s="87"/>
      <c r="AG368" s="87"/>
      <c r="AH368" s="102"/>
      <c r="AI368" s="87"/>
      <c r="AJ368" s="103"/>
      <c r="AK368" s="87"/>
      <c r="AL368" s="87"/>
      <c r="AM368" s="87"/>
      <c r="AN368" s="87"/>
      <c r="AO368" s="87"/>
      <c r="AP368" s="87"/>
      <c r="AQ368" s="87"/>
      <c r="AR368" s="104"/>
      <c r="AS368" s="87"/>
      <c r="AT368" s="30"/>
      <c r="AU368" s="30"/>
      <c r="AV368" s="30"/>
      <c r="AW368" s="30"/>
      <c r="AX368" s="30"/>
      <c r="AY368" s="30"/>
    </row>
    <row r="369">
      <c r="F369" s="87"/>
      <c r="G369" s="87"/>
      <c r="H369" s="87"/>
      <c r="I369" s="87"/>
      <c r="J369" s="87"/>
      <c r="K369" s="87"/>
      <c r="L369" s="87"/>
      <c r="M369" s="87"/>
      <c r="N369" s="87"/>
      <c r="O369" s="87"/>
      <c r="P369" s="87"/>
      <c r="Q369" s="87"/>
      <c r="R369" s="87"/>
      <c r="S369" s="99"/>
      <c r="T369" s="87"/>
      <c r="U369" s="87"/>
      <c r="V369" s="87"/>
      <c r="W369" s="87"/>
      <c r="X369" s="101"/>
      <c r="Y369" s="87"/>
      <c r="Z369" s="87"/>
      <c r="AA369" s="100"/>
      <c r="AB369" s="87"/>
      <c r="AC369" s="87"/>
      <c r="AD369" s="87"/>
      <c r="AE369" s="87"/>
      <c r="AF369" s="87"/>
      <c r="AG369" s="87"/>
      <c r="AH369" s="102"/>
      <c r="AI369" s="87"/>
      <c r="AJ369" s="103"/>
      <c r="AK369" s="87"/>
      <c r="AL369" s="87"/>
      <c r="AM369" s="87"/>
      <c r="AN369" s="87"/>
      <c r="AO369" s="87"/>
      <c r="AP369" s="87"/>
      <c r="AQ369" s="87"/>
      <c r="AR369" s="104"/>
      <c r="AS369" s="87"/>
      <c r="AT369" s="30"/>
      <c r="AU369" s="30"/>
      <c r="AV369" s="30"/>
      <c r="AW369" s="30"/>
      <c r="AX369" s="30"/>
      <c r="AY369" s="30"/>
    </row>
    <row r="370">
      <c r="F370" s="87"/>
      <c r="G370" s="87"/>
      <c r="H370" s="87"/>
      <c r="I370" s="87"/>
      <c r="J370" s="87"/>
      <c r="K370" s="87"/>
      <c r="L370" s="87"/>
      <c r="M370" s="87"/>
      <c r="N370" s="87"/>
      <c r="O370" s="87"/>
      <c r="P370" s="87"/>
      <c r="Q370" s="87"/>
      <c r="R370" s="87"/>
      <c r="S370" s="99"/>
      <c r="T370" s="87"/>
      <c r="U370" s="87"/>
      <c r="V370" s="87"/>
      <c r="W370" s="87"/>
      <c r="X370" s="101"/>
      <c r="Y370" s="87"/>
      <c r="Z370" s="87"/>
      <c r="AA370" s="100"/>
      <c r="AB370" s="87"/>
      <c r="AC370" s="87"/>
      <c r="AD370" s="87"/>
      <c r="AE370" s="87"/>
      <c r="AF370" s="87"/>
      <c r="AG370" s="87"/>
      <c r="AH370" s="102"/>
      <c r="AI370" s="87"/>
      <c r="AJ370" s="103"/>
      <c r="AK370" s="87"/>
      <c r="AL370" s="87"/>
      <c r="AM370" s="87"/>
      <c r="AN370" s="87"/>
      <c r="AO370" s="87"/>
      <c r="AP370" s="87"/>
      <c r="AQ370" s="87"/>
      <c r="AR370" s="104"/>
      <c r="AS370" s="87"/>
      <c r="AT370" s="30"/>
      <c r="AU370" s="30"/>
      <c r="AV370" s="30"/>
      <c r="AW370" s="30"/>
      <c r="AX370" s="30"/>
      <c r="AY370" s="30"/>
    </row>
    <row r="371">
      <c r="F371" s="87"/>
      <c r="G371" s="87"/>
      <c r="H371" s="87"/>
      <c r="I371" s="87"/>
      <c r="J371" s="87"/>
      <c r="K371" s="87"/>
      <c r="L371" s="87"/>
      <c r="M371" s="87"/>
      <c r="N371" s="87"/>
      <c r="O371" s="87"/>
      <c r="P371" s="87"/>
      <c r="Q371" s="87"/>
      <c r="R371" s="87"/>
      <c r="S371" s="99"/>
      <c r="T371" s="87"/>
      <c r="U371" s="87"/>
      <c r="V371" s="87"/>
      <c r="W371" s="87"/>
      <c r="X371" s="101"/>
      <c r="Y371" s="87"/>
      <c r="Z371" s="87"/>
      <c r="AA371" s="100"/>
      <c r="AB371" s="87"/>
      <c r="AC371" s="87"/>
      <c r="AD371" s="87"/>
      <c r="AE371" s="87"/>
      <c r="AF371" s="87"/>
      <c r="AG371" s="87"/>
      <c r="AH371" s="102"/>
      <c r="AI371" s="87"/>
      <c r="AJ371" s="103"/>
      <c r="AK371" s="87"/>
      <c r="AL371" s="87"/>
      <c r="AM371" s="87"/>
      <c r="AN371" s="87"/>
      <c r="AO371" s="87"/>
      <c r="AP371" s="87"/>
      <c r="AQ371" s="87"/>
      <c r="AR371" s="104"/>
      <c r="AS371" s="87"/>
      <c r="AT371" s="30"/>
      <c r="AU371" s="30"/>
      <c r="AV371" s="30"/>
      <c r="AW371" s="30"/>
      <c r="AX371" s="30"/>
      <c r="AY371" s="30"/>
    </row>
    <row r="372">
      <c r="F372" s="87"/>
      <c r="G372" s="87"/>
      <c r="H372" s="87"/>
      <c r="I372" s="87"/>
      <c r="J372" s="87"/>
      <c r="K372" s="87"/>
      <c r="L372" s="87"/>
      <c r="M372" s="87"/>
      <c r="N372" s="87"/>
      <c r="O372" s="87"/>
      <c r="P372" s="87"/>
      <c r="Q372" s="87"/>
      <c r="R372" s="87"/>
      <c r="S372" s="99"/>
      <c r="T372" s="87"/>
      <c r="U372" s="87"/>
      <c r="V372" s="87"/>
      <c r="W372" s="87"/>
      <c r="X372" s="101"/>
      <c r="Y372" s="87"/>
      <c r="Z372" s="87"/>
      <c r="AA372" s="100"/>
      <c r="AB372" s="87"/>
      <c r="AC372" s="87"/>
      <c r="AD372" s="87"/>
      <c r="AE372" s="87"/>
      <c r="AF372" s="87"/>
      <c r="AG372" s="87"/>
      <c r="AH372" s="102"/>
      <c r="AI372" s="87"/>
      <c r="AJ372" s="103"/>
      <c r="AK372" s="87"/>
      <c r="AL372" s="87"/>
      <c r="AM372" s="87"/>
      <c r="AN372" s="87"/>
      <c r="AO372" s="87"/>
      <c r="AP372" s="87"/>
      <c r="AQ372" s="87"/>
      <c r="AR372" s="104"/>
      <c r="AS372" s="87"/>
      <c r="AT372" s="30"/>
      <c r="AU372" s="30"/>
      <c r="AV372" s="30"/>
      <c r="AW372" s="30"/>
      <c r="AX372" s="30"/>
      <c r="AY372" s="30"/>
    </row>
    <row r="373">
      <c r="F373" s="87"/>
      <c r="G373" s="87"/>
      <c r="H373" s="87"/>
      <c r="I373" s="87"/>
      <c r="J373" s="87"/>
      <c r="K373" s="87"/>
      <c r="L373" s="87"/>
      <c r="M373" s="87"/>
      <c r="N373" s="87"/>
      <c r="O373" s="87"/>
      <c r="P373" s="87"/>
      <c r="Q373" s="87"/>
      <c r="R373" s="87"/>
      <c r="S373" s="99"/>
      <c r="T373" s="87"/>
      <c r="U373" s="87"/>
      <c r="V373" s="87"/>
      <c r="W373" s="87"/>
      <c r="X373" s="101"/>
      <c r="Y373" s="87"/>
      <c r="Z373" s="87"/>
      <c r="AA373" s="100"/>
      <c r="AB373" s="87"/>
      <c r="AC373" s="87"/>
      <c r="AD373" s="87"/>
      <c r="AE373" s="87"/>
      <c r="AF373" s="87"/>
      <c r="AG373" s="87"/>
      <c r="AH373" s="102"/>
      <c r="AI373" s="87"/>
      <c r="AJ373" s="103"/>
      <c r="AK373" s="87"/>
      <c r="AL373" s="87"/>
      <c r="AM373" s="87"/>
      <c r="AN373" s="87"/>
      <c r="AO373" s="87"/>
      <c r="AP373" s="87"/>
      <c r="AQ373" s="87"/>
      <c r="AR373" s="104"/>
      <c r="AS373" s="87"/>
      <c r="AT373" s="30"/>
      <c r="AU373" s="30"/>
      <c r="AV373" s="30"/>
      <c r="AW373" s="30"/>
      <c r="AX373" s="30"/>
      <c r="AY373" s="30"/>
    </row>
    <row r="374">
      <c r="F374" s="87"/>
      <c r="G374" s="87"/>
      <c r="H374" s="87"/>
      <c r="I374" s="87"/>
      <c r="J374" s="87"/>
      <c r="K374" s="87"/>
      <c r="L374" s="87"/>
      <c r="M374" s="87"/>
      <c r="N374" s="87"/>
      <c r="O374" s="87"/>
      <c r="P374" s="87"/>
      <c r="Q374" s="87"/>
      <c r="R374" s="87"/>
      <c r="S374" s="99"/>
      <c r="T374" s="87"/>
      <c r="U374" s="87"/>
      <c r="V374" s="87"/>
      <c r="W374" s="87"/>
      <c r="X374" s="101"/>
      <c r="Y374" s="87"/>
      <c r="Z374" s="87"/>
      <c r="AA374" s="100"/>
      <c r="AB374" s="87"/>
      <c r="AC374" s="87"/>
      <c r="AD374" s="87"/>
      <c r="AE374" s="87"/>
      <c r="AF374" s="87"/>
      <c r="AG374" s="87"/>
      <c r="AH374" s="102"/>
      <c r="AI374" s="87"/>
      <c r="AJ374" s="103"/>
      <c r="AK374" s="87"/>
      <c r="AL374" s="87"/>
      <c r="AM374" s="87"/>
      <c r="AN374" s="87"/>
      <c r="AO374" s="87"/>
      <c r="AP374" s="87"/>
      <c r="AQ374" s="87"/>
      <c r="AR374" s="104"/>
      <c r="AS374" s="87"/>
      <c r="AT374" s="30"/>
      <c r="AU374" s="30"/>
      <c r="AV374" s="30"/>
      <c r="AW374" s="30"/>
      <c r="AX374" s="30"/>
      <c r="AY374" s="30"/>
    </row>
    <row r="375">
      <c r="F375" s="87"/>
      <c r="G375" s="87"/>
      <c r="H375" s="87"/>
      <c r="I375" s="87"/>
      <c r="J375" s="87"/>
      <c r="K375" s="87"/>
      <c r="L375" s="87"/>
      <c r="M375" s="87"/>
      <c r="N375" s="87"/>
      <c r="O375" s="87"/>
      <c r="P375" s="87"/>
      <c r="Q375" s="87"/>
      <c r="R375" s="87"/>
      <c r="S375" s="99"/>
      <c r="T375" s="87"/>
      <c r="U375" s="87"/>
      <c r="V375" s="87"/>
      <c r="W375" s="87"/>
      <c r="X375" s="101"/>
      <c r="Y375" s="87"/>
      <c r="Z375" s="87"/>
      <c r="AA375" s="100"/>
      <c r="AB375" s="87"/>
      <c r="AC375" s="87"/>
      <c r="AD375" s="87"/>
      <c r="AE375" s="87"/>
      <c r="AF375" s="87"/>
      <c r="AG375" s="87"/>
      <c r="AH375" s="102"/>
      <c r="AI375" s="87"/>
      <c r="AJ375" s="103"/>
      <c r="AK375" s="87"/>
      <c r="AL375" s="87"/>
      <c r="AM375" s="87"/>
      <c r="AN375" s="87"/>
      <c r="AO375" s="87"/>
      <c r="AP375" s="87"/>
      <c r="AQ375" s="87"/>
      <c r="AR375" s="104"/>
      <c r="AS375" s="87"/>
      <c r="AT375" s="30"/>
      <c r="AU375" s="30"/>
      <c r="AV375" s="30"/>
      <c r="AW375" s="30"/>
      <c r="AX375" s="30"/>
      <c r="AY375" s="30"/>
    </row>
    <row r="376">
      <c r="F376" s="87"/>
      <c r="G376" s="87"/>
      <c r="H376" s="87"/>
      <c r="I376" s="87"/>
      <c r="J376" s="87"/>
      <c r="K376" s="87"/>
      <c r="L376" s="87"/>
      <c r="M376" s="87"/>
      <c r="N376" s="87"/>
      <c r="O376" s="87"/>
      <c r="P376" s="87"/>
      <c r="Q376" s="87"/>
      <c r="R376" s="87"/>
      <c r="S376" s="99"/>
      <c r="T376" s="87"/>
      <c r="U376" s="87"/>
      <c r="V376" s="87"/>
      <c r="W376" s="87"/>
      <c r="X376" s="101"/>
      <c r="Y376" s="87"/>
      <c r="Z376" s="87"/>
      <c r="AA376" s="100"/>
      <c r="AB376" s="87"/>
      <c r="AC376" s="87"/>
      <c r="AD376" s="87"/>
      <c r="AE376" s="87"/>
      <c r="AF376" s="87"/>
      <c r="AG376" s="87"/>
      <c r="AH376" s="102"/>
      <c r="AI376" s="87"/>
      <c r="AJ376" s="103"/>
      <c r="AK376" s="87"/>
      <c r="AL376" s="87"/>
      <c r="AM376" s="87"/>
      <c r="AN376" s="87"/>
      <c r="AO376" s="87"/>
      <c r="AP376" s="87"/>
      <c r="AQ376" s="87"/>
      <c r="AR376" s="104"/>
      <c r="AS376" s="87"/>
      <c r="AT376" s="30"/>
      <c r="AU376" s="30"/>
      <c r="AV376" s="30"/>
      <c r="AW376" s="30"/>
      <c r="AX376" s="30"/>
      <c r="AY376" s="30"/>
    </row>
    <row r="377">
      <c r="F377" s="87"/>
      <c r="G377" s="87"/>
      <c r="H377" s="87"/>
      <c r="I377" s="87"/>
      <c r="J377" s="87"/>
      <c r="K377" s="87"/>
      <c r="L377" s="87"/>
      <c r="M377" s="87"/>
      <c r="N377" s="87"/>
      <c r="O377" s="87"/>
      <c r="P377" s="87"/>
      <c r="Q377" s="87"/>
      <c r="R377" s="87"/>
      <c r="S377" s="99"/>
      <c r="T377" s="87"/>
      <c r="U377" s="87"/>
      <c r="V377" s="87"/>
      <c r="W377" s="87"/>
      <c r="X377" s="101"/>
      <c r="Y377" s="87"/>
      <c r="Z377" s="87"/>
      <c r="AA377" s="100"/>
      <c r="AB377" s="87"/>
      <c r="AC377" s="87"/>
      <c r="AD377" s="87"/>
      <c r="AE377" s="87"/>
      <c r="AF377" s="87"/>
      <c r="AG377" s="87"/>
      <c r="AH377" s="102"/>
      <c r="AI377" s="87"/>
      <c r="AJ377" s="103"/>
      <c r="AK377" s="87"/>
      <c r="AL377" s="87"/>
      <c r="AM377" s="87"/>
      <c r="AN377" s="87"/>
      <c r="AO377" s="87"/>
      <c r="AP377" s="87"/>
      <c r="AQ377" s="87"/>
      <c r="AR377" s="104"/>
      <c r="AS377" s="87"/>
      <c r="AT377" s="30"/>
      <c r="AU377" s="30"/>
      <c r="AV377" s="30"/>
      <c r="AW377" s="30"/>
      <c r="AX377" s="30"/>
      <c r="AY377" s="30"/>
    </row>
    <row r="378">
      <c r="F378" s="87"/>
      <c r="G378" s="87"/>
      <c r="H378" s="87"/>
      <c r="I378" s="87"/>
      <c r="J378" s="87"/>
      <c r="K378" s="87"/>
      <c r="L378" s="87"/>
      <c r="M378" s="87"/>
      <c r="N378" s="87"/>
      <c r="O378" s="87"/>
      <c r="P378" s="87"/>
      <c r="Q378" s="87"/>
      <c r="R378" s="87"/>
      <c r="S378" s="99"/>
      <c r="T378" s="87"/>
      <c r="U378" s="87"/>
      <c r="V378" s="87"/>
      <c r="W378" s="87"/>
      <c r="X378" s="101"/>
      <c r="Y378" s="87"/>
      <c r="Z378" s="87"/>
      <c r="AA378" s="100"/>
      <c r="AB378" s="87"/>
      <c r="AC378" s="87"/>
      <c r="AD378" s="87"/>
      <c r="AE378" s="87"/>
      <c r="AF378" s="87"/>
      <c r="AG378" s="87"/>
      <c r="AH378" s="102"/>
      <c r="AI378" s="87"/>
      <c r="AJ378" s="103"/>
      <c r="AK378" s="87"/>
      <c r="AL378" s="87"/>
      <c r="AM378" s="87"/>
      <c r="AN378" s="87"/>
      <c r="AO378" s="87"/>
      <c r="AP378" s="87"/>
      <c r="AQ378" s="87"/>
      <c r="AR378" s="104"/>
      <c r="AS378" s="87"/>
      <c r="AT378" s="30"/>
      <c r="AU378" s="30"/>
      <c r="AV378" s="30"/>
      <c r="AW378" s="30"/>
      <c r="AX378" s="30"/>
      <c r="AY378" s="30"/>
    </row>
    <row r="379">
      <c r="F379" s="87"/>
      <c r="G379" s="87"/>
      <c r="H379" s="87"/>
      <c r="I379" s="87"/>
      <c r="J379" s="87"/>
      <c r="K379" s="87"/>
      <c r="L379" s="87"/>
      <c r="M379" s="87"/>
      <c r="N379" s="87"/>
      <c r="O379" s="87"/>
      <c r="P379" s="87"/>
      <c r="Q379" s="87"/>
      <c r="R379" s="87"/>
      <c r="S379" s="99"/>
      <c r="T379" s="87"/>
      <c r="U379" s="87"/>
      <c r="V379" s="87"/>
      <c r="W379" s="87"/>
      <c r="X379" s="101"/>
      <c r="Y379" s="87"/>
      <c r="Z379" s="87"/>
      <c r="AA379" s="100"/>
      <c r="AB379" s="87"/>
      <c r="AC379" s="87"/>
      <c r="AD379" s="87"/>
      <c r="AE379" s="87"/>
      <c r="AF379" s="87"/>
      <c r="AG379" s="87"/>
      <c r="AH379" s="102"/>
      <c r="AI379" s="87"/>
      <c r="AJ379" s="103"/>
      <c r="AK379" s="87"/>
      <c r="AL379" s="87"/>
      <c r="AM379" s="87"/>
      <c r="AN379" s="87"/>
      <c r="AO379" s="87"/>
      <c r="AP379" s="87"/>
      <c r="AQ379" s="87"/>
      <c r="AR379" s="104"/>
      <c r="AS379" s="87"/>
      <c r="AT379" s="30"/>
      <c r="AU379" s="30"/>
      <c r="AV379" s="30"/>
      <c r="AW379" s="30"/>
      <c r="AX379" s="30"/>
      <c r="AY379" s="30"/>
    </row>
    <row r="380">
      <c r="F380" s="87"/>
      <c r="G380" s="87"/>
      <c r="H380" s="87"/>
      <c r="I380" s="87"/>
      <c r="J380" s="87"/>
      <c r="K380" s="87"/>
      <c r="L380" s="87"/>
      <c r="M380" s="87"/>
      <c r="N380" s="87"/>
      <c r="O380" s="87"/>
      <c r="P380" s="87"/>
      <c r="Q380" s="87"/>
      <c r="R380" s="87"/>
      <c r="S380" s="99"/>
      <c r="T380" s="87"/>
      <c r="U380" s="87"/>
      <c r="V380" s="87"/>
      <c r="W380" s="87"/>
      <c r="X380" s="101"/>
      <c r="Y380" s="87"/>
      <c r="Z380" s="87"/>
      <c r="AA380" s="100"/>
      <c r="AB380" s="87"/>
      <c r="AC380" s="87"/>
      <c r="AD380" s="87"/>
      <c r="AE380" s="87"/>
      <c r="AF380" s="87"/>
      <c r="AG380" s="87"/>
      <c r="AH380" s="102"/>
      <c r="AI380" s="87"/>
      <c r="AJ380" s="103"/>
      <c r="AK380" s="87"/>
      <c r="AL380" s="87"/>
      <c r="AM380" s="87"/>
      <c r="AN380" s="87"/>
      <c r="AO380" s="87"/>
      <c r="AP380" s="87"/>
      <c r="AQ380" s="87"/>
      <c r="AR380" s="104"/>
      <c r="AS380" s="87"/>
      <c r="AT380" s="30"/>
      <c r="AU380" s="30"/>
      <c r="AV380" s="30"/>
      <c r="AW380" s="30"/>
      <c r="AX380" s="30"/>
      <c r="AY380" s="30"/>
    </row>
  </sheetData>
  <mergeCells>
    <mergeCell ref="M3:Q9"/>
    <mergeCell ref="M1:Q2"/>
    <mergeCell ref="S1:Y1"/>
    <mergeCell ref="G1:K2"/>
    <mergeCell ref="A11:E13"/>
    <mergeCell ref="A3:E9"/>
    <mergeCell ref="G11:K13"/>
    <mergeCell ref="G3:K9"/>
    <mergeCell ref="AA1:AH1"/>
    <mergeCell ref="AJ1:AP1"/>
    <mergeCell ref="AR1:AR2"/>
    <mergeCell ref="BB1:BB2"/>
    <mergeCell ref="M11:Q13"/>
    <mergeCell ref="A15:E17"/>
    <mergeCell ref="G15:K17"/>
    <mergeCell ref="M15:Q17"/>
    <mergeCell ref="A10:E10"/>
    <mergeCell ref="A19:E21"/>
    <mergeCell ref="G19:K21"/>
    <mergeCell ref="M19:Q21"/>
    <mergeCell ref="A22:E22"/>
    <mergeCell ref="G22:K22"/>
    <mergeCell ref="M22:Q22"/>
    <mergeCell ref="A23:E25"/>
    <mergeCell ref="G23:K25"/>
    <mergeCell ref="M23:Q25"/>
    <mergeCell ref="A18:E18"/>
    <mergeCell ref="A14:E14"/>
    <mergeCell ref="G14:K14"/>
    <mergeCell ref="M14:Q14"/>
    <mergeCell ref="G10:K10"/>
    <mergeCell ref="M10:Q10"/>
    <mergeCell ref="G18:K18"/>
    <mergeCell ref="M18:Q18"/>
    <mergeCell ref="A1:E2"/>
    <mergeCell ref="BB193:BC193"/>
    <mergeCell ref="BD193:BE193"/>
    <mergeCell ref="BB195:BC195"/>
    <mergeCell ref="BB196:BC196"/>
    <mergeCell ref="BD197:BE197"/>
    <mergeCell ref="BD198:BE198"/>
    <mergeCell ref="BB199:BC199"/>
    <mergeCell ref="BB200:BC200"/>
    <mergeCell ref="BC3:BC48"/>
    <mergeCell ref="AT1:AY1"/>
  </mergeCells>
  <conditionalFormatting sqref="AR1:AR1048576">
    <cfRule dxfId="1" priority="2" stopIfTrue="true" type="duplicateValues"/>
  </conditionalFormatting>
  <conditionalFormatting sqref="AU3:AU213">
    <cfRule dxfId="2" priority="3" stopIfTrue="true" type="duplicateValues"/>
  </conditionalFormatting>
  <conditionalFormatting sqref="BB1:BB1048576">
    <cfRule dxfId="3" priority="4" stopIfTrue="true" type="duplicateValues"/>
  </conditionalFormatting>
  <conditionalFormatting sqref="AW1:AW1048576">
    <cfRule dxfId="4" priority="5" stopIfTrue="true" type="duplicateValues"/>
  </conditionalFormatting>
  <conditionalFormatting sqref="AW1:AW1048576">
    <cfRule dxfId="5" priority="6" stopIfTrue="true" type="duplicateValues"/>
  </conditionalFormatting>
  <conditionalFormatting sqref="AW1:AW1048576">
    <cfRule dxfId="6" priority="7" stopIfTrue="true" type="duplicateValues"/>
  </conditionalFormatting>
  <conditionalFormatting sqref="AM23:AM35">
    <cfRule dxfId="7" priority="8" stopIfTrue="true" type="duplicateValues"/>
  </conditionalFormatting>
  <conditionalFormatting sqref="AR21:AR32">
    <cfRule dxfId="8" priority="9" stopIfTrue="true" type="duplicateValues"/>
  </conditionalFormatting>
  <conditionalFormatting sqref="T1:T1048576">
    <cfRule dxfId="9" priority="10" stopIfTrue="true" type="duplicateValues"/>
  </conditionalFormatting>
  <dataValidations count="1">
    <dataValidation allowBlank="true" errorStyle="stop" showErrorMessage="true" sqref="AX3:AX6" type="list">
      <formula1>"Waitlist- Umum,Waitlist - Mahasiswa,Early Bird - Umum,Early Bird- Mahasiswa"</formula1>
    </dataValidation>
  </dataValidations>
  <hyperlinks>
    <hyperlink ref="BB32" display="mardjanomaika@gmail.com" r:id="rId1"/>
    <hyperlink ref="AW117" display="teguh.budmn@gmail.com" r:id="rId2"/>
    <hyperlink ref="V15" display="semerualghazaliyusup@mail.ugm.ac.id" r:id="rId3"/>
    <hyperlink ref="V29" display="hakiimalan@gmail.com" r:id="rId4"/>
    <hyperlink ref="AW150" display="annisaputris001@gmail.com" r:id="rId5"/>
    <hyperlink ref="AW127" display="rizalnazari11@gmail.com" r:id="rId6"/>
    <hyperlink ref="BB10" display="bimantarafaqih@gmail.com" r:id="rId7"/>
    <hyperlink ref="AW32" display="brandonlsantosa@gmail.com" r:id="rId8"/>
    <hyperlink ref="AW82" display="harnisyahaziz2301@gmail.com" r:id="rId9"/>
    <hyperlink ref="AW198" display="tiarma.pane@gmail.com" r:id="rId10"/>
    <hyperlink ref="AW81" display="aldamutiara1122@gmail.com" r:id="rId11"/>
    <hyperlink ref="AA16" display="sofyan.saugani@gmail.com" r:id="rId12"/>
    <hyperlink ref="V38" display="fabyyudha21@gmail.com" r:id="rId13"/>
    <hyperlink ref="AW118" display="natankristian2005@gmail.com" r:id="rId14"/>
    <hyperlink ref="AW64" display="arsyadika25@gmail.com" r:id="rId15"/>
    <hyperlink ref="AW90" display="Selamathariyadi42@gmail.com" r:id="rId16"/>
    <hyperlink ref="V26" display="salinadhiya@gmail.com" r:id="rId17"/>
    <hyperlink ref="AW42" display="akmalfauzan306@gmail.com" r:id="rId18"/>
    <hyperlink ref="V45" display="rahmaliasafitri06@gmail.com" r:id="rId19"/>
    <hyperlink ref="AW138" display="syadzahusnun@gmail.com" r:id="rId20"/>
    <hyperlink ref="AW10" display="adnanasyam10@gmail.com" r:id="rId21"/>
    <hyperlink ref="BB47" display="ghinaa24putri@gmail.com" r:id="rId22"/>
    <hyperlink ref="AW101" display="Lutfifirdaus4@gmail.com" r:id="rId23"/>
    <hyperlink ref="AR7" display="nadhiaferra2405@gmail.com" r:id="rId24"/>
    <hyperlink ref="AW70" display="septianjackrianto@gmail.com" r:id="rId25"/>
    <hyperlink ref="AA30" display="anwardeedat17@gmail.com" r:id="rId26"/>
    <hyperlink ref="BB43" display="maritsakamilah@gmail.com" r:id="rId27"/>
    <hyperlink ref="AW187" display="angelinakirana10@gmail.com" r:id="rId28"/>
    <hyperlink ref="AW34" display="raytamboenan@gmail.com" r:id="rId29"/>
    <hyperlink ref="AW133" display="rizalardiaffandi@gmail.com" r:id="rId30"/>
    <hyperlink ref="V37" display="cysitompul@gmail.com" r:id="rId31"/>
    <hyperlink ref="AW33" display="zahran.sofyanfalahudin95@gmail.com" r:id="rId32"/>
    <hyperlink ref="AA37" display="ziadbwdn@gmail.com" r:id="rId33"/>
    <hyperlink ref="BB40" display="upikmaulvi2002@gmail.com" r:id="rId34"/>
    <hyperlink ref="V50" display="justinchristian352@gmail.com" r:id="rId35"/>
    <hyperlink ref="AW188" display="alifahhanif123@gmail.com" r:id="rId36"/>
    <hyperlink ref="V42" display="mutiara.saragi2006@gmail.com" r:id="rId37"/>
    <hyperlink ref="V20" display="fauziahshali01@gmail.com" r:id="rId38"/>
    <hyperlink ref="AW210" display="haurazkaa@gmail.com" r:id="rId39"/>
    <hyperlink ref="AW173" display="triyadijasmine3@gmail.com" r:id="rId40"/>
    <hyperlink ref="AW169" display="zahirahmad0905@gmail.com" r:id="rId41"/>
    <hyperlink ref="V33" display="driveresy@gmail.com" r:id="rId42"/>
    <hyperlink ref="V32" display="aliiyadanishh@gmail.com" r:id="rId43"/>
    <hyperlink ref="AW123" display="aryadipayana@gmail.com" r:id="rId44"/>
    <hyperlink ref="AW208" display="Alfin.dnash71@gmail.com" r:id="rId45"/>
    <hyperlink ref="AA7" display="tiaraalda14@gmail.com" r:id="rId46"/>
    <hyperlink ref="AW156" display="yohanesgerardushagazai@gmail.com" r:id="rId47"/>
    <hyperlink ref="AW25" display="hiqmalalkhadafi@apps.ipb.ac.id" r:id="rId48"/>
    <hyperlink ref="AW98" display="titoadityaurama@gmail.com" r:id="rId49"/>
    <hyperlink ref="AW140" display="abidin214n@gmail.com" r:id="rId50"/>
    <hyperlink ref="V67" display="aryaaryaweda19@gmail.com" r:id="rId51"/>
    <hyperlink ref="AW105" display="andrianmaulanami@gmail.com" r:id="rId52"/>
    <hyperlink ref="AW9" display="agungadea@gmail.com" r:id="rId53"/>
    <hyperlink ref="AM8" display="aji.widyantoro.bimo@gmail.com" r:id="rId54"/>
    <hyperlink ref="AW104" display="yunitaenzelinasilaban@gmail.com" r:id="rId55"/>
    <hyperlink ref="BB13" display="fauzan1812@gmail.com" r:id="rId56"/>
    <hyperlink ref="AW147" display="amiliarizki101@gmail.com" r:id="rId57"/>
    <hyperlink ref="AW137" display="ciprianopereira36@gmail.com" r:id="rId58"/>
    <hyperlink ref="AW37" display="revalia142@gmail.com" r:id="rId59"/>
    <hyperlink ref="AA10" display="adindaadella1011@gmail.com" r:id="rId60"/>
    <hyperlink ref="AW75" display="zhillanqisa.zhln@gmail.com" r:id="rId61"/>
    <hyperlink ref="AW172" display="ahmadfauzi.habibi@gmail.com" r:id="rId62"/>
    <hyperlink ref="V35" display="farouqmatondang@gmail.com" r:id="rId63"/>
    <hyperlink ref="AW85" display="shabrinadivania124@gmail.com" r:id="rId64"/>
    <hyperlink ref="AW79" display="shafamuthia.3019@gmail.com" r:id="rId65"/>
    <hyperlink ref="AA43" display="hanifibfaj94@gmail.com" r:id="rId66"/>
    <hyperlink ref="AM17" display="Mfahrimfs96@gmail.com" r:id="rId67"/>
    <hyperlink ref="V17" display="danangajionoe@gmail.com" r:id="rId68"/>
    <hyperlink ref="AW128" display="akbaraksigemilang@gmail.com" r:id="rId69"/>
    <hyperlink ref="AW159" display="salmamuvidayanti@gmail.com" r:id="rId70"/>
    <hyperlink ref="BB41" display="rondonuwukayla@gmail.com" r:id="rId71"/>
    <hyperlink ref="AW129" display="jvnerlando@gmail.com" r:id="rId72"/>
    <hyperlink ref="AW8" display="noviandry.hamzah@gmail.com" r:id="rId73"/>
    <hyperlink ref="AW14" display="indaharumch@gmail.com" r:id="rId74"/>
    <hyperlink ref="BB23" display="tasyava7@gmail.com" r:id="rId75"/>
    <hyperlink ref="AW77" display="pendrimikola9@gmail.com" r:id="rId76"/>
    <hyperlink ref="AW119" display="mfahrezi218@gmail.com" r:id="rId77"/>
    <hyperlink ref="AA14" display="krissimbolon28@gmail.com" r:id="rId78"/>
    <hyperlink ref="V5" display="andrianmaulanami@gmail.com" r:id="rId79"/>
    <hyperlink ref="AW179" display="palugate2@gmail.com" r:id="rId80"/>
    <hyperlink ref="AW108" display="annisanabilahghaidaazzahra@gmail.com" r:id="rId81"/>
    <hyperlink ref="AA3" display="bawamade0119@gmail.com" r:id="rId82"/>
    <hyperlink ref="AA20" display="salsa.atalieani02@gmail.com" r:id="rId83"/>
    <hyperlink ref="V43" display="radiwanh@gmail.com" r:id="rId84"/>
    <hyperlink ref="AM4" display="Rosye.uq@gmail.com" r:id="rId85"/>
    <hyperlink ref="AM12" display="atkrhna@gmail.com" r:id="rId86"/>
    <hyperlink ref="AW135" display="fnugraha588@gmail.com" r:id="rId87"/>
    <hyperlink ref="AW111" display="danyyramadhann@gmail.com" r:id="rId88"/>
    <hyperlink ref="BB20" display="anggie.bahrend12@gmail.com" r:id="rId89"/>
    <hyperlink ref="V64" display="Nawalsyafiq31@gmail.com" r:id="rId90"/>
    <hyperlink ref="V69" display="dillah.fn@gmail.com" r:id="rId91"/>
    <hyperlink ref="V57" display="januaril760@gmail.com" r:id="rId92"/>
    <hyperlink ref="AA13" display="jasmine.khrn@gmail.com" r:id="rId93"/>
    <hyperlink ref="AW121" display="Wijdanharli@gmail.com" r:id="rId94"/>
    <hyperlink ref="BB7" display="syadzahusnun@gmail.com" r:id="rId95"/>
    <hyperlink ref="AW131" display="hanifabiyyu2705@gmail.com" r:id="rId96"/>
    <hyperlink ref="AA44" display="fidyampdrg@gmail.com" r:id="rId97"/>
    <hyperlink ref="BB5" display="jvnerlando@gmail.com" r:id="rId98"/>
    <hyperlink ref="AW38" display="alfahutan15@gmail.com" r:id="rId99"/>
    <hyperlink ref="AW132" display="diannugraheni03@gmail.com" r:id="rId100"/>
    <hyperlink ref="AA45" display="Athaisyah@yahoo.com" r:id="rId101"/>
    <hyperlink ref="AW199" display="mddchh617@gmail.com" r:id="rId102"/>
    <hyperlink ref="AW193" display="alfandysb2000@gmail.com" r:id="rId103"/>
    <hyperlink ref="AW47" display="riskaayu434@gmail.com" r:id="rId104"/>
    <hyperlink ref="V39" display="salmanwilmart29@gmail.com" r:id="rId105"/>
    <hyperlink ref="AU73" display="rayhanalirachman@gmail.com" r:id="rId106"/>
    <hyperlink ref="AW3" display="arielpirie11@gmail.com" r:id="rId107"/>
    <hyperlink ref="AW97" display="rahmatulmaulana28112004@gmail.com" r:id="rId108"/>
    <hyperlink ref="BB9" display="abidin214n@gmail.com" r:id="rId109"/>
    <hyperlink ref="AW63" display="anggie.bahrend12@gmail.com" r:id="rId110"/>
    <hyperlink ref="AW50" display="mohradyt.fahrasya@gmail.com" r:id="rId111"/>
    <hyperlink ref="AW19" display="yasser.taufiq@gmail.com" r:id="rId112"/>
    <hyperlink ref="AA18" display="gsaud111@gmail.com" r:id="rId113"/>
    <hyperlink ref="AA5" display="fputerisantosa@gmail.com" r:id="rId114"/>
    <hyperlink ref="BB22" display="hafshahbeta0107@gmail.com" r:id="rId115"/>
    <hyperlink ref="AA4" display="andrianmaulanami@gmail.com" r:id="rId116"/>
    <hyperlink ref="V62" display="zulnyberliana@gmail.com" r:id="rId117"/>
    <hyperlink ref="AW177" display="musfatimah2021@gmail.com" r:id="rId118"/>
    <hyperlink ref="AA33" display="rmrisyad@gmail.com" r:id="rId119"/>
    <hyperlink ref="AW195" display="mardjanomaika@gmail.com" r:id="rId120"/>
    <hyperlink ref="AW112" display="harianto.ikel13@gmail.com" r:id="rId121"/>
    <hyperlink ref="AW56" display="faiznursyhrial@gmail.com" r:id="rId122"/>
    <hyperlink ref="AW164" display="devidamayanti488@gmail.com" r:id="rId123"/>
    <hyperlink ref="AA41" display="sathifaa25@gmail.com" r:id="rId124"/>
    <hyperlink ref="BB33" display="awisnuf@gmail.com" r:id="rId125"/>
    <hyperlink ref="AA15" display="fauziahshali01@gmail.com" r:id="rId126"/>
    <hyperlink ref="AW154" display="azmansihab@gmail.com" r:id="rId127"/>
    <hyperlink ref="V40" display="azizahnasywa27@gmail.com" r:id="rId128"/>
    <hyperlink ref="AW151" display="katanesia17@gmail.com" r:id="rId129"/>
    <hyperlink ref="V8" display="tiaraalda14@gmail.com" r:id="rId130"/>
    <hyperlink ref="AW160" display="rivanajiwds@gmail.com" r:id="rId131"/>
    <hyperlink ref="AW211" display="gregorius.budi@gmail.com" r:id="rId132"/>
    <hyperlink ref="V44" display="irfanfirdaus990@gmail.com" r:id="rId133"/>
    <hyperlink ref="AW134" display="hanbelajarsipil@gmail.com" r:id="rId134"/>
    <hyperlink ref="AW107" display="walibatara9@gmail.com" r:id="rId135"/>
    <hyperlink ref="AW43" display="nukiadit@gmail.com" r:id="rId136"/>
    <hyperlink ref="AW125" display="aulianaufaln@gmail.com" r:id="rId137"/>
    <hyperlink ref="AA38" display="radityaariyanto28@gmail.com" r:id="rId138"/>
    <hyperlink ref="AW126" display="aditamanurrahman525@gmail.com" r:id="rId139"/>
    <hyperlink ref="BB4" display="akbaraksigemilang@gmail.com" r:id="rId140"/>
    <hyperlink ref="AA34" display="paret.sanjaka@gmail.com" r:id="rId141"/>
    <hyperlink ref="V14" display="farhan.muhammad2095@gmail.com" r:id="rId142"/>
    <hyperlink ref="AW176" display="tasyava7@gmail.com" r:id="rId143"/>
    <hyperlink ref="AW168" display="raniadaniswara87@gmail.com" r:id="rId144"/>
    <hyperlink ref="AW76" display="priyankaasmiran@gmail.com" r:id="rId145"/>
    <hyperlink ref="AW41" display="romannafriskapricilia@gmail.com" r:id="rId146"/>
    <hyperlink ref="AA11" display="ferryrussel1002@gmail.com" r:id="rId147"/>
    <hyperlink ref="AW86" display="muhammadakmaltiantsauban@mail.ugm.ac.id" r:id="rId148"/>
    <hyperlink ref="AW93" display="novaldoramzis@gmail.com" r:id="rId149"/>
    <hyperlink ref="BB29" display="arieffauzy99@gmail.com" r:id="rId150"/>
    <hyperlink ref="V11" display="syaifuddin.nursyams54@gmail.com" r:id="rId151"/>
    <hyperlink ref="AW55" display="franswaas249@gmail.com" r:id="rId152"/>
    <hyperlink ref="AW200" display="raihanherdiansyah09@gmail.com" r:id="rId153"/>
    <hyperlink ref="AW36" display="azerpd91@gmail.com" r:id="rId154"/>
    <hyperlink ref="AM16" display="muhammadarwanggai@gmail.com" r:id="rId155"/>
    <hyperlink ref="AR4" display="agustinusdani86@gmail.com" r:id="rId156"/>
    <hyperlink ref="AW165" display="suryapranataamiconi@gmail.com" r:id="rId157"/>
    <hyperlink ref="AW6" display="muhammadabdularoffi2123@gmail.com" r:id="rId158"/>
    <hyperlink ref="BB44" display="haurazkaa@gmail.com" r:id="rId159"/>
    <hyperlink ref="V54" display="radityaariyanto28@gmail.com" r:id="rId160"/>
    <hyperlink ref="AA29" display="irfanfirdaus990@gmail.com" r:id="rId161"/>
    <hyperlink ref="V65" display="adaniebrilliant@gmail.com" r:id="rId162"/>
    <hyperlink ref="AW51" display="afrizalalan002@gmail.com" r:id="rId163"/>
    <hyperlink ref="BB6" display="rizalardiaffandi@gmail.com" r:id="rId164"/>
    <hyperlink ref="BB42" display="salmamuvidayanti@gmail.com" r:id="rId165"/>
    <hyperlink ref="AW7" display="mdandijuandi47@gmail.com" r:id="rId166"/>
    <hyperlink ref="V46" display="rmrisyad@gmail.com" r:id="rId167"/>
    <hyperlink ref="AA22" display="mandaamr05@gmail.com" r:id="rId168"/>
    <hyperlink ref="AR9" display="naomiangelia@gmail.com" r:id="rId169"/>
    <hyperlink ref="BB34" display="tiarma.pane@gmail.com" r:id="rId170"/>
    <hyperlink ref="BB26" display="Aqillafitdhea00@gmail.com" r:id="rId171"/>
    <hyperlink ref="AW191" display="arieffauzy99@gmail.com" r:id="rId172"/>
    <hyperlink ref="V19" display="krissimbolon28@gmail.com" r:id="rId173"/>
    <hyperlink ref="AA17" display="aditaarifin40@gmail.com" r:id="rId174"/>
    <hyperlink ref="BB38" display="raihanherdiansyah09@gmail.com" r:id="rId175"/>
    <hyperlink ref="AW203" display="rafiteguh6@gmail.com" r:id="rId176"/>
    <hyperlink ref="AW141" display="kasyaamuthiaa@gmail.com" r:id="rId177"/>
    <hyperlink ref="AW167" display="farouqmatondang@gmail.com" r:id="rId178"/>
    <hyperlink ref="BB28" display="karir.hafidh@gmail.com" r:id="rId179"/>
    <hyperlink ref="AW212" display="arafatrahmanafat19@gmail.com" r:id="rId180"/>
    <hyperlink ref="BB8" display="mhmdfiqhh@gmail.com" r:id="rId181"/>
    <hyperlink ref="AW153" display="Aqillafitdhea00@gmail.com" r:id="rId182"/>
    <hyperlink ref="AM19" display="naomiangelia@gmail.com" r:id="rId183"/>
    <hyperlink ref="AW57" display="ediwahyudi301@gmail.com" r:id="rId184"/>
    <hyperlink ref="V12" display="adindaadella1011@gmail.com" r:id="rId185"/>
    <hyperlink ref="AM18" display="nadhiaferra2405@gmail.com" r:id="rId186"/>
    <hyperlink ref="AW66" display="saniafajrinditya@gmail.com" r:id="rId187"/>
    <hyperlink ref="AM14" display="ranggaadinugraha26jan@gmail.com" r:id="rId188"/>
    <hyperlink ref="V24" display="salsa.atalieani02@gmail.com" r:id="rId189"/>
    <hyperlink ref="AA48" display="isnainineni15@gmail.com" r:id="rId190"/>
    <hyperlink ref="V51" display="paret.sanjaka@gmail.com" r:id="rId191"/>
    <hyperlink ref="AA39" display="adaniebrilliant@gmail.com" r:id="rId192"/>
    <hyperlink ref="AW49" display="dion.wedha@gmail.com" r:id="rId193"/>
    <hyperlink ref="V53" display="anwardeedat17@gmail.com" r:id="rId194"/>
    <hyperlink ref="BB25" display="mams15011990@gmail.com" r:id="rId195"/>
    <hyperlink ref="AW144" display="karizmafahlevy@yahoo.com" r:id="rId196"/>
    <hyperlink ref="AW60" display="Winarti0612@gmail.com" r:id="rId197"/>
    <hyperlink ref="AW181" display="sergioguntur18@gmail.com" r:id="rId198"/>
    <hyperlink ref="AA42" display="zulnyberliana@gmail.com" r:id="rId199"/>
    <hyperlink ref="V61" display="andra.rasel@gmail.com" r:id="rId200"/>
    <hyperlink ref="AW102" display="sanjung.develop@gmail.com" r:id="rId201"/>
    <hyperlink ref="AA46" display="aryaaryaweda19@gmail.com" r:id="rId202"/>
    <hyperlink ref="AA40" display="anisnabilatun03@gmail.com" r:id="rId203"/>
    <hyperlink ref="AW120" display="vsmkesanji997@gmail.com" r:id="rId204"/>
    <hyperlink ref="AW83" display="fathauli@gmail.com" r:id="rId205"/>
    <hyperlink ref="AW29" display="farid.lecture154@gmail.com" r:id="rId206"/>
    <hyperlink ref="AW148" display="choirunnisanur2001@gmail.com" r:id="rId207"/>
    <hyperlink ref="AR5" display="harisscott630@gmail.com" r:id="rId208"/>
    <hyperlink ref="V7" display="fputerisantosa@gmail.com" r:id="rId209"/>
    <hyperlink ref="BB16" display="choirunnisanur2001@gmail.com" r:id="rId210"/>
    <hyperlink ref="V63" display="ziadbwdn@gmail.com" r:id="rId211"/>
    <hyperlink ref="AR8" display="muhammadarwanggai@gmail.com" r:id="rId212"/>
    <hyperlink ref="AW58" display="nursyifaf0408@gmail.com" r:id="rId213"/>
    <hyperlink ref="V18" display="agungwiibowo09@gmail.com" r:id="rId214"/>
    <hyperlink ref="AM7" display="dagaadza8@gmail.com" r:id="rId215"/>
    <hyperlink ref="V36" display="khrisnadharma10@gmail.com" r:id="rId216"/>
    <hyperlink ref="V4" display="bawamade0119@gmail.com" r:id="rId217"/>
    <hyperlink ref="AA12" display="farhan.muhammad2095@gmail.com" r:id="rId218"/>
    <hyperlink ref="AW68" display="ivanapurbaningtyass@gmail.com" r:id="rId219"/>
    <hyperlink ref="AA21" display="salinadhiya@gmail.com" r:id="rId220"/>
    <hyperlink ref="BB12" display="ameliaherawati082@gmail.com" r:id="rId221"/>
    <hyperlink ref="AW158" display="zilzilfauzil@gmail.com" r:id="rId222"/>
    <hyperlink ref="AW152" display="mappingriko@gmail.com" r:id="rId223"/>
    <hyperlink ref="V23" display="gsaud111@gmail.com" r:id="rId224"/>
    <hyperlink ref="V13" display="ferryrussel1002@gmail.com" r:id="rId225"/>
    <hyperlink ref="AW59" display="jihanizzaba@gmail.com" r:id="rId226"/>
    <hyperlink ref="AW201" display="rondonuwukayla@gmail.com" r:id="rId227"/>
    <hyperlink ref="AW67" display="Bambang@yahoo.com" r:id="rId228"/>
    <hyperlink ref="AW192" display="ekamr16@gmail.com" r:id="rId229"/>
    <hyperlink ref="AW178" display="semeru.aga@gmail.com" r:id="rId230"/>
    <hyperlink ref="AA24" display="fatayatasya19@gmail.com" r:id="rId231"/>
    <hyperlink ref="AW71" display="ekarisita1425@gmail.com" r:id="rId232"/>
    <hyperlink ref="V30" display="fazamfaris@gmail.com" r:id="rId233"/>
    <hyperlink ref="AW162" display="Wenniamelia32@gmail.com" r:id="rId234"/>
    <hyperlink ref="AA35" display="dediraihan5@gmail.com" r:id="rId235"/>
    <hyperlink ref="AR6" display="Fahmiau17@gmail.com" r:id="rId236"/>
    <hyperlink ref="BB46" display="arafatrahmanafat19@gmail.com" r:id="rId237"/>
    <hyperlink ref="AW52" display="yahdinanst@gmail.com" r:id="rId238"/>
    <hyperlink ref="BB45" display="radjaadzka18@gmail.com" r:id="rId239"/>
    <hyperlink ref="AW95" display="benedictusokapr@gmail.com" r:id="rId240"/>
    <hyperlink ref="V16" display="jasmine.khrn@gmail.com" r:id="rId241"/>
    <hyperlink ref="AM11" display="lukysutansyah02@gmail.com" r:id="rId242"/>
    <hyperlink ref="AA28" display="mutiara.saragi2006@gmail.com" r:id="rId243"/>
    <hyperlink ref="AW11" display="rakhmatsenoaji@gmail.com" r:id="rId244"/>
    <hyperlink ref="V59" display="anisnabilatun03@gmail.com" r:id="rId245"/>
    <hyperlink ref="AA47" display="dillah.fn@gmail.com" r:id="rId246"/>
    <hyperlink ref="AW35" display="ranastasya90@gmail.com" r:id="rId247"/>
    <hyperlink ref="AM20" display="Dagaadza8@gmail.com" r:id="rId248"/>
    <hyperlink ref="AW106" display="sherlinda296@gmail.com" r:id="rId249"/>
    <hyperlink ref="AM6" display="agustinusdani86@gmail.com" r:id="rId250"/>
    <hyperlink ref="AW204" display="upikmaulvi2002@gmail.com" r:id="rId251"/>
    <hyperlink ref="AW166" display="muzakia.azzahra@gmail.com" r:id="rId252"/>
    <hyperlink ref="AW39" display="msnramadhoni@gmail.com" r:id="rId253"/>
    <hyperlink ref="AW157" display="nabilanahdatul@gmail.com" r:id="rId254"/>
    <hyperlink ref="AW175" display="akbarramanda99@gmail.com" r:id="rId255"/>
    <hyperlink ref="BB15" display="azmansihab@gmail.com" r:id="rId256"/>
    <hyperlink ref="AW84" display="mams15011990@gmail.com" r:id="rId257"/>
    <hyperlink ref="AW45" display="Nh27723@gmail.com" r:id="rId258"/>
    <hyperlink ref="V49" display="nadhia.ferlia2403@mail.ugm.ac.id" r:id="rId259"/>
    <hyperlink ref="AW16" display="mahendrayusuf1999@gmail.com" r:id="rId260"/>
    <hyperlink ref="AW136" display="ameliawenni3@gmail.com" r:id="rId261"/>
    <hyperlink ref="AW13" display="fitriulvianti@gmail.com" r:id="rId262"/>
    <hyperlink ref="BB21" display="nathanaelboyke11@gmail.com" r:id="rId263"/>
    <hyperlink ref="BB30" display="alfandysb2000@gmail.com" r:id="rId264"/>
    <hyperlink ref="AW18" display="ichfanmaulana7@gmail.com" r:id="rId265"/>
    <hyperlink ref="BB48" display="rafiteguh6@gmail.com" r:id="rId266"/>
    <hyperlink ref="V55" display="rifatrahadiansyah24@gmail.com" r:id="rId267"/>
    <hyperlink ref="V56" display="musfatimah2021@gmail.com" r:id="rId268"/>
    <hyperlink ref="AW88" display="Hasriatic@gmail.com" r:id="rId269"/>
    <hyperlink ref="BB19" display="rivanajiwds@gmail.com" r:id="rId270"/>
    <hyperlink ref="AW146" display="fauzan1812@gmail.com" r:id="rId271"/>
    <hyperlink ref="AW12" display="khameliabelvazaria189@gmail.com" r:id="rId272"/>
    <hyperlink ref="BB37" display="alifahhanif123@gmail.com" r:id="rId273"/>
    <hyperlink ref="AA36" display="abafajar2@gmail.com" r:id="rId274"/>
    <hyperlink ref="AA31" display="nadhia.ferlia2403@mail.ugm.ac.id" r:id="rId275"/>
    <hyperlink ref="BB31" display="delabintang23yahoo@gmail.com" r:id="rId276"/>
    <hyperlink ref="V52" display="dediraihan5@gmail.com" r:id="rId277"/>
    <hyperlink ref="AW65" display="januardi127@gmail.com" r:id="rId278"/>
    <hyperlink ref="AA26" display="khrisnadharma10@gmail.com" r:id="rId279"/>
    <hyperlink ref="V21" display="sofyan.saugani@gmail.com" r:id="rId280"/>
    <hyperlink ref="V31" display="dimsprstyo@gmail.com" r:id="rId281"/>
    <hyperlink ref="AA9" display="yosiandhika@gmail.com" r:id="rId282"/>
    <hyperlink ref="AW170" display="nengahsuwirya6@gmail.com" r:id="rId283"/>
    <hyperlink ref="BB39" display="nabilanahdatul@gmail.com" r:id="rId284"/>
    <hyperlink ref="AW213" display="radjaadzka18@gmail.com" r:id="rId285"/>
    <hyperlink ref="BB14" display="kasyaamuthiaa@gmail.com" r:id="rId286"/>
    <hyperlink ref="AW26" display="antonimadyasiahaan@gmail.com" r:id="rId287"/>
    <hyperlink ref="AW22" display="rajwabalqisecha@gmail.com" r:id="rId288"/>
    <hyperlink ref="V47" display="arnabila76@gmail.com" r:id="rId289"/>
    <hyperlink ref="AM9" display="harisscott630@gmail.com" r:id="rId290"/>
    <hyperlink ref="V68" display="Athaisyah@yahoo.com" r:id="rId291"/>
    <hyperlink ref="BB11" display="karizmafahlevy@yahoo.com" r:id="rId292"/>
    <hyperlink ref="AW161" display="nathanaelboyke11@gmail.com" r:id="rId293"/>
    <hyperlink ref="AW209" display="maritsakamilah@gmail.com" r:id="rId294"/>
    <hyperlink ref="AW207" display="muhilhamfah99@gmail.com" r:id="rId295"/>
    <hyperlink ref="BB35" display="mddchh617@gmail.com" r:id="rId296"/>
    <hyperlink ref="AW74" display="azimaidzni@gmail.com" r:id="rId297"/>
    <hyperlink ref="AW54" display="tadiustekwan02@gmail.com" r:id="rId298"/>
    <hyperlink ref="AM10" display="roadcarer7@gmail.com" r:id="rId299"/>
    <hyperlink ref="AW21" display="iibadurahman13@gmail.com" r:id="rId300"/>
    <hyperlink ref="AW183" display="muhammadariefpurnomo@gmail.com" r:id="rId301"/>
    <hyperlink ref="AW155" display="anggie.bahrend12@gmail.com" r:id="rId302"/>
    <hyperlink ref="AW46" display="ninditaeka@gmail.com" r:id="rId303"/>
    <hyperlink ref="AW15" display="dwisusanto.susanto@gmail.com" r:id="rId304"/>
    <hyperlink ref="AW24" display="yoaldede@gmail.com" r:id="rId305"/>
    <hyperlink ref="V58" display="hanifibfaj94@gmail.com" r:id="rId306"/>
    <hyperlink ref="AW20" display="gaditia744@gmail.com" r:id="rId307"/>
    <hyperlink ref="V60" display="sathifaa25@gmail.com" r:id="rId308"/>
    <hyperlink ref="AW139" display="mhmdfiqhh@gmail.com" r:id="rId309"/>
    <hyperlink ref="AM3" display="mustagimahsiti@gmail.com" r:id="rId310"/>
    <hyperlink ref="AA19" display="agungwiibowo09@gmail.com" r:id="rId311"/>
    <hyperlink ref="AW48" display="jksabdana@gmail.com" r:id="rId312"/>
    <hyperlink ref="AW61" display="dhiagram.kusuma@gmail.com" r:id="rId313"/>
    <hyperlink ref="AW206" display="tiarajulia9@gmail.com" r:id="rId314"/>
    <hyperlink ref="AW94" display="muhammadramadana@yahoo.com" r:id="rId315"/>
    <hyperlink ref="AW17" display="samirafebrita3@gmail.com" r:id="rId316"/>
    <hyperlink ref="AW110" display="bastensitinjak9@gmail.com" r:id="rId317"/>
    <hyperlink ref="V10" display="yosiandhika@gmail.com" r:id="rId318"/>
    <hyperlink ref="AA23" display="hakiimalan@gmail.com" r:id="rId319"/>
    <hyperlink ref="V28" display="khoirulrizki79@gmail.com" r:id="rId320"/>
    <hyperlink ref="AM15" display="annisaamandaputri2004@gmail.com" r:id="rId321"/>
    <hyperlink ref="AW145" display="ameliaherawati082@gmail.com" r:id="rId322"/>
    <hyperlink ref="AW53" display="Harisadhi8@gmail.com" r:id="rId323"/>
    <hyperlink ref="BB36" display="angelinakirana10@gmail.com" r:id="rId324"/>
    <hyperlink ref="AW122" display="nurlina@live.com" r:id="rId325"/>
    <hyperlink ref="AW124" display="faizal.career1@gmail.com" r:id="rId326"/>
    <hyperlink ref="AW143" display="bimantarafaqih@gmail.com" r:id="rId327"/>
    <hyperlink ref="V22" display="aditaarifin40@gmail.com" r:id="rId328"/>
    <hyperlink ref="AW23" display="ramadhinan9@gmail.com" r:id="rId329"/>
    <hyperlink ref="AW180" display="tiaraalda14@gmail.com" r:id="rId330"/>
    <hyperlink ref="AW171" display="budiandresy@gmail.com" r:id="rId331"/>
    <hyperlink ref="AW109" display="yasminmhaliza24@gmail.com" r:id="rId332"/>
    <hyperlink ref="AR3" display="ahmzulfadli@gmail.com" r:id="rId333"/>
    <hyperlink ref="BB3" display="rizalnazari11@gmail.com" r:id="rId334"/>
    <hyperlink ref="AW103" display="muammar.khadafhi2@gmail.com" r:id="rId335"/>
    <hyperlink ref="BB17" display="annisaputris001@gmail.com" r:id="rId336"/>
    <hyperlink ref="V9" display="Spodesede14@gmail.com" r:id="rId337"/>
    <hyperlink ref="AW174" display="hafshahbeta0107@gmail.com" r:id="rId338"/>
    <hyperlink ref="V48" display="abafajar2@gmail.com" r:id="rId339"/>
    <hyperlink ref="AW5" display="muhammaddivaiosaputra@gmail.com" r:id="rId340"/>
    <hyperlink ref="AW78" display="jpchristofel02@gmail.com" r:id="rId341"/>
    <hyperlink ref="AA25" display="jochiephu23@gmail.com" r:id="rId342"/>
    <hyperlink ref="AW4" display="plzbli5@gmail.com" r:id="rId343"/>
    <hyperlink ref="V41" display="fatayatasya19@gmail.com" r:id="rId344"/>
    <hyperlink ref="AW80" display="abdulmujiib02@gmail.com" r:id="rId345"/>
    <hyperlink ref="AW189" display="nugrohoadi26@gmail.com" r:id="rId346"/>
    <hyperlink ref="AW194" display="delabintang23yahoo@gmail.com" r:id="rId347"/>
    <hyperlink ref="BB18" display="yohanesgerardushagazai@gmail.com" r:id="rId348"/>
    <hyperlink ref="AW91" display="hasanachmad571@gmail.com" r:id="rId349"/>
    <hyperlink ref="AW197" display="awisnuf@gmail.com" r:id="rId350"/>
    <hyperlink ref="AW89" display="dimasriyanhidayat01@gmail.com" r:id="rId351"/>
    <hyperlink ref="AW40" display="Alfianrizkyr@gmail.com" r:id="rId352"/>
    <hyperlink ref="AW73" display="rayhanalirachman@gmail.com" r:id="rId353"/>
    <hyperlink ref="AM5" display="ahmzulfadli@gmail.com" r:id="rId354"/>
    <hyperlink ref="AA27" display="fazamfaris@gmail.com" r:id="rId355"/>
    <hyperlink ref="BB24" display="semeru.aga@gmail.com" r:id="rId356"/>
    <hyperlink ref="AW87" display="rafliando@gmail.com" r:id="rId357"/>
    <hyperlink ref="V66" display="fidyampdrg@gmail.com" r:id="rId358"/>
    <hyperlink ref="V70" display="isnainineni15@gmail.com" r:id="rId359"/>
    <hyperlink ref="AM13" display="Fahmiau17@gmail.com" r:id="rId360"/>
    <hyperlink ref="BB27" display="ekamr16@gmail.com" r:id="rId361"/>
    <hyperlink ref="AW205" display="ghinaa24putri@gmail.com" r:id="rId362"/>
    <hyperlink ref="AA8" display="salmanwilmart29@gmail.com" r:id="rId363"/>
    <hyperlink ref="AA6" display="Spodesede14@gmail.com" r:id="rId364"/>
    <hyperlink ref="AW113" display="asuszfngold34@gmail.com" r:id="rId365"/>
    <hyperlink ref="AW149" display="sekencois44@gmail.com" r:id="rId366"/>
    <hyperlink ref="AW62" display="prantionofernando@gmail.com" r:id="rId367"/>
    <hyperlink ref="AA32" display="justinchristian352@gmail.com" r:id="rId368"/>
    <hyperlink ref="AW99" display="fathurali942@gmail.com" r:id="rId369"/>
    <hyperlink ref="AW115" display="syeihaangelina@gmail.com" r:id="rId370"/>
    <hyperlink ref="V34" display="jochiephu23@gmail.com" r:id="rId371"/>
    <hyperlink ref="V27" display="mandaamr05@gmail.com" r:id="rId372"/>
    <hyperlink ref="AW190" display="karir.hafidh@gmail.com" r:id="rId373"/>
  </hyperlinks>
  <drawing r:id="rId374"/>
  <legacyDrawing r:id="rId375"/>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45"/>
    <col collapsed="false" customWidth="true" hidden="false" max="3" min="3" style="0" width="18"/>
  </cols>
  <sheetData>
    <row r="1">
      <c r="A1" s="170" t="s">
        <v>330</v>
      </c>
      <c r="B1" s="171" t="str">
        <v>big_event_date</v>
      </c>
      <c r="C1" s="169" t="str">
        <v>big_event_status</v>
      </c>
    </row>
    <row r="2">
      <c r="A2" s="14" t="str">
        <v>Free Class - Bootcamp WebGIS Academy</v>
      </c>
      <c r="B2" s="172">
        <v>46023</v>
      </c>
      <c r="C2" s="167" t="str">
        <v>done</v>
      </c>
    </row>
    <row customHeight="true" ht="19" r="3">
      <c r="A3" s="173" t="str">
        <v>Onboarding WebGIS</v>
      </c>
      <c r="B3" s="172">
        <v>46037</v>
      </c>
      <c r="C3" s="167" t="str">
        <v>done</v>
      </c>
    </row>
    <row r="4">
      <c r="A4" s="14" t="str">
        <v>Day 1 WebGIS</v>
      </c>
      <c r="B4" s="166">
        <v>46041</v>
      </c>
      <c r="C4" s="167" t="str">
        <v>done</v>
      </c>
    </row>
    <row r="5">
      <c r="A5" s="14" t="str">
        <v>Day 2 WebGIS</v>
      </c>
      <c r="B5" s="166">
        <v>46045</v>
      </c>
      <c r="C5" s="167" t="str">
        <v>done</v>
      </c>
    </row>
    <row customHeight="true" ht="19" r="6">
      <c r="A6" s="14" t="str">
        <v>Day 3 WebGIS</v>
      </c>
      <c r="B6" s="166">
        <v>46048</v>
      </c>
      <c r="C6" s="167" t="str">
        <v>done</v>
      </c>
    </row>
    <row customHeight="true" ht="19" r="7">
      <c r="A7" s="14" t="str">
        <v>Day 4 WebGIS</v>
      </c>
      <c r="B7" s="166">
        <v>46052</v>
      </c>
      <c r="C7" s="167" t="str">
        <v>done</v>
      </c>
    </row>
    <row customHeight="true" ht="19" r="8">
      <c r="A8" s="14" t="str">
        <v>Day 5 WebGIS</v>
      </c>
      <c r="B8" s="166">
        <v>46055</v>
      </c>
      <c r="C8" s="167" t="str">
        <v>done</v>
      </c>
    </row>
    <row customHeight="true" ht="19" r="9">
      <c r="A9" s="14" t="str">
        <v>Day 6 WebGIS</v>
      </c>
      <c r="B9" s="166">
        <v>46059</v>
      </c>
      <c r="C9" s="167" t="str">
        <v>done</v>
      </c>
    </row>
    <row customHeight="true" ht="19" r="10">
      <c r="A10" s="14" t="str">
        <v>Day 7 WebGIS</v>
      </c>
      <c r="B10" s="166">
        <v>46062</v>
      </c>
      <c r="C10" s="167" t="str">
        <v>done</v>
      </c>
    </row>
    <row customHeight="true" ht="19" r="11">
      <c r="A11" s="14" t="str">
        <v>Alumni MAPID Academy - Talkshow (WA Group)</v>
      </c>
      <c r="B11" s="166">
        <v>46063</v>
      </c>
      <c r="C11" s="167" t="str">
        <v>done</v>
      </c>
    </row>
    <row customHeight="true" ht="19" r="12">
      <c r="A12" s="14" t="str">
        <v>Survey Properti di MAPID Apps</v>
      </c>
      <c r="B12" s="166">
        <v>46064</v>
      </c>
      <c r="C12" s="167" t="str">
        <v>done</v>
      </c>
    </row>
    <row r="13">
      <c r="A13" s="14" t="str">
        <v>Free Class - MAPID Academy Batch 15</v>
      </c>
      <c r="B13" s="166">
        <v>46066</v>
      </c>
      <c r="C13" s="167" t="str">
        <v>done</v>
      </c>
    </row>
    <row customHeight="true" ht="19" r="14">
      <c r="A14" s="14" t="str">
        <v>Day 8 WebGIS</v>
      </c>
      <c r="B14" s="166">
        <v>46066</v>
      </c>
      <c r="C14" s="167" t="str">
        <v>done</v>
      </c>
    </row>
    <row customHeight="true" ht="19" r="15">
      <c r="A15" s="14" t="str">
        <v>Day 9 WebGIS</v>
      </c>
      <c r="B15" s="166">
        <v>46069</v>
      </c>
      <c r="C15" s="167" t="str">
        <v>done</v>
      </c>
    </row>
    <row customHeight="true" ht="19" r="16">
      <c r="A16" s="14" t="str">
        <v>Day 10 WebGIS</v>
      </c>
      <c r="B16" s="166">
        <v>46071</v>
      </c>
      <c r="C16" s="167" t="str">
        <v>done</v>
      </c>
    </row>
    <row r="17">
      <c r="A17" s="14" t="str">
        <v>Survey Properti di MAPID Apps - Week 2</v>
      </c>
      <c r="B17" s="166">
        <v>46072</v>
      </c>
      <c r="C17" s="167" t="str">
        <v>done</v>
      </c>
    </row>
    <row r="18">
      <c r="A18" s="14" t="str">
        <v>MAPID PIN-ang THR!</v>
      </c>
      <c r="B18" s="166">
        <v>46099</v>
      </c>
      <c r="C18" s="167" t="str">
        <v>done</v>
      </c>
    </row>
    <row r="19">
      <c r="A19" s="174" t="str">
        <v>MoU BINUS</v>
      </c>
      <c r="B19" s="166">
        <v>46120</v>
      </c>
      <c r="C19" s="167" t="str">
        <v>done</v>
      </c>
    </row>
    <row customHeight="true" ht="23" r="20">
      <c r="A20" s="174" t="str">
        <v>MoU UPH</v>
      </c>
      <c r="B20" s="166">
        <v>46121</v>
      </c>
      <c r="C20" s="167"/>
    </row>
    <row customHeight="true" ht="23" r="21">
      <c r="A21" s="174" t="str">
        <v>Meeting sama NUS</v>
      </c>
      <c r="B21" s="166">
        <v>46121</v>
      </c>
      <c r="C21" s="167"/>
    </row>
    <row r="22">
      <c r="A22" s="14"/>
      <c r="B22" s="166"/>
      <c r="C22" s="167"/>
    </row>
    <row r="23">
      <c r="A23" s="14"/>
      <c r="B23" s="168"/>
      <c r="C23" s="167"/>
    </row>
    <row r="24">
      <c r="A24" s="14"/>
      <c r="B24" s="166"/>
      <c r="C24" s="167"/>
    </row>
    <row r="25">
      <c r="A25" s="14"/>
      <c r="B25" s="168"/>
      <c r="C25" s="167"/>
      <c r="F25" s="14" t="str" xml:space="preserve">
        <v> </v>
      </c>
    </row>
    <row r="26">
      <c r="A26" s="14"/>
      <c r="B26" s="168"/>
      <c r="C26" s="167"/>
    </row>
    <row r="27">
      <c r="A27" s="14"/>
      <c r="B27" s="168"/>
      <c r="C27" s="167"/>
    </row>
    <row r="28">
      <c r="A28" s="14"/>
      <c r="B28" s="168"/>
      <c r="C28" s="167"/>
    </row>
    <row r="29">
      <c r="A29" s="14"/>
      <c r="B29" s="168"/>
      <c r="C29" s="167"/>
    </row>
    <row r="30">
      <c r="A30" s="14"/>
      <c r="B30" s="168"/>
      <c r="C30" s="167"/>
    </row>
    <row r="31">
      <c r="A31" s="14"/>
      <c r="B31" s="168"/>
      <c r="C31" s="167"/>
    </row>
    <row r="32">
      <c r="A32" s="14"/>
      <c r="B32" s="168"/>
      <c r="C32" s="167"/>
    </row>
    <row r="33">
      <c r="A33" s="14"/>
      <c r="B33" s="168"/>
      <c r="C33" s="167"/>
    </row>
    <row r="34">
      <c r="A34" s="14"/>
      <c r="B34" s="168"/>
      <c r="C34" s="167"/>
    </row>
    <row r="35">
      <c r="A35" s="30"/>
      <c r="B35" s="168"/>
      <c r="C35" s="167"/>
    </row>
    <row r="36">
      <c r="A36" s="14"/>
      <c r="B36" s="168"/>
      <c r="C36" s="167"/>
    </row>
    <row r="37">
      <c r="A37" s="14"/>
      <c r="B37" s="168"/>
      <c r="C37" s="167"/>
    </row>
    <row customHeight="true" ht="19" r="38">
      <c r="A38" s="14"/>
      <c r="B38" s="168"/>
      <c r="C38" s="167"/>
    </row>
    <row r="39">
      <c r="A39" s="14"/>
      <c r="B39" s="168"/>
      <c r="C39" s="167"/>
    </row>
    <row r="40">
      <c r="A40" s="14"/>
      <c r="B40" s="168"/>
      <c r="C40" s="167"/>
    </row>
    <row r="41">
      <c r="A41" s="14"/>
      <c r="B41" s="168"/>
      <c r="C41" s="167"/>
    </row>
    <row r="42">
      <c r="B42" s="15"/>
    </row>
    <row r="43">
      <c r="B43" s="15"/>
    </row>
    <row r="44">
      <c r="B44" s="15"/>
    </row>
    <row r="45">
      <c r="B45" s="15"/>
    </row>
    <row r="46">
      <c r="B46" s="15"/>
    </row>
    <row r="47">
      <c r="B47" s="15"/>
    </row>
    <row r="48">
      <c r="B48" s="15"/>
    </row>
    <row r="49">
      <c r="B49" s="15"/>
    </row>
    <row r="50">
      <c r="B50" s="15"/>
    </row>
    <row r="51">
      <c r="B51" s="15"/>
    </row>
    <row r="52">
      <c r="B52" s="15"/>
    </row>
    <row r="53">
      <c r="B53" s="15"/>
    </row>
    <row r="54">
      <c r="B54" s="15"/>
    </row>
    <row r="55">
      <c r="B55" s="15"/>
    </row>
    <row r="56">
      <c r="B56" s="15"/>
    </row>
    <row r="57">
      <c r="B57" s="15"/>
    </row>
    <row r="58">
      <c r="B58" s="15"/>
    </row>
    <row r="59">
      <c r="B59" s="15"/>
    </row>
    <row r="60">
      <c r="B60" s="15"/>
    </row>
    <row r="61">
      <c r="B61" s="15"/>
    </row>
    <row r="62">
      <c r="B62" s="15"/>
    </row>
    <row r="63">
      <c r="B63" s="15"/>
    </row>
    <row r="64">
      <c r="B64" s="15"/>
    </row>
    <row r="65">
      <c r="B65" s="15"/>
    </row>
    <row r="66">
      <c r="B66" s="15"/>
    </row>
    <row r="67">
      <c r="B67" s="15"/>
    </row>
    <row r="68">
      <c r="B68" s="15"/>
    </row>
    <row r="69">
      <c r="B69" s="15"/>
    </row>
    <row r="70">
      <c r="B70" s="15"/>
    </row>
    <row r="71">
      <c r="B71" s="15"/>
    </row>
    <row r="72">
      <c r="B72" s="15"/>
    </row>
    <row r="73">
      <c r="B73" s="15"/>
    </row>
    <row r="74">
      <c r="B74" s="15"/>
    </row>
    <row r="75">
      <c r="B75" s="15"/>
    </row>
    <row r="76">
      <c r="B76" s="15"/>
    </row>
    <row r="77">
      <c r="B77" s="15"/>
    </row>
    <row r="78">
      <c r="B78" s="15"/>
    </row>
    <row r="79">
      <c r="B79" s="15"/>
    </row>
    <row r="80">
      <c r="B80" s="15"/>
    </row>
    <row r="81">
      <c r="B81" s="15"/>
    </row>
    <row r="82">
      <c r="B82" s="15"/>
    </row>
    <row r="83">
      <c r="B83" s="15"/>
    </row>
    <row r="84">
      <c r="B84" s="15"/>
    </row>
    <row r="85">
      <c r="B85" s="15"/>
    </row>
    <row r="86">
      <c r="B86" s="15"/>
    </row>
    <row r="87">
      <c r="B87" s="15"/>
    </row>
    <row r="88">
      <c r="B88" s="15"/>
    </row>
    <row r="89">
      <c r="B89" s="15"/>
    </row>
    <row r="90">
      <c r="B90" s="15"/>
    </row>
    <row r="91">
      <c r="B91" s="15"/>
    </row>
    <row r="92">
      <c r="B92" s="15"/>
    </row>
    <row r="93">
      <c r="B93" s="15"/>
    </row>
    <row r="94">
      <c r="B94" s="15"/>
    </row>
    <row r="95">
      <c r="B95" s="15"/>
    </row>
    <row r="96">
      <c r="B96" s="15"/>
    </row>
    <row r="97">
      <c r="B97" s="15"/>
    </row>
    <row r="98">
      <c r="B98" s="15"/>
    </row>
    <row r="99">
      <c r="B99" s="15"/>
    </row>
    <row r="100">
      <c r="B100" s="15"/>
    </row>
    <row r="101">
      <c r="B101" s="15"/>
    </row>
    <row r="102">
      <c r="B102" s="15"/>
    </row>
    <row r="103">
      <c r="B103" s="15"/>
    </row>
    <row r="104">
      <c r="B104" s="15"/>
    </row>
    <row r="105">
      <c r="B105" s="15"/>
    </row>
    <row r="106">
      <c r="B106" s="15"/>
    </row>
    <row r="107">
      <c r="B107" s="15"/>
    </row>
    <row r="108">
      <c r="B108" s="15"/>
    </row>
    <row r="109">
      <c r="B109" s="15"/>
    </row>
    <row r="110">
      <c r="B110" s="15"/>
    </row>
    <row r="111">
      <c r="B111" s="15"/>
    </row>
    <row r="112">
      <c r="B112" s="15"/>
    </row>
    <row r="113">
      <c r="B113" s="15"/>
    </row>
    <row r="114">
      <c r="B114" s="15"/>
    </row>
    <row r="115">
      <c r="B115" s="15"/>
    </row>
    <row r="116">
      <c r="B116" s="15"/>
    </row>
    <row r="117">
      <c r="B117" s="15"/>
    </row>
    <row r="118">
      <c r="B118" s="15"/>
    </row>
    <row r="119">
      <c r="B119" s="15"/>
    </row>
    <row r="120">
      <c r="B120" s="15"/>
    </row>
    <row r="121">
      <c r="B121" s="15"/>
    </row>
    <row r="122">
      <c r="B122" s="15"/>
    </row>
    <row r="123">
      <c r="B123" s="15"/>
    </row>
    <row r="124">
      <c r="B124" s="15"/>
    </row>
    <row r="125">
      <c r="B125" s="15"/>
    </row>
    <row r="126">
      <c r="B126" s="15"/>
    </row>
    <row r="127">
      <c r="B127" s="15"/>
    </row>
    <row r="128">
      <c r="B128" s="15"/>
    </row>
    <row r="129">
      <c r="B129" s="15"/>
    </row>
    <row r="130">
      <c r="B130" s="15"/>
    </row>
    <row r="131">
      <c r="B131" s="15"/>
    </row>
    <row r="132">
      <c r="B132" s="15"/>
    </row>
    <row r="133">
      <c r="B133" s="15"/>
    </row>
    <row r="134">
      <c r="B134" s="15"/>
    </row>
    <row r="135">
      <c r="B135" s="15"/>
    </row>
    <row r="136">
      <c r="B136" s="15"/>
    </row>
    <row r="137">
      <c r="B137" s="15"/>
    </row>
    <row r="138">
      <c r="B138" s="15"/>
    </row>
    <row r="139">
      <c r="B139" s="15"/>
    </row>
    <row r="140">
      <c r="B140" s="15"/>
    </row>
    <row r="141">
      <c r="B141" s="15"/>
    </row>
    <row r="142">
      <c r="B142" s="15"/>
    </row>
    <row r="143">
      <c r="B143" s="15"/>
    </row>
    <row r="144">
      <c r="B144" s="15"/>
    </row>
    <row r="145">
      <c r="B145" s="15"/>
    </row>
    <row r="146">
      <c r="B146" s="15"/>
    </row>
    <row r="147">
      <c r="B147" s="15"/>
    </row>
    <row r="148">
      <c r="B148" s="15"/>
    </row>
    <row r="149">
      <c r="B149" s="15"/>
    </row>
    <row r="150">
      <c r="B150" s="15"/>
    </row>
    <row r="151">
      <c r="B151" s="15"/>
    </row>
    <row r="152">
      <c r="B152" s="15"/>
    </row>
    <row r="153">
      <c r="B153" s="15"/>
    </row>
    <row r="154">
      <c r="B154" s="15"/>
    </row>
    <row r="155">
      <c r="B155" s="15"/>
    </row>
    <row r="156">
      <c r="B156" s="15"/>
    </row>
    <row r="157">
      <c r="B157" s="15"/>
    </row>
    <row r="158">
      <c r="B158" s="15"/>
    </row>
    <row r="159">
      <c r="B159" s="15"/>
    </row>
    <row r="160">
      <c r="B160" s="15"/>
    </row>
    <row r="161">
      <c r="B161" s="15"/>
    </row>
    <row r="162">
      <c r="B162" s="15"/>
    </row>
    <row r="163">
      <c r="B163" s="15"/>
    </row>
    <row r="164">
      <c r="B164" s="15"/>
    </row>
    <row r="165">
      <c r="B165" s="15"/>
    </row>
    <row r="166">
      <c r="B166" s="15"/>
    </row>
    <row r="167">
      <c r="B167" s="15"/>
    </row>
    <row r="168">
      <c r="B168" s="15"/>
    </row>
    <row r="169">
      <c r="B169" s="15"/>
    </row>
    <row r="170">
      <c r="B170" s="15"/>
    </row>
    <row r="171">
      <c r="B171" s="15"/>
    </row>
    <row r="172">
      <c r="B172" s="15"/>
    </row>
    <row r="173">
      <c r="B173" s="15"/>
    </row>
    <row r="174">
      <c r="B174" s="15"/>
    </row>
    <row r="175">
      <c r="B175" s="15"/>
    </row>
    <row r="176">
      <c r="B176" s="15"/>
    </row>
    <row r="177">
      <c r="B177" s="15"/>
    </row>
    <row r="178">
      <c r="B178" s="15"/>
    </row>
    <row r="179">
      <c r="B179" s="15"/>
    </row>
    <row r="180">
      <c r="B180" s="15"/>
    </row>
    <row r="181">
      <c r="B181" s="15"/>
    </row>
    <row r="182">
      <c r="B182" s="15"/>
    </row>
    <row r="183">
      <c r="B183" s="15"/>
    </row>
    <row r="184">
      <c r="B184" s="15"/>
    </row>
    <row r="185">
      <c r="B185" s="15"/>
    </row>
    <row r="186">
      <c r="B186" s="15"/>
    </row>
    <row r="187">
      <c r="B187" s="15"/>
    </row>
    <row r="188">
      <c r="B188" s="15"/>
    </row>
    <row r="189">
      <c r="B189" s="15"/>
    </row>
    <row r="190">
      <c r="B190" s="15"/>
    </row>
    <row r="191">
      <c r="B191" s="15"/>
    </row>
    <row r="192">
      <c r="B192" s="15"/>
    </row>
    <row r="193">
      <c r="B193" s="15"/>
    </row>
    <row r="194">
      <c r="B194" s="15"/>
    </row>
    <row r="195">
      <c r="B195" s="15"/>
    </row>
    <row r="196">
      <c r="B196" s="15"/>
    </row>
    <row r="197">
      <c r="B197" s="15"/>
    </row>
    <row r="198">
      <c r="B198" s="15"/>
    </row>
    <row r="199">
      <c r="B199" s="15"/>
    </row>
    <row r="200">
      <c r="B200" s="15"/>
    </row>
    <row r="201">
      <c r="B201" s="15"/>
    </row>
    <row r="202">
      <c r="B202" s="15"/>
    </row>
    <row r="203">
      <c r="B203" s="15"/>
    </row>
    <row r="204">
      <c r="B204" s="15"/>
    </row>
    <row r="205">
      <c r="B205" s="15"/>
    </row>
    <row r="206">
      <c r="B206" s="15"/>
    </row>
    <row r="207">
      <c r="B207" s="15"/>
    </row>
    <row r="208">
      <c r="B208" s="15"/>
    </row>
    <row r="209">
      <c r="B209" s="15"/>
    </row>
    <row r="210">
      <c r="B210" s="15"/>
    </row>
    <row r="211">
      <c r="B211" s="15"/>
    </row>
    <row r="212">
      <c r="B212" s="15"/>
    </row>
    <row r="213">
      <c r="B213" s="15"/>
    </row>
  </sheetData>
  <dataValidations count="1">
    <dataValidation allowBlank="true" errorStyle="stop" showErrorMessage="true" sqref="C2:C41" type="list">
      <formula1>"done"</formula1>
    </dataValidation>
  </dataValidation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3" min="3" style="0" width="53"/>
    <col collapsed="false" customWidth="true" hidden="false" max="5" min="5" style="0" width="37"/>
  </cols>
  <sheetData>
    <row r="1">
      <c r="A1" s="176" t="str">
        <v>Tanggal</v>
      </c>
      <c r="B1" s="176" t="str">
        <v>Social Media</v>
      </c>
      <c r="C1" s="177" t="str">
        <v>Topik/Judul</v>
      </c>
      <c r="D1" s="176" t="str">
        <v>Update</v>
      </c>
      <c r="E1" s="178" t="str">
        <v>Referensi</v>
      </c>
      <c r="F1" s="133"/>
    </row>
    <row r="2">
      <c r="A2" s="175">
        <v>46029</v>
      </c>
      <c r="B2" s="133" t="str">
        <v>LinkedIn - Newsletter</v>
      </c>
      <c r="C2" s="88" t="str">
        <v>A Spatial and Business Perspective Inspired by Avatar: Fire and Ash</v>
      </c>
      <c r="D2" s="19" t="str">
        <v>Done</v>
      </c>
      <c r="E2" s="133" t="s">
        <v>331</v>
      </c>
      <c r="F2" s="133"/>
    </row>
    <row r="3">
      <c r="A3" s="175">
        <v>46030</v>
      </c>
      <c r="B3" s="133" t="str">
        <v>LinkedIn - Newsletter</v>
      </c>
      <c r="C3" s="88" t="str">
        <v>Spatial Fragmentation, Science Narratives, and Real-World Spatial Analysis: Learning from Stranger Things Hawkins</v>
      </c>
      <c r="D3" s="19" t="str">
        <v>Done</v>
      </c>
      <c r="E3" s="133" t="s">
        <v>332</v>
      </c>
    </row>
    <row r="4">
      <c r="A4" s="175">
        <v>46030</v>
      </c>
      <c r="B4" s="133" t="str">
        <v>Instagram - MAPID SEE IT</v>
      </c>
      <c r="C4" s="88" t="str">
        <v>Avatar</v>
      </c>
      <c r="D4" s="19" t="str">
        <v>Done</v>
      </c>
      <c r="E4" s="133" t="str">
        <v>hold</v>
      </c>
    </row>
    <row customHeight="true" ht="19" r="5">
      <c r="A5" s="180">
        <v>46031</v>
      </c>
      <c r="B5" s="133" t="str">
        <v>YouTube - Shorts</v>
      </c>
      <c r="C5" s="88" t="str">
        <v>The Man Behind MAPID Apps</v>
      </c>
      <c r="D5" s="179" t="str">
        <v>Done</v>
      </c>
      <c r="E5" s="88"/>
    </row>
    <row r="6">
      <c r="A6" s="175">
        <v>46031</v>
      </c>
      <c r="B6" s="133" t="str">
        <v>LinkedIn - Newsletter</v>
      </c>
      <c r="C6" s="88" t="str">
        <v>HIRING</v>
      </c>
      <c r="D6" s="19" t="str">
        <v>Done</v>
      </c>
      <c r="E6" s="133" t="s">
        <v>332</v>
      </c>
    </row>
    <row r="7">
      <c r="A7" s="175">
        <v>46031</v>
      </c>
      <c r="B7" s="133" t="str">
        <v>WAG - Community</v>
      </c>
      <c r="C7" s="88" t="str">
        <v>Softlaucnh MAPID APPs ke Community</v>
      </c>
      <c r="D7" s="19" t="str">
        <v>Done</v>
      </c>
      <c r="E7" s="133" t="s">
        <v>332</v>
      </c>
    </row>
    <row r="8">
      <c r="A8" s="175">
        <v>46034</v>
      </c>
      <c r="B8" s="133" t="str">
        <v>WAG - Community</v>
      </c>
      <c r="C8" s="88" t="str">
        <v>Free Class</v>
      </c>
      <c r="D8" s="19" t="str">
        <v>Done</v>
      </c>
      <c r="E8" s="133" t="s">
        <v>332</v>
      </c>
    </row>
    <row customHeight="true" ht="19" r="9">
      <c r="A9" s="175"/>
      <c r="B9" s="133" t="str">
        <v>Instagram - MAPID SEE IT</v>
      </c>
      <c r="C9" s="88" t="str">
        <v>Live Report Free Class</v>
      </c>
      <c r="D9" s="19" t="str">
        <v>Done</v>
      </c>
      <c r="E9" s="133"/>
    </row>
    <row r="10">
      <c r="A10" s="175">
        <v>46035</v>
      </c>
      <c r="B10" s="133" t="str">
        <v>WAG - Community</v>
      </c>
      <c r="C10" s="88" t="str">
        <v>Greetings + Softlaucnh MAPID APPs ke Community</v>
      </c>
      <c r="D10" s="19" t="str">
        <v>Done</v>
      </c>
      <c r="E10" s="133"/>
    </row>
    <row r="11">
      <c r="A11" s="175"/>
      <c r="B11" s="133" t="str">
        <v>Instagram - MAPID SEE IT</v>
      </c>
      <c r="C11" s="14" t="str">
        <v>Reminder WebGIS</v>
      </c>
      <c r="D11" s="19" t="str">
        <v>Done</v>
      </c>
      <c r="E11" s="14"/>
    </row>
    <row r="12">
      <c r="A12" s="175"/>
      <c r="B12" s="133" t="str">
        <v>LinkedIn - Newsletter</v>
      </c>
      <c r="C12" s="88" t="str">
        <v>Spatial Fragmentation, Science Narratives, and Real-World Spatial Analysis: Learning from Stranger Things Hawkins</v>
      </c>
      <c r="D12" s="19" t="str">
        <v>Done</v>
      </c>
      <c r="E12" s="14"/>
    </row>
    <row r="13">
      <c r="A13" s="175">
        <v>46037</v>
      </c>
      <c r="B13" s="133" t="str">
        <v>WAG - Community</v>
      </c>
      <c r="C13" s="88" t="str">
        <v>Greetings + Last WebGIS</v>
      </c>
      <c r="D13" s="19" t="str">
        <v>Done</v>
      </c>
      <c r="E13" s="14"/>
    </row>
    <row r="14">
      <c r="A14" s="175"/>
      <c r="B14" s="133" t="str">
        <v>Instagram - MAPID SEE IT</v>
      </c>
      <c r="C14" s="14" t="str">
        <v>Reminder Last WebGIS</v>
      </c>
      <c r="D14" s="19" t="str">
        <v>Done</v>
      </c>
      <c r="E14" s="14"/>
    </row>
    <row r="15">
      <c r="A15" s="175"/>
      <c r="B15" s="133" t="str">
        <v>LinkedIn - Newsletter</v>
      </c>
      <c r="C15" s="88" t="str">
        <v>Spatial Fragmentation, Science Narratives, and Real-World Spatial Analysis: Learning from Stranger Things Hawkins</v>
      </c>
      <c r="D15" s="19" t="str">
        <v>Done</v>
      </c>
      <c r="E15" s="14"/>
    </row>
    <row r="16">
      <c r="A16" s="175">
        <v>46041</v>
      </c>
      <c r="B16" s="133" t="str">
        <v>Instagram - MAPID SEE IT</v>
      </c>
      <c r="C16" s="14" t="str">
        <v>Day 1 - WebGIS (Live Report)</v>
      </c>
      <c r="D16" s="19" t="str">
        <v>Done</v>
      </c>
      <c r="E16" s="14"/>
    </row>
    <row r="17">
      <c r="A17" s="175"/>
      <c r="B17" s="133" t="str">
        <v>LinkedIn - Newsletter</v>
      </c>
      <c r="C17" s="88" t="s">
        <v>333</v>
      </c>
      <c r="D17" s="19" t="str">
        <v>Done</v>
      </c>
      <c r="E17" s="14"/>
    </row>
    <row r="18">
      <c r="A18" s="175">
        <v>46042</v>
      </c>
      <c r="B18" s="133" t="str">
        <v>Instagram - MAPID SEE IT</v>
      </c>
      <c r="C18" s="14" t="str">
        <v>Momentum Konten</v>
      </c>
      <c r="D18" s="19" t="str">
        <v>Done</v>
      </c>
      <c r="E18" s="14"/>
    </row>
    <row r="19">
      <c r="A19" s="175"/>
      <c r="B19" s="133" t="str">
        <v>LinkedIn - Newsletter</v>
      </c>
      <c r="C19" s="88" t="str">
        <v>Location Analytics Lessons from the K-Drama Can This Love Be Translated?</v>
      </c>
      <c r="D19" s="19" t="str">
        <v>Done</v>
      </c>
      <c r="E19" s="14"/>
    </row>
    <row r="20">
      <c r="A20" s="175">
        <v>46043</v>
      </c>
      <c r="B20" s="133" t="str">
        <v>Instagram - MAPID Academy</v>
      </c>
      <c r="C20" s="14" t="str">
        <v>Academy</v>
      </c>
      <c r="D20" s="19" t="str">
        <v>Done</v>
      </c>
      <c r="E20" s="14"/>
    </row>
    <row r="21">
      <c r="A21" s="175"/>
      <c r="B21" s="133" t="str">
        <v>LinkedIn - Newsletter</v>
      </c>
      <c r="C21" s="88" t="str">
        <v>The Language Behind Location Analytics</v>
      </c>
      <c r="D21" s="19" t="str">
        <v>Done</v>
      </c>
      <c r="E21" s="14"/>
    </row>
    <row r="22">
      <c r="A22" s="175">
        <v>46044</v>
      </c>
      <c r="B22" s="133" t="str">
        <v>Instagram - MAPID SEE IT</v>
      </c>
      <c r="C22" s="14"/>
      <c r="D22" s="19" t="str">
        <v>Done</v>
      </c>
      <c r="E22" s="14"/>
    </row>
    <row r="23">
      <c r="A23" s="175"/>
      <c r="B23" s="133" t="str">
        <v>LinkedIn - Newsletter</v>
      </c>
      <c r="C23" s="88" t="str">
        <v>Weekend Spatial Explorer: GIS untuk Bisnis di Akhir Pekan</v>
      </c>
      <c r="D23" s="19" t="str">
        <v>Done</v>
      </c>
      <c r="E23" s="14"/>
    </row>
    <row r="24">
      <c r="A24" s="175">
        <v>46045</v>
      </c>
      <c r="B24" s="133" t="str">
        <v>Instagram - MAPID SEE IT</v>
      </c>
      <c r="C24" s="14" t="str">
        <v>Running to Heal</v>
      </c>
      <c r="D24" s="19" t="str">
        <v>Done</v>
      </c>
      <c r="E24" s="14"/>
    </row>
    <row r="25">
      <c r="A25" s="175"/>
      <c r="B25" s="133" t="str">
        <v>LinkedIn - Newsletter</v>
      </c>
      <c r="C25" s="88" t="str">
        <v>Spatial Analysis for Retail Site Selection: Metodologi &amp; Best Practices</v>
      </c>
      <c r="D25" s="19" t="str">
        <v>Done</v>
      </c>
      <c r="E25" s="14"/>
    </row>
    <row r="26">
      <c r="A26" s="175">
        <v>46048</v>
      </c>
      <c r="B26" s="133" t="str">
        <v>LinkedIn - Newsletter</v>
      </c>
      <c r="C26" s="88" t="str">
        <v>Understanding Spatial Autocorrelation: Moran's I dalam Analisis Bisnis</v>
      </c>
      <c r="D26" s="19" t="str">
        <v>Done</v>
      </c>
      <c r="E26" s="14"/>
    </row>
    <row r="27">
      <c r="A27" s="175">
        <v>46049</v>
      </c>
      <c r="B27" s="133" t="str">
        <v>LinkedIn - Newsletter</v>
      </c>
      <c r="C27" s="88" t="str">
        <v>Geospatial Data Sources untuk Analisis Bisnis Indonesia</v>
      </c>
      <c r="D27" s="19" t="str">
        <v>Done</v>
      </c>
      <c r="E27" s="14"/>
    </row>
    <row r="28">
      <c r="A28" s="175">
        <v>46050</v>
      </c>
      <c r="B28" s="133" t="str">
        <v>LinkedIn - Newsletter</v>
      </c>
      <c r="C28" s="88" t="str">
        <v>Understanding Spatial Autocorrelation: Moran's I dalam Analisis Bisnis</v>
      </c>
      <c r="D28" s="19" t="str">
        <v>Done</v>
      </c>
      <c r="E28" s="14"/>
    </row>
    <row r="29">
      <c r="A29" s="175">
        <v>46051</v>
      </c>
      <c r="B29" s="133" t="str">
        <v>LinkedIn - Newsletter</v>
      </c>
      <c r="C29" s="88" t="str">
        <v>Location Intelligence: Transformasi Data Spasial Menjadi Competitive Advantage</v>
      </c>
      <c r="D29" s="19" t="str">
        <v>Done</v>
      </c>
      <c r="E29" s="14"/>
    </row>
    <row r="30">
      <c r="A30" s="175">
        <v>46052</v>
      </c>
      <c r="B30" s="133" t="str">
        <v>LinkedIn - Newsletter</v>
      </c>
      <c r="C30" s="88" t="str">
        <v>Visualisasi Data Spasial yang Efektif: Prinsip Kartografi untuk Business Reports</v>
      </c>
      <c r="D30" s="19" t="str">
        <v>Done</v>
      </c>
      <c r="E30" s="14"/>
    </row>
    <row r="31">
      <c r="A31" s="175">
        <v>46055</v>
      </c>
      <c r="B31" s="133" t="str">
        <v>LinkedIn - Newsletter</v>
      </c>
      <c r="C31" s="88" t="str">
        <v>World Wetlands Day 2026: Renewing the Vision for Wetlands and Human Wellbeing</v>
      </c>
      <c r="D31" s="19" t="str">
        <v>Done</v>
      </c>
      <c r="E31" s="14"/>
    </row>
    <row r="32">
      <c r="A32" s="175">
        <v>46057</v>
      </c>
      <c r="B32" s="133" t="str">
        <v>Instagram - MAPID SEE IT</v>
      </c>
      <c r="C32" s="88" t="str">
        <v>Facebook - 2004</v>
      </c>
      <c r="D32" s="19" t="str">
        <v>Done</v>
      </c>
      <c r="E32" s="14"/>
    </row>
    <row r="33">
      <c r="A33" s="175"/>
      <c r="B33" s="133" t="str">
        <v>WAG - Community</v>
      </c>
      <c r="C33" s="88" t="str">
        <v>Kalau ada kelas fokus mindset &amp; decision making, tertarik?
(CTA ke MAPID Academy)</v>
      </c>
      <c r="D33" s="19" t="str">
        <v>Done</v>
      </c>
      <c r="E33" s="14"/>
    </row>
    <row r="34">
      <c r="A34" s="175"/>
      <c r="B34" s="133" t="str">
        <v>LinkedIn - Newsletter</v>
      </c>
      <c r="C34" s="88" t="str">
        <v>Indonesia's Disaster Situation in Early 2026: A Geospatial Overview</v>
      </c>
      <c r="D34" s="19" t="str">
        <v>Done</v>
      </c>
      <c r="E34" s="14"/>
    </row>
    <row r="35">
      <c r="A35" s="175">
        <v>46058</v>
      </c>
      <c r="B35" s="133" t="str">
        <v>Instagram - MAPID Academy</v>
      </c>
      <c r="C35" s="88" t="str">
        <v>Learning Journey MA</v>
      </c>
      <c r="D35" s="19" t="str">
        <v>Done</v>
      </c>
      <c r="E35" s="14"/>
    </row>
    <row r="36">
      <c r="A36" s="175"/>
      <c r="B36" s="133"/>
      <c r="C36" s="88"/>
      <c r="D36" s="19"/>
      <c r="E36" s="14"/>
    </row>
    <row r="37">
      <c r="A37" s="175"/>
      <c r="B37" s="133"/>
      <c r="C37" s="88"/>
      <c r="D37" s="19"/>
      <c r="E37" s="14"/>
    </row>
    <row r="38">
      <c r="A38" s="175">
        <v>46059</v>
      </c>
      <c r="B38" s="133" t="str">
        <v>Instagram - MAPID SEE IT</v>
      </c>
      <c r="C38" s="88" t="str">
        <v>From Maps to Decisions</v>
      </c>
      <c r="D38" s="19" t="str">
        <v>Done</v>
      </c>
      <c r="E38" s="14"/>
    </row>
    <row r="39">
      <c r="A39" s="175"/>
      <c r="B39" s="133" t="str">
        <v>WAG - Community</v>
      </c>
      <c r="C39" s="88" t="str">
        <v>Boost MAPID Academy Location Analytics</v>
      </c>
      <c r="D39" s="19" t="str">
        <v>Done</v>
      </c>
      <c r="E39" s="14"/>
    </row>
    <row r="40">
      <c r="A40" s="175"/>
      <c r="B40" s="133"/>
      <c r="C40" s="88"/>
      <c r="D40" s="19"/>
      <c r="E40" s="14"/>
    </row>
    <row r="41">
      <c r="A41" s="175">
        <v>46062</v>
      </c>
      <c r="B41" s="133" t="str">
        <v>Instagram - MAPID SEE IT</v>
      </c>
      <c r="C41" s="88"/>
      <c r="D41" s="19" t="str">
        <v>Done</v>
      </c>
      <c r="E41" s="14"/>
    </row>
    <row r="42">
      <c r="A42" s="175"/>
      <c r="B42" s="133" t="str">
        <v>WAG - Community</v>
      </c>
      <c r="C42" s="88"/>
      <c r="D42" s="19" t="str">
        <v>Done</v>
      </c>
      <c r="E42" s="14"/>
    </row>
    <row r="43">
      <c r="A43" s="175"/>
      <c r="B43" s="133"/>
      <c r="C43" s="88"/>
      <c r="D43" s="19"/>
      <c r="E43" s="14"/>
    </row>
    <row r="44">
      <c r="A44" s="175">
        <v>46063</v>
      </c>
      <c r="B44" s="133" t="str">
        <v>Instagram - MAPID SEE IT</v>
      </c>
      <c r="C44" s="88"/>
      <c r="D44" s="19" t="str">
        <v>Done</v>
      </c>
      <c r="E44" s="14"/>
    </row>
    <row r="45">
      <c r="A45" s="175"/>
      <c r="B45" s="133" t="str">
        <v>WAG - Community</v>
      </c>
      <c r="C45" s="88"/>
      <c r="D45" s="19" t="str">
        <v>Done</v>
      </c>
      <c r="E45" s="14"/>
    </row>
    <row r="46">
      <c r="A46" s="175"/>
      <c r="B46" s="133"/>
      <c r="C46" s="88"/>
      <c r="D46" s="19"/>
      <c r="E46" s="14"/>
    </row>
    <row r="47">
      <c r="A47" s="175">
        <v>46064</v>
      </c>
      <c r="B47" s="133" t="str">
        <v>Instagram - MAPID SEE IT</v>
      </c>
      <c r="C47" s="88" t="str">
        <v>She Map The Future</v>
      </c>
      <c r="D47" s="19" t="str">
        <v>Done</v>
      </c>
      <c r="E47" s="14"/>
    </row>
    <row r="48">
      <c r="A48" s="175"/>
      <c r="B48" s="133" t="str">
        <v>WAG - Community</v>
      </c>
      <c r="C48" s="88"/>
      <c r="D48" s="19" t="str">
        <v>Done</v>
      </c>
      <c r="E48" s="14"/>
    </row>
    <row r="49">
      <c r="A49" s="175"/>
      <c r="B49" s="133"/>
      <c r="C49" s="88"/>
      <c r="D49" s="19"/>
      <c r="E49" s="14"/>
    </row>
    <row r="50">
      <c r="A50" s="175">
        <v>46065</v>
      </c>
      <c r="B50" s="133" t="str">
        <v>Instagram - MAPID Academy</v>
      </c>
      <c r="C50" s="88" t="str" xml:space="preserve">
        <v>Up story Free Class </v>
      </c>
      <c r="D50" s="19" t="str">
        <v>Done</v>
      </c>
      <c r="E50" s="14"/>
    </row>
    <row r="51">
      <c r="A51" s="175"/>
      <c r="B51" s="133" t="str">
        <v>WAG - Community</v>
      </c>
      <c r="C51" s="88" t="str">
        <v>Boost Free Class &amp; MAB15</v>
      </c>
      <c r="D51" s="19" t="str">
        <v>Done</v>
      </c>
      <c r="E51" s="14"/>
    </row>
    <row r="52">
      <c r="A52" s="175"/>
      <c r="B52" s="133" t="str">
        <v>LinkedIn - Newsletter</v>
      </c>
      <c r="C52" s="88" t="str">
        <v>Darwin Day</v>
      </c>
      <c r="D52" s="19" t="str">
        <v>Done</v>
      </c>
      <c r="E52" s="14"/>
    </row>
    <row r="53">
      <c r="A53" s="175">
        <v>46066</v>
      </c>
      <c r="B53" s="133" t="str">
        <v>Instagram - MAPID Academy</v>
      </c>
      <c r="C53" s="88" t="str" xml:space="preserve">
        <v>Up story Free Class </v>
      </c>
      <c r="D53" s="19" t="str">
        <v>Done</v>
      </c>
      <c r="E53" s="14"/>
    </row>
    <row r="54">
      <c r="A54" s="175"/>
      <c r="B54" s="133" t="str">
        <v>WAG - Community</v>
      </c>
      <c r="C54" s="88" t="str">
        <v>Boost Free Class &amp; MAB15</v>
      </c>
      <c r="D54" s="19" t="str">
        <v>Done</v>
      </c>
      <c r="E54" s="14"/>
    </row>
    <row r="55">
      <c r="A55" s="175"/>
      <c r="B55" s="133" t="str">
        <v>LinkedIn - Newsletter</v>
      </c>
      <c r="C55" s="88" t="str">
        <v>She Map The Future</v>
      </c>
      <c r="D55" s="19" t="str">
        <v>Done</v>
      </c>
      <c r="E55" s="14"/>
    </row>
    <row r="56">
      <c r="A56" s="175">
        <v>46072</v>
      </c>
      <c r="B56" s="133" t="str">
        <v>Instagram - MAPID Academy</v>
      </c>
      <c r="C56" s="88" t="str" xml:space="preserve">
        <v>MAPID Academy B15 - konten hardsell </v>
      </c>
      <c r="D56" s="19" t="str">
        <v>Done</v>
      </c>
      <c r="E56" s="14"/>
    </row>
    <row r="57">
      <c r="A57" s="175"/>
      <c r="B57" s="133" t="str">
        <v>WAG - Community</v>
      </c>
      <c r="C57" s="88" t="str">
        <v>Boost MAB15 - H-1 penutupan</v>
      </c>
      <c r="D57" s="19" t="str">
        <v>Done</v>
      </c>
      <c r="E57" s="14"/>
    </row>
    <row r="58">
      <c r="A58" s="175"/>
      <c r="B58" s="133" t="str">
        <v>LinkedIn - Newsletter</v>
      </c>
      <c r="C58" s="88" t="str">
        <v>How the Beginning of Ramadan Is Determined Spatially</v>
      </c>
      <c r="D58" s="19" t="str">
        <v>Done</v>
      </c>
      <c r="E58" s="14"/>
    </row>
    <row r="59">
      <c r="A59" s="175">
        <v>46073</v>
      </c>
      <c r="B59" s="133" t="str">
        <v>Instagram - MAPID Academy</v>
      </c>
      <c r="C59" s="88" t="str">
        <v>MAPID Academy B15 ditutup (IGs)</v>
      </c>
      <c r="D59" s="19" t="str">
        <v>Done</v>
      </c>
      <c r="E59" s="14"/>
    </row>
    <row r="60">
      <c r="A60" s="175"/>
      <c r="B60" s="133" t="str">
        <v>WAG - Community</v>
      </c>
      <c r="C60" s="88" t="str">
        <v>Boost MAB15 Reminder &amp; ditutup jam 1</v>
      </c>
      <c r="D60" s="19" t="str">
        <v>Done</v>
      </c>
      <c r="E60" s="14"/>
    </row>
    <row r="61">
      <c r="A61" s="175"/>
      <c r="B61" s="133" t="str">
        <v>LinkedIn - Newsletter</v>
      </c>
      <c r="C61" s="88" t="str">
        <v>How the Beginning of Ramadan Is Determined Spatially</v>
      </c>
      <c r="D61" s="19" t="str">
        <v>Done</v>
      </c>
      <c r="E61" s="14"/>
    </row>
    <row r="62">
      <c r="A62" s="175">
        <v>46077</v>
      </c>
      <c r="B62" s="133"/>
      <c r="C62" s="88"/>
      <c r="D62" s="19"/>
      <c r="E62" s="14"/>
    </row>
    <row r="63">
      <c r="A63" s="175"/>
      <c r="B63" s="133" t="str">
        <v>WAG - Community</v>
      </c>
      <c r="C63" s="88" t="str">
        <v>Surveyor Gorontalo ke Community &amp; boost MAPID App challenge</v>
      </c>
      <c r="D63" s="19" t="str">
        <v>Done</v>
      </c>
      <c r="E63" s="14"/>
    </row>
    <row r="64">
      <c r="A64" s="175">
        <v>46079</v>
      </c>
      <c r="B64" s="133" t="str">
        <v>LinkedIn - Newsletter</v>
      </c>
      <c r="C64" s="88" t="str">
        <v>From Field Data to Business Decisions</v>
      </c>
      <c r="D64" s="19" t="str">
        <v>Done</v>
      </c>
      <c r="E64" s="14"/>
    </row>
    <row r="65">
      <c r="A65" s="175"/>
      <c r="B65" s="133" t="str">
        <v>WAG - Community</v>
      </c>
      <c r="C65" s="88" t="str">
        <v>perpanjang MAPID App challenge closed</v>
      </c>
      <c r="D65" s="19" t="str">
        <v>Done</v>
      </c>
      <c r="E65" s="14"/>
    </row>
    <row r="66">
      <c r="A66" s="175"/>
      <c r="B66" s="133"/>
      <c r="C66" s="88"/>
      <c r="D66" s="19"/>
      <c r="E66" s="14"/>
    </row>
    <row r="67">
      <c r="A67" s="175">
        <v>46080</v>
      </c>
      <c r="B67" s="133" t="str">
        <v>LinkedIn - Newsletter</v>
      </c>
      <c r="C67" s="88" t="str">
        <v>Maps Don't Create Insight. Analysis Does</v>
      </c>
      <c r="D67" s="19" t="str">
        <v>Done</v>
      </c>
      <c r="E67" s="14"/>
    </row>
    <row r="68">
      <c r="A68" s="175"/>
      <c r="B68" s="133" t="str">
        <v>Instagram - MAPID SEE IT</v>
      </c>
      <c r="C68" s="88" t="str">
        <v>IGs (Surveyor Gorontalo)</v>
      </c>
      <c r="D68" s="19" t="str">
        <v>Done</v>
      </c>
      <c r="E68" s="14"/>
    </row>
    <row r="69">
      <c r="A69" s="175"/>
      <c r="B69" s="133" t="str">
        <v>WAG - Community</v>
      </c>
      <c r="C69" s="88" t="str">
        <v>Surveyor Gorontalo &amp; Closing Property Challenge Week 2</v>
      </c>
      <c r="D69" s="19" t="str">
        <v>Done</v>
      </c>
      <c r="E69" s="14"/>
    </row>
    <row r="70">
      <c r="A70" s="175">
        <v>46083</v>
      </c>
      <c r="B70" s="133"/>
      <c r="C70" s="88"/>
      <c r="D70" s="19"/>
      <c r="E70" s="14"/>
    </row>
    <row r="71">
      <c r="A71" s="175"/>
      <c r="B71" s="133"/>
      <c r="C71" s="88"/>
      <c r="D71" s="19"/>
      <c r="E71" s="14"/>
    </row>
    <row r="72">
      <c r="A72" s="175"/>
      <c r="B72" s="133" t="str">
        <v>WAG - Community</v>
      </c>
      <c r="C72" s="88" t="str">
        <v>Surveyor Gorontalo &amp; New Challenge</v>
      </c>
      <c r="D72" s="19" t="str">
        <v>Done</v>
      </c>
      <c r="E72" s="14"/>
    </row>
    <row r="73">
      <c r="A73" s="175">
        <v>46084</v>
      </c>
      <c r="B73" s="133"/>
      <c r="C73" s="88"/>
      <c r="D73" s="19"/>
      <c r="E73" s="14"/>
    </row>
    <row r="74">
      <c r="A74" s="175"/>
      <c r="B74" s="133" t="str">
        <v>Instagram - MAPID SEE IT</v>
      </c>
      <c r="C74" s="88" t="str">
        <v>Surveyor Gorontalo</v>
      </c>
      <c r="D74" s="19" t="str">
        <v>Done</v>
      </c>
      <c r="E74" s="14"/>
    </row>
    <row r="75">
      <c r="A75" s="175"/>
      <c r="B75" s="133" t="str">
        <v>WAG - Community</v>
      </c>
      <c r="C75" s="88" t="str">
        <v>Surveyor Gorontalo &amp; New Challenge</v>
      </c>
      <c r="D75" s="19" t="str">
        <v>Done</v>
      </c>
      <c r="E75" s="14"/>
    </row>
    <row r="76">
      <c r="A76" s="175">
        <v>46086</v>
      </c>
      <c r="B76" s="133"/>
      <c r="C76" s="88"/>
      <c r="D76" s="19"/>
      <c r="E76" s="14"/>
    </row>
    <row r="77">
      <c r="A77" s="175"/>
      <c r="B77" s="133" t="str">
        <v>Instagram - MAPID SEE IT</v>
      </c>
      <c r="C77" s="88" t="str">
        <v>Surveyor Nabati</v>
      </c>
      <c r="D77" s="19" t="str">
        <v>Done</v>
      </c>
      <c r="E77" s="14"/>
    </row>
    <row r="78">
      <c r="A78" s="175"/>
      <c r="B78" s="133" t="str">
        <v>WAG - Community</v>
      </c>
      <c r="C78" s="88" t="str">
        <v>Surveyor Nabati</v>
      </c>
      <c r="D78" s="19" t="str">
        <v>Done</v>
      </c>
      <c r="E78" s="14"/>
    </row>
    <row r="79">
      <c r="A79" s="175">
        <v>46087</v>
      </c>
      <c r="B79" s="133"/>
      <c r="C79" s="88"/>
      <c r="D79" s="19"/>
      <c r="E79" s="14"/>
    </row>
    <row r="80">
      <c r="A80" s="175"/>
      <c r="B80" s="133" t="str">
        <v>Instagram - MAPID SEE IT</v>
      </c>
      <c r="C80" s="88" t="str">
        <v>Visualisasi US-Israel vs Iran</v>
      </c>
      <c r="D80" s="19" t="str">
        <v>Done</v>
      </c>
      <c r="E80" s="14"/>
    </row>
    <row r="81">
      <c r="A81" s="175"/>
      <c r="B81" s="133" t="str">
        <v>WAG - Community</v>
      </c>
      <c r="C81" s="88" t="str">
        <v>Koordinator Surveyor Nabati</v>
      </c>
      <c r="D81" s="19" t="str">
        <v>Done</v>
      </c>
      <c r="E81" s="14"/>
    </row>
    <row r="82">
      <c r="A82" s="175">
        <v>46090</v>
      </c>
      <c r="B82" s="133" t="str">
        <v>LinkedIn - Newsletter</v>
      </c>
      <c r="C82" s="88" t="str">
        <v>Aceh sekarang</v>
      </c>
      <c r="D82" s="19" t="str">
        <v>Done</v>
      </c>
      <c r="E82" s="14"/>
    </row>
    <row r="83">
      <c r="A83" s="175"/>
      <c r="B83" s="133" t="str">
        <v>Instagram - MAPID SEE IT</v>
      </c>
      <c r="C83" s="88" t="str">
        <v>Padel</v>
      </c>
      <c r="D83" s="19" t="str">
        <v>Done</v>
      </c>
      <c r="E83" s="14"/>
    </row>
    <row r="84">
      <c r="A84" s="175"/>
      <c r="B84" s="133" t="str">
        <v>WAG - Community</v>
      </c>
      <c r="C84" s="88" t="str">
        <v>Hiring - Karlo (Alumni Academy)</v>
      </c>
      <c r="D84" s="19" t="str">
        <v>Done</v>
      </c>
      <c r="E84" s="14"/>
    </row>
    <row r="85">
      <c r="A85" s="175">
        <v>46091</v>
      </c>
      <c r="B85" s="133"/>
      <c r="C85" s="88"/>
      <c r="D85" s="19"/>
      <c r="E85" s="14"/>
    </row>
    <row r="86">
      <c r="A86" s="175"/>
      <c r="B86" s="133" t="str">
        <v>Instagram - MAPID SEE IT</v>
      </c>
      <c r="C86" s="88" t="str">
        <v>Jalur Tercepat vs Terpendek, Kamu Pilih yang Mana?</v>
      </c>
      <c r="D86" s="19" t="str">
        <v>Done</v>
      </c>
      <c r="E86" s="14"/>
    </row>
    <row r="87">
      <c r="A87" s="175"/>
      <c r="B87" s="133"/>
      <c r="C87" s="88"/>
      <c r="D87" s="19"/>
      <c r="E87" s="14"/>
    </row>
    <row r="88">
      <c r="A88" s="175">
        <v>46092</v>
      </c>
      <c r="B88" s="133"/>
      <c r="C88" s="88"/>
      <c r="D88" s="19"/>
      <c r="E88" s="14"/>
    </row>
    <row r="89">
      <c r="A89" s="175"/>
      <c r="B89" s="133" t="str">
        <v>Instagram - MAPID SEE IT</v>
      </c>
      <c r="C89" s="88" t="str">
        <v>Dubai cui</v>
      </c>
      <c r="D89" s="19" t="str">
        <v>Done</v>
      </c>
      <c r="E89" s="14"/>
    </row>
    <row r="90">
      <c r="A90" s="175"/>
      <c r="B90" s="133" t="str">
        <v>WAG - Community</v>
      </c>
      <c r="C90" s="88" t="str">
        <v>sharing insight</v>
      </c>
      <c r="D90" s="19" t="str">
        <v>Done</v>
      </c>
      <c r="E90" s="14"/>
    </row>
    <row r="91">
      <c r="A91" s="175">
        <v>46093</v>
      </c>
      <c r="B91" s="133"/>
      <c r="C91" s="88"/>
      <c r="D91" s="19"/>
      <c r="E91" s="14"/>
    </row>
    <row r="92">
      <c r="A92" s="175"/>
      <c r="B92" s="133" t="str">
        <v>LinkedIn - Newsletter</v>
      </c>
      <c r="C92" s="88" t="str">
        <v>Understanding the Unmapped Economy</v>
      </c>
      <c r="D92" s="19" t="str">
        <v>Done</v>
      </c>
      <c r="E92" s="14"/>
    </row>
    <row r="93">
      <c r="A93" s="175"/>
      <c r="B93" s="133"/>
      <c r="C93" s="88"/>
      <c r="D93" s="19"/>
      <c r="E93" s="14"/>
    </row>
    <row r="94">
      <c r="A94" s="175">
        <v>46094</v>
      </c>
      <c r="B94" s="133" t="str">
        <v>Instagram - MAPID SEE IT</v>
      </c>
      <c r="C94" s="88" t="str">
        <v>QGIS Untuk Analisis Struktur Geologi Dalam Eksplorasi</v>
      </c>
      <c r="D94" s="19" t="str">
        <v>Done</v>
      </c>
      <c r="E94" s="14"/>
    </row>
    <row r="95">
      <c r="A95" s="175"/>
      <c r="B95" s="133"/>
      <c r="C95" s="88"/>
      <c r="D95" s="19"/>
      <c r="E95" s="14"/>
    </row>
    <row r="96">
      <c r="A96" s="175"/>
      <c r="B96" s="133"/>
      <c r="C96" s="88"/>
      <c r="D96" s="19"/>
      <c r="E96" s="14"/>
    </row>
    <row r="97">
      <c r="A97" s="175">
        <v>46097</v>
      </c>
      <c r="B97" s="133" t="str">
        <v>Instagram - MAPID SEE IT</v>
      </c>
      <c r="C97" s="88" t="str">
        <v>Thematic Class</v>
      </c>
      <c r="D97" s="19" t="str">
        <v>Done</v>
      </c>
      <c r="E97" s="14"/>
    </row>
    <row r="98">
      <c r="A98" s="175"/>
      <c r="B98" s="133"/>
      <c r="C98" s="88"/>
      <c r="D98" s="19"/>
      <c r="E98" s="14"/>
    </row>
    <row r="99">
      <c r="A99" s="175"/>
      <c r="B99" s="133"/>
      <c r="C99" s="88"/>
      <c r="D99" s="19"/>
      <c r="E99" s="14"/>
    </row>
    <row r="100">
      <c r="A100" s="175">
        <v>46098</v>
      </c>
      <c r="B100" s="133" t="str">
        <v>Instagram - MAPID SEE IT</v>
      </c>
      <c r="C100" s="88" t="str">
        <v>Masjid Istiqlal</v>
      </c>
      <c r="D100" s="19" t="str">
        <v>Done</v>
      </c>
      <c r="E100" s="14"/>
    </row>
    <row r="101">
      <c r="A101" s="175"/>
      <c r="B101" s="133" t="str">
        <v>WAG - Community</v>
      </c>
      <c r="C101" s="88" t="str">
        <v>followup thematic class</v>
      </c>
      <c r="D101" s="19" t="str">
        <v>Done</v>
      </c>
      <c r="E101" s="14"/>
    </row>
    <row r="102">
      <c r="A102" s="175"/>
      <c r="B102" s="133"/>
      <c r="C102" s="88"/>
      <c r="D102" s="19"/>
      <c r="E102" s="14"/>
    </row>
    <row r="103">
      <c r="A103" s="175">
        <v>46099</v>
      </c>
      <c r="B103" s="133" t="str">
        <v>Instagram - MAPID SEE IT</v>
      </c>
      <c r="C103" s="88" t="str">
        <v>Bumi Kita Penuh Data. Sudah Tau?</v>
      </c>
      <c r="D103" s="19" t="str">
        <v>Done</v>
      </c>
      <c r="E103" s="14"/>
    </row>
    <row r="104">
      <c r="A104" s="175"/>
      <c r="B104" s="133" t="str">
        <v>WAG - Community</v>
      </c>
      <c r="C104" s="88" t="str">
        <v>followup thematic class</v>
      </c>
      <c r="D104" s="19" t="str">
        <v>Done</v>
      </c>
      <c r="E104" s="14"/>
    </row>
    <row r="105">
      <c r="A105" s="175"/>
      <c r="B105" s="133"/>
      <c r="C105" s="88"/>
      <c r="D105" s="19"/>
      <c r="E105" s="14"/>
    </row>
    <row r="106">
      <c r="A106" s="175">
        <v>46108</v>
      </c>
      <c r="B106" s="133" t="str">
        <v>Instagram - MAPID SEE IT</v>
      </c>
      <c r="C106" s="88" t="str">
        <v>Bandung Macet</v>
      </c>
      <c r="D106" s="19" t="str">
        <v>Done</v>
      </c>
      <c r="E106" s="14"/>
    </row>
    <row r="107">
      <c r="A107" s="175"/>
      <c r="B107" s="133" t="str">
        <v>WAG - Community</v>
      </c>
      <c r="C107" s="88" t="str">
        <v>followup thematic class</v>
      </c>
      <c r="D107" s="19" t="str">
        <v>Done</v>
      </c>
      <c r="E107" s="14"/>
    </row>
    <row r="108">
      <c r="A108" s="175"/>
      <c r="B108" s="133"/>
      <c r="C108" s="88"/>
      <c r="D108" s="19"/>
      <c r="E108" s="14"/>
    </row>
    <row r="109">
      <c r="A109" s="175">
        <v>46108</v>
      </c>
      <c r="B109" s="133" t="str">
        <v>Instagram - MAPID SEE IT</v>
      </c>
      <c r="C109" s="88" t="str">
        <v>alfa vs indomaret</v>
      </c>
      <c r="D109" s="19" t="str">
        <v>Done</v>
      </c>
      <c r="E109" s="14"/>
    </row>
    <row r="110">
      <c r="A110" s="175"/>
      <c r="B110" s="133" t="str">
        <v>WAG - Community</v>
      </c>
      <c r="C110" s="88" t="str">
        <v>sharing insight</v>
      </c>
      <c r="D110" s="19" t="str">
        <v>Done</v>
      </c>
      <c r="E110" s="14"/>
    </row>
    <row r="111">
      <c r="A111" s="175"/>
      <c r="B111" s="133" t="str">
        <v>LinkedIn - Newsletter</v>
      </c>
      <c r="C111" s="88" t="str">
        <v>pokemon go</v>
      </c>
      <c r="D111" s="19" t="str">
        <v>Done</v>
      </c>
      <c r="E111" s="14"/>
    </row>
    <row r="112">
      <c r="A112" s="175">
        <v>46114</v>
      </c>
      <c r="B112" s="133"/>
      <c r="C112" s="88"/>
      <c r="D112" s="19"/>
      <c r="E112" s="14"/>
    </row>
    <row r="113">
      <c r="A113" s="175"/>
      <c r="B113" s="133"/>
      <c r="C113" s="88"/>
      <c r="D113" s="19"/>
      <c r="E113" s="14"/>
    </row>
    <row r="114">
      <c r="A114" s="175"/>
      <c r="B114" s="133" t="str">
        <v>LinkedIn - Newsletter</v>
      </c>
      <c r="C114" s="88" t="str">
        <v>videographer di penjara</v>
      </c>
      <c r="D114" s="19" t="str">
        <v>Done</v>
      </c>
      <c r="E114" s="14"/>
    </row>
    <row r="115">
      <c r="A115" s="175">
        <v>46118</v>
      </c>
      <c r="B115" s="133"/>
      <c r="C115" s="88"/>
      <c r="D115" s="19"/>
      <c r="E115" s="14"/>
    </row>
    <row r="116">
      <c r="A116" s="175"/>
      <c r="B116" s="133"/>
      <c r="C116" s="88"/>
      <c r="D116" s="19"/>
      <c r="E116" s="14"/>
    </row>
    <row r="117">
      <c r="A117" s="175"/>
      <c r="B117" s="133" t="str">
        <v>Instagram - MAPID SEE IT</v>
      </c>
      <c r="C117" s="88" t="str">
        <v>videographer di penjara</v>
      </c>
      <c r="D117" s="19" t="str">
        <v>Done</v>
      </c>
      <c r="E117" s="14"/>
    </row>
    <row r="118">
      <c r="A118" s="175">
        <v>46119</v>
      </c>
      <c r="B118" s="133"/>
      <c r="C118" s="88"/>
      <c r="D118" s="19"/>
      <c r="E118" s="14"/>
    </row>
    <row r="119">
      <c r="A119" s="175"/>
      <c r="B119" s="133"/>
      <c r="C119" s="88"/>
      <c r="D119" s="19"/>
      <c r="E119" s="14"/>
    </row>
    <row r="120">
      <c r="A120" s="175"/>
      <c r="B120" s="133" t="str">
        <v>Instagram - MAPID Academy</v>
      </c>
      <c r="C120" s="88" t="str">
        <v>GEO MAGIC (Academy)</v>
      </c>
      <c r="D120" s="19" t="str">
        <v>Done</v>
      </c>
      <c r="E120" s="14"/>
    </row>
    <row r="121">
      <c r="A121" s="175">
        <v>46120</v>
      </c>
      <c r="B121" s="133"/>
      <c r="C121" s="88"/>
      <c r="D121" s="19"/>
      <c r="E121" s="14"/>
    </row>
    <row r="122">
      <c r="A122" s="175"/>
      <c r="B122" s="133"/>
      <c r="C122" s="88"/>
      <c r="D122" s="19"/>
      <c r="E122" s="14"/>
    </row>
    <row r="123">
      <c r="A123" s="175"/>
      <c r="B123" s="133" t="str">
        <v>Instagram - MAPID SEE IT</v>
      </c>
      <c r="C123" s="88" t="str">
        <v>MAPID Apps color hunt</v>
      </c>
      <c r="D123" s="19" t="str">
        <v>Done</v>
      </c>
      <c r="E123" s="14"/>
    </row>
    <row r="124">
      <c r="A124" s="175">
        <v>46121</v>
      </c>
      <c r="B124" s="133"/>
      <c r="C124" s="88"/>
      <c r="D124" s="19"/>
      <c r="E124" s="14"/>
    </row>
    <row r="125">
      <c r="A125" s="175"/>
      <c r="B125" s="133"/>
      <c r="C125" s="88"/>
      <c r="D125" s="19"/>
      <c r="E125" s="14"/>
    </row>
    <row r="126">
      <c r="A126" s="175"/>
      <c r="B126" s="133" t="str">
        <v>Instagram - MAPID Academy</v>
      </c>
      <c r="C126" s="88" t="str">
        <v>Posting foto bisa bocorin lokasi kamu?</v>
      </c>
      <c r="D126" s="19" t="str">
        <v>Done</v>
      </c>
      <c r="E126" s="14"/>
    </row>
    <row r="127">
      <c r="A127" s="175">
        <v>46122</v>
      </c>
      <c r="B127" s="133"/>
      <c r="C127" s="88"/>
      <c r="D127" s="19"/>
      <c r="E127" s="14"/>
    </row>
    <row r="128">
      <c r="A128" s="175"/>
      <c r="B128" s="133"/>
      <c r="C128" s="88"/>
      <c r="D128" s="19"/>
      <c r="E128" s="14"/>
    </row>
    <row r="129">
      <c r="A129" s="175"/>
      <c r="B129" s="133" t="str">
        <v>Instagram - MAPID SEE IT</v>
      </c>
      <c r="C129" s="88" t="str">
        <v>Kenapa Ada yang Dapat MBG Lebih Banyak?</v>
      </c>
      <c r="D129" s="19" t="str">
        <v>Done</v>
      </c>
      <c r="E129" s="14"/>
    </row>
    <row r="130">
      <c r="A130" s="175">
        <v>46126</v>
      </c>
      <c r="B130" s="133"/>
      <c r="C130" s="88"/>
      <c r="D130" s="19"/>
      <c r="E130" s="14"/>
    </row>
    <row r="131">
      <c r="A131" s="175"/>
      <c r="B131" s="133" t="str">
        <v>Instagram - MAPID Academy</v>
      </c>
      <c r="C131" s="88" t="str">
        <v>FURAB</v>
      </c>
      <c r="D131" s="19" t="str">
        <v>Done</v>
      </c>
      <c r="E131" s="14"/>
    </row>
    <row r="132">
      <c r="A132" s="175"/>
      <c r="B132" s="133" t="str">
        <v>Instagram - MAPID SEE IT</v>
      </c>
      <c r="C132" s="88" t="str">
        <v>Kenapa ada yang dapat lebih banyak.. dan ada yang tidak?</v>
      </c>
      <c r="D132" s="19" t="str">
        <v>Done</v>
      </c>
      <c r="E132" s="14"/>
    </row>
    <row r="133">
      <c r="A133" s="175">
        <v>46127</v>
      </c>
      <c r="B133" s="133"/>
      <c r="C133" s="88"/>
      <c r="D133" s="19"/>
      <c r="E133" s="14"/>
    </row>
    <row r="134">
      <c r="A134" s="175"/>
      <c r="B134" s="133"/>
      <c r="C134" s="88"/>
      <c r="D134" s="19"/>
      <c r="E134" s="14"/>
    </row>
    <row r="135">
      <c r="A135" s="175"/>
      <c r="B135" s="133" t="str">
        <v>Instagram - MAPID SEE IT</v>
      </c>
      <c r="C135" s="88" t="str" xml:space="preserve">
        <v>GEO Assisted </v>
      </c>
      <c r="D135" s="19" t="str">
        <v>In Progress</v>
      </c>
      <c r="E135" s="14"/>
    </row>
    <row r="136">
      <c r="A136" s="175">
        <v>46128</v>
      </c>
      <c r="B136" s="133"/>
      <c r="C136" s="88"/>
      <c r="D136" s="19"/>
      <c r="E136" s="14"/>
    </row>
    <row r="137">
      <c r="A137" s="175"/>
      <c r="B137" s="133"/>
      <c r="C137" s="88"/>
      <c r="D137" s="19"/>
      <c r="E137" s="14"/>
    </row>
    <row r="138">
      <c r="A138" s="175"/>
      <c r="B138" s="133"/>
      <c r="C138" s="88"/>
      <c r="D138" s="19"/>
      <c r="E138" s="14"/>
    </row>
    <row r="139">
      <c r="E139" s="14"/>
    </row>
    <row r="140">
      <c r="E140" s="14"/>
    </row>
    <row r="141">
      <c r="E141" s="14"/>
    </row>
    <row r="142">
      <c r="E142" s="14"/>
    </row>
    <row r="143">
      <c r="E143" s="14"/>
    </row>
    <row r="144">
      <c r="E144" s="14"/>
    </row>
    <row r="145">
      <c r="E145" s="14"/>
    </row>
    <row r="146">
      <c r="E146" s="14"/>
    </row>
    <row r="147">
      <c r="E147" s="14"/>
    </row>
    <row r="148">
      <c r="E148" s="14"/>
    </row>
    <row r="149">
      <c r="E149" s="14"/>
    </row>
    <row r="150">
      <c r="E150" s="14"/>
    </row>
    <row r="151">
      <c r="E151" s="14"/>
    </row>
    <row r="152">
      <c r="E152" s="14"/>
    </row>
    <row r="153">
      <c r="E153" s="14"/>
    </row>
    <row r="154">
      <c r="E154" s="14"/>
    </row>
    <row r="155">
      <c r="E155" s="14"/>
    </row>
    <row r="156">
      <c r="E156" s="14"/>
    </row>
    <row r="157">
      <c r="E157" s="14"/>
    </row>
    <row r="158">
      <c r="E158" s="14"/>
    </row>
    <row r="159">
      <c r="E159" s="14"/>
    </row>
    <row r="160">
      <c r="E160" s="14"/>
    </row>
    <row r="161">
      <c r="E161" s="14"/>
    </row>
    <row r="162">
      <c r="E162" s="14"/>
    </row>
    <row r="163">
      <c r="E163" s="14"/>
    </row>
    <row r="164">
      <c r="E164" s="14"/>
    </row>
    <row r="165">
      <c r="E165" s="14"/>
    </row>
    <row r="166">
      <c r="E166" s="14"/>
    </row>
    <row r="167">
      <c r="E167" s="14"/>
    </row>
    <row r="168">
      <c r="E168" s="14"/>
    </row>
    <row r="169">
      <c r="E169" s="14"/>
    </row>
    <row r="170">
      <c r="E170" s="14"/>
    </row>
    <row r="171">
      <c r="E171" s="14"/>
    </row>
    <row r="172">
      <c r="E172" s="14"/>
    </row>
    <row r="173">
      <c r="E173" s="14"/>
    </row>
    <row r="174">
      <c r="E174" s="14"/>
    </row>
    <row r="175">
      <c r="E175" s="14"/>
    </row>
    <row r="176">
      <c r="E176" s="14"/>
    </row>
    <row r="177">
      <c r="E177" s="14"/>
    </row>
    <row r="178">
      <c r="E178" s="14"/>
    </row>
    <row r="179">
      <c r="E179" s="14"/>
    </row>
    <row r="180">
      <c r="E180" s="14"/>
    </row>
    <row r="181">
      <c r="E181" s="14"/>
    </row>
    <row r="182">
      <c r="E182" s="14"/>
    </row>
    <row r="183">
      <c r="E183" s="14"/>
    </row>
    <row r="184">
      <c r="E184" s="14"/>
    </row>
    <row r="185">
      <c r="E185" s="14"/>
    </row>
    <row r="186">
      <c r="E186" s="14"/>
    </row>
    <row r="187">
      <c r="E187" s="14"/>
    </row>
    <row r="188">
      <c r="E188" s="14"/>
    </row>
    <row r="189">
      <c r="E189" s="14"/>
    </row>
    <row r="190">
      <c r="E190" s="14"/>
    </row>
    <row r="191">
      <c r="E191" s="14"/>
    </row>
  </sheetData>
  <mergeCells>
    <mergeCell ref="A10:A12"/>
    <mergeCell ref="A8:A9"/>
    <mergeCell ref="A13:A15"/>
    <mergeCell ref="A16:A17"/>
    <mergeCell ref="A20:A21"/>
    <mergeCell ref="A18:A19"/>
    <mergeCell ref="A22:A23"/>
    <mergeCell ref="A24:A25"/>
    <mergeCell ref="A32:A34"/>
    <mergeCell ref="A35:A37"/>
    <mergeCell ref="A38:A40"/>
    <mergeCell ref="A41:A43"/>
    <mergeCell ref="A44:A46"/>
    <mergeCell ref="A47:A49"/>
    <mergeCell ref="A50:A52"/>
    <mergeCell ref="A53:A55"/>
    <mergeCell ref="A56:A58"/>
    <mergeCell ref="A59:A61"/>
    <mergeCell ref="A64:A66"/>
    <mergeCell ref="A62:A63"/>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s>
  <dataValidations count="2">
    <dataValidation allowBlank="true" errorStyle="stop" showErrorMessage="true" sqref="D2:D138" type="list">
      <formula1>"Done,In Progress"</formula1>
    </dataValidation>
    <dataValidation allowBlank="true" errorStyle="stop" showErrorMessage="true" sqref="B2:B138" type="list">
      <formula1>"LinkedIn - Newsletter,LinkedIn - Post,Instagram - MAPID SEE IT,Instagram - MAPID Academy,TikTok,WAG - Community,YouTube - Shorts,YouTube - Long Video"</formula1>
    </dataValidation>
  </dataValidations>
  <hyperlinks>
    <hyperlink ref="E2" display="https://www.instagram.com/p/DSwRhxhkTGm/" r:id="rId1"/>
    <hyperlink ref="E3" display="https://www.instagram.com/p/DTIKFCGj_2X/?utm_source=ig_web_copy_link&amp;igsh=NTc4MTIwNjQ2YQ==" r:id="rId2"/>
    <hyperlink ref="E6" display="https://www.instagram.com/p/DTIKFCGj_2X/?utm_source=ig_web_copy_link&amp;igsh=NTc4MTIwNjQ2YQ==" r:id="rId3"/>
    <hyperlink ref="E7" display="https://www.instagram.com/p/DTIKFCGj_2X/?utm_source=ig_web_copy_link&amp;igsh=NTc4MTIwNjQ2YQ==" r:id="rId4"/>
    <hyperlink ref="E8" display="https://www.instagram.com/p/DTIKFCGj_2X/?utm_source=ig_web_copy_link&amp;igsh=NTc4MTIwNjQ2YQ==" r:id="rId5"/>
    <hyperlink ref="C17" display="Running to Heal: Running, Mental Wellness, and Spatial Business Opportunities in Bandung" r:id="rId6"/>
  </hyperlink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6"/>
    <col collapsed="false" customWidth="true" hidden="false" max="2" min="2" style="0" width="15"/>
    <col collapsed="false" customWidth="true" hidden="false" max="3" min="3" style="0" width="15"/>
    <col collapsed="false" customWidth="true" hidden="false" max="4" min="4" style="0" width="15"/>
    <col collapsed="false" customWidth="true" hidden="false" max="5" min="5" style="0" width="16"/>
    <col collapsed="false" customWidth="true" hidden="false" max="6" min="6" style="0" width="13"/>
    <col collapsed="false" customWidth="true" hidden="false" max="10" min="10" style="0" width="14"/>
  </cols>
  <sheetData>
    <row r="1">
      <c r="A1" s="181" t="str">
        <v>[Q1] B2C PRODUCT</v>
      </c>
      <c r="B1" s="181" t="str">
        <v>PESIMISTIC</v>
      </c>
      <c r="C1" s="181" t="str">
        <v>REALISTIC</v>
      </c>
      <c r="D1" s="181" t="str">
        <v>OPTIMISTIC</v>
      </c>
      <c r="E1" s="181" t="str">
        <v>PROGRESS</v>
      </c>
      <c r="F1" s="182" t="str">
        <v>PERCENTAGE</v>
      </c>
      <c r="G1" s="14"/>
      <c r="I1" s="14"/>
      <c r="J1" s="14"/>
    </row>
    <row r="2">
      <c r="A2" s="183" t="str">
        <v>MAPID Academy</v>
      </c>
      <c r="B2" s="184"/>
      <c r="C2" s="184">
        <v>60000000</v>
      </c>
      <c r="D2" s="6"/>
      <c r="E2" s="185">
        <v>72882000</v>
      </c>
      <c r="F2" s="187">
        <f>E2/C2</f>
      </c>
      <c r="G2" s="186"/>
      <c r="I2" s="14"/>
      <c r="J2" s="14" t="str" xml:space="preserve">
        <v> </v>
      </c>
    </row>
    <row r="3">
      <c r="A3" s="183" t="str">
        <v>Platform</v>
      </c>
      <c r="B3" s="188"/>
      <c r="C3" s="188">
        <v>40000000</v>
      </c>
      <c r="D3" s="188"/>
      <c r="E3" s="185">
        <v>27521340</v>
      </c>
      <c r="F3" s="187">
        <f>E3/C3</f>
      </c>
      <c r="G3" s="186" t="str" xml:space="preserve">
        <v> </v>
      </c>
    </row>
    <row r="4">
      <c r="C4">
        <f>SUM(C2:C3)</f>
      </c>
      <c r="E4">
        <f>SUM(E2:E3)</f>
      </c>
      <c r="H4" s="16"/>
      <c r="I4" s="16"/>
    </row>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16"/>
    <col collapsed="false" customWidth="true" hidden="false" max="3" min="3" style="0" width="16"/>
    <col collapsed="false" customWidth="true" hidden="false" max="4" min="4" style="0" width="16"/>
  </cols>
  <sheetData>
    <row r="1">
      <c r="A1" s="181" t="str">
        <v>[Q1] B2B PRODUCT</v>
      </c>
      <c r="B1" s="181" t="str">
        <v>PESIMISTIC</v>
      </c>
      <c r="C1" s="181" t="str">
        <v>REALISTIC</v>
      </c>
      <c r="D1" s="181" t="str">
        <v>OPTIMISTIC</v>
      </c>
      <c r="E1" s="181" t="str">
        <v>PROGRESS</v>
      </c>
      <c r="F1" s="182" t="str">
        <v>PERCENTAGE</v>
      </c>
      <c r="G1" s="14"/>
    </row>
    <row r="2">
      <c r="A2" s="183" t="str">
        <v>ENTERPRISE</v>
      </c>
      <c r="B2" s="184">
        <v>1000000000</v>
      </c>
      <c r="C2" s="184">
        <v>1600000000</v>
      </c>
      <c r="D2" s="184">
        <v>1860000000</v>
      </c>
      <c r="E2" s="185">
        <v>875722054</v>
      </c>
      <c r="F2" s="187">
        <f>E2/C2</f>
      </c>
      <c r="G2" s="14"/>
    </row>
  </sheetData>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6"/>
    <col collapsed="false" customWidth="true" hidden="false" max="2" min="2" style="0" width="15"/>
    <col collapsed="false" customWidth="true" hidden="false" max="3" min="3" style="0" width="15"/>
    <col collapsed="false" customWidth="true" hidden="false" max="4" min="4" style="0" width="15"/>
    <col collapsed="false" customWidth="true" hidden="false" max="5" min="5" style="0" width="16"/>
    <col collapsed="false" customWidth="true" hidden="false" max="6" min="6" style="0" width="13"/>
    <col collapsed="false" customWidth="true" hidden="false" max="10" min="10" style="0" width="14"/>
  </cols>
  <sheetData>
    <row r="1">
      <c r="A1" s="181" t="str">
        <v>[Q1] B2C PRODUCT</v>
      </c>
      <c r="B1" s="181" t="str">
        <v>PESIMISTIC</v>
      </c>
      <c r="C1" s="181" t="str">
        <v>REALISTIC</v>
      </c>
      <c r="D1" s="181" t="str">
        <v>OPTIMISTIC</v>
      </c>
      <c r="E1" s="181" t="str">
        <v>PROGRESS</v>
      </c>
      <c r="F1" s="182" t="str">
        <v>PERCENTAGE</v>
      </c>
      <c r="G1" s="14"/>
      <c r="I1" s="14"/>
      <c r="J1" s="14"/>
    </row>
    <row r="2">
      <c r="A2" s="183" t="str">
        <v>MAPID Academy</v>
      </c>
      <c r="B2" s="184">
        <v>0</v>
      </c>
      <c r="C2" s="184">
        <v>60000000</v>
      </c>
      <c r="D2" s="184">
        <v>0</v>
      </c>
      <c r="E2" s="185">
        <v>0</v>
      </c>
      <c r="F2" s="187">
        <f>E2/C2</f>
      </c>
      <c r="G2" s="186"/>
      <c r="I2" s="14"/>
    </row>
    <row r="3">
      <c r="A3" s="183" t="str">
        <v>Platform</v>
      </c>
      <c r="B3" s="188">
        <v>0</v>
      </c>
      <c r="C3" s="188">
        <v>40000000</v>
      </c>
      <c r="D3" s="188">
        <v>0</v>
      </c>
      <c r="E3" s="185">
        <v>2870460</v>
      </c>
      <c r="F3" s="187">
        <f>E3/C3</f>
      </c>
      <c r="G3" s="186" t="str" xml:space="preserve">
        <v> </v>
      </c>
    </row>
    <row r="4">
      <c r="H4" s="16"/>
      <c r="I4" s="16"/>
    </row>
  </sheetData>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16"/>
    <col collapsed="false" customWidth="true" hidden="false" max="3" min="3" style="0" width="16"/>
    <col collapsed="false" customWidth="true" hidden="false" max="4" min="4" style="0" width="16"/>
  </cols>
  <sheetData>
    <row r="1">
      <c r="A1" s="181" t="str">
        <v>[Q1] B2B PRODUCT</v>
      </c>
      <c r="B1" s="181" t="str">
        <v>PESIMISTIC</v>
      </c>
      <c r="C1" s="181" t="str">
        <v>REALISTIC</v>
      </c>
      <c r="D1" s="181" t="str">
        <v>OPTIMISTIC</v>
      </c>
      <c r="E1" s="181" t="str">
        <v>PROGRESS</v>
      </c>
      <c r="F1" s="182" t="str">
        <v>PERCENTAGE</v>
      </c>
      <c r="G1" s="14" t="str">
        <v>Notes</v>
      </c>
    </row>
    <row r="2">
      <c r="A2" s="183" t="str">
        <v>ENTERPRISE</v>
      </c>
      <c r="B2" s="184">
        <v>1000000000</v>
      </c>
      <c r="C2" s="184">
        <v>1600000000</v>
      </c>
      <c r="D2" s="184">
        <v>1860000000</v>
      </c>
      <c r="E2" s="185">
        <v>0</v>
      </c>
      <c r="F2" s="187">
        <f>E2/C2</f>
      </c>
      <c r="G2" s="14"/>
    </row>
  </sheetData>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13"/>
    <col collapsed="false" customWidth="true" hidden="false" max="2" min="2" style="0" width="19"/>
    <col collapsed="false" customWidth="true" hidden="false" max="3" min="3" style="0" width="50"/>
    <col collapsed="false" customWidth="true" hidden="false" max="4" min="4" style="0" width="17"/>
    <col collapsed="false" customWidth="true" hidden="false" max="5" min="5" style="0" width="73"/>
  </cols>
  <sheetData>
    <row r="1">
      <c r="A1" s="220"/>
      <c r="B1" s="220" t="str">
        <v>Nama</v>
      </c>
      <c r="C1" s="221" t="str">
        <v>Task</v>
      </c>
      <c r="D1" s="222" t="str">
        <v>Update</v>
      </c>
      <c r="E1" s="223" t="str">
        <v>Notes</v>
      </c>
      <c r="F1" s="224" t="str">
        <v>Hambatan</v>
      </c>
    </row>
    <row r="2">
      <c r="A2" s="190">
        <v>46027</v>
      </c>
      <c r="B2" s="191" t="str">
        <v>Fariz</v>
      </c>
      <c r="C2" s="192" t="str">
        <v>Koordinasi Freelancer untuk WebGIS</v>
      </c>
      <c r="D2" s="179" t="str">
        <v>Done</v>
      </c>
      <c r="E2" s="202"/>
      <c r="F2" s="30"/>
    </row>
    <row r="3">
      <c r="A3" s="190"/>
      <c r="B3" s="191"/>
      <c r="C3" s="192" t="str" xml:space="preserve">
        <v>Checking Operasional WebGIS Mandatory </v>
      </c>
      <c r="D3" s="179" t="str">
        <v>Done</v>
      </c>
      <c r="E3" s="202"/>
      <c r="F3" s="30"/>
    </row>
    <row r="4">
      <c r="A4" s="190"/>
      <c r="B4" s="191"/>
      <c r="C4" s="179" t="str" xml:space="preserve">
        <v>Riset Course Labs untuk Q1 </v>
      </c>
      <c r="D4" s="179" t="str">
        <v>Done</v>
      </c>
      <c r="E4" s="202" t="s">
        <v>365</v>
      </c>
      <c r="F4" s="30"/>
    </row>
    <row r="5">
      <c r="A5" s="190"/>
      <c r="B5" s="191"/>
      <c r="C5" s="192"/>
      <c r="D5" s="179"/>
      <c r="E5" s="202"/>
      <c r="F5" s="30"/>
    </row>
    <row r="6">
      <c r="A6" s="190"/>
      <c r="B6" s="191"/>
      <c r="C6" s="192"/>
      <c r="D6" s="179"/>
      <c r="E6" s="202"/>
      <c r="F6" s="30"/>
    </row>
    <row r="7">
      <c r="A7" s="190"/>
      <c r="B7" s="191" t="str">
        <v>Dwi</v>
      </c>
      <c r="C7" s="200" t="str">
        <v>information update page WebGIS ✅</v>
      </c>
      <c r="D7" s="203" t="str">
        <v>Done</v>
      </c>
      <c r="E7" s="189"/>
      <c r="F7" s="30"/>
    </row>
    <row r="8">
      <c r="A8" s="190"/>
      <c r="B8" s="191"/>
      <c r="C8" s="192" t="str">
        <v>Campaign MAPID Academy - Location Analytics</v>
      </c>
      <c r="D8" s="191"/>
      <c r="E8" s="189"/>
      <c r="F8" s="30"/>
    </row>
    <row r="9">
      <c r="A9" s="190"/>
      <c r="B9" s="191"/>
      <c r="C9" s="192" t="str">
        <v>Operasional:
- Update Cashback WebGIS ✅
- Update pendaftaran, revenue,  and budget MA WebGIS ✅
- Forecast MAPID Academy WebGIS &amp; personal License ✅</v>
      </c>
      <c r="D9" s="191" t="str">
        <v>Done</v>
      </c>
      <c r="E9" s="189"/>
      <c r="F9" s="30"/>
    </row>
    <row r="10">
      <c r="A10" s="190"/>
      <c r="B10" s="191"/>
      <c r="C10" s="192" t="str">
        <v>Finish Campaign MAPID Academy WebGIs batch:
- Content 5-14 Januari
- Update Meta Ads</v>
      </c>
      <c r="D10" s="191" t="str">
        <v>Done</v>
      </c>
      <c r="E10" s="189"/>
      <c r="F10" s="30"/>
    </row>
    <row r="11">
      <c r="A11" s="190"/>
      <c r="B11" s="191"/>
      <c r="C11" s="192"/>
      <c r="D11" s="191"/>
      <c r="E11" s="189"/>
      <c r="F11" s="30"/>
    </row>
    <row r="12">
      <c r="A12" s="190"/>
      <c r="B12" s="191"/>
      <c r="C12" s="192"/>
      <c r="D12" s="191"/>
      <c r="E12" s="189"/>
      <c r="F12" s="30"/>
    </row>
    <row r="13">
      <c r="A13" s="190"/>
      <c r="B13" s="179" t="str">
        <v>Wina</v>
      </c>
      <c r="C13" s="192" t="str">
        <v>Daily content (newsletter, IG, WA Group)</v>
      </c>
      <c r="D13" s="191" t="str">
        <v>Done</v>
      </c>
      <c r="E13" s="189"/>
      <c r="F13" s="30"/>
    </row>
    <row r="14">
      <c r="A14" s="190"/>
      <c r="B14" s="179"/>
      <c r="C14" s="192" t="str">
        <v>Januari - Community
1. Free Class - WebGIS (12 Januari 2025) ✅
2. Sobat Air Jakarta (24/25 Januari)
3. Invite CM ke MAPID Apps ✅
4. Database Community ✅</v>
      </c>
      <c r="D14" s="191" t="str">
        <v>Done</v>
      </c>
      <c r="E14" s="189"/>
      <c r="F14" s="30"/>
    </row>
    <row r="15">
      <c r="A15" s="190"/>
      <c r="B15" s="179"/>
      <c r="C15" s="192" t="str">
        <v>PPT Sosmed (onboarding)</v>
      </c>
      <c r="D15" s="191" t="str">
        <v>Done</v>
      </c>
      <c r="E15" s="189" t="str">
        <v>dilanjut besok</v>
      </c>
      <c r="F15" s="30"/>
    </row>
    <row r="16">
      <c r="A16" s="190"/>
      <c r="B16" s="179"/>
      <c r="C16" s="192"/>
      <c r="D16" s="191"/>
      <c r="E16" s="189"/>
      <c r="F16" s="30"/>
    </row>
    <row r="17">
      <c r="A17" s="190"/>
      <c r="B17" s="179" t="str">
        <v>Annisa</v>
      </c>
      <c r="C17" s="192" t="str" xml:space="preserve">
        <v>ngelanjutin bikin aset design stationary/merchandise company </v>
      </c>
      <c r="D17" s="191" t="str">
        <v>Done</v>
      </c>
      <c r="E17" s="189" t="str" xml:space="preserve">
        <v> (Kop surat, pulpen, surat) (rgb &amp; cmyk)(kop sudah, lanjut pulpen)</v>
      </c>
      <c r="F17" s="30"/>
    </row>
    <row r="18">
      <c r="A18" s="190"/>
      <c r="B18" s="179"/>
      <c r="C18" s="192" t="str">
        <v>ngebenerin video youtube</v>
      </c>
      <c r="D18" s="191" t="str">
        <v>Done</v>
      </c>
      <c r="E18" s="189" t="str" xml:space="preserve">
        <v>ada perubahan durasi </v>
      </c>
      <c r="F18" s="30"/>
    </row>
    <row r="19">
      <c r="A19" s="190"/>
      <c r="B19" s="179"/>
      <c r="C19" s="192" t="str">
        <v>thumbnail youtube</v>
      </c>
      <c r="D19" s="191" t="str">
        <v>Done</v>
      </c>
      <c r="E19" s="189"/>
      <c r="F19" s="30"/>
    </row>
    <row r="20">
      <c r="A20" s="190"/>
      <c r="B20" s="179"/>
      <c r="C20" s="192" t="str">
        <v>poster 1:1 free class untuk community</v>
      </c>
      <c r="D20" s="191" t="str">
        <v>Done</v>
      </c>
      <c r="E20" s="189"/>
      <c r="F20" s="30"/>
    </row>
    <row r="21">
      <c r="A21" s="190"/>
      <c r="B21" s="179"/>
      <c r="C21" s="192"/>
      <c r="D21" s="191"/>
      <c r="E21" s="189"/>
      <c r="F21" s="30"/>
    </row>
    <row r="22">
      <c r="A22" s="190"/>
      <c r="B22" s="194" t="str">
        <v>Lossa</v>
      </c>
      <c r="C22" s="192" t="str">
        <v>video psn</v>
      </c>
      <c r="D22" s="191" t="str">
        <v>Done</v>
      </c>
      <c r="E22" s="189" t="str">
        <v>pastiin bugs pulau seram ke QA</v>
      </c>
      <c r="F22" s="30"/>
    </row>
    <row r="23">
      <c r="A23" s="190"/>
      <c r="B23" s="194"/>
      <c r="C23" s="192" t="str">
        <v>followup pelindo pfizer erajaya</v>
      </c>
      <c r="D23" s="191" t="str">
        <v>Done</v>
      </c>
      <c r="E23" s="189" t="str">
        <v>bpo pemasaran regional, bpo pemasaran dan pelayanan pelanggan</v>
      </c>
      <c r="F23" s="30"/>
    </row>
    <row r="24">
      <c r="A24" s="190"/>
      <c r="B24" s="194"/>
      <c r="C24" s="192" t="str">
        <v>fu cilicis API sungai yg baru</v>
      </c>
      <c r="D24" s="191" t="str">
        <v>Done</v>
      </c>
      <c r="E24" s="189"/>
      <c r="F24" s="30"/>
    </row>
    <row r="25">
      <c r="A25" s="190"/>
      <c r="B25" s="194"/>
      <c r="C25" s="192" t="str">
        <v>propo connectix (wo pricing)</v>
      </c>
      <c r="D25" s="191" t="str">
        <v>Done</v>
      </c>
      <c r="E25" s="189"/>
      <c r="F25" s="30"/>
    </row>
    <row r="26">
      <c r="A26" s="190"/>
      <c r="B26" s="194"/>
      <c r="C26" s="192" t="str">
        <v>mockup fast track</v>
      </c>
      <c r="D26" s="191" t="str">
        <v>Done</v>
      </c>
      <c r="E26" s="189"/>
      <c r="F26" s="30"/>
    </row>
    <row r="27">
      <c r="A27" s="190"/>
      <c r="B27" s="194" t="str">
        <v>Amel</v>
      </c>
      <c r="C27" s="192" t="str">
        <v>adjusment frd dan proposal Nippon koei</v>
      </c>
      <c r="D27" s="191" t="str">
        <v>Done</v>
      </c>
      <c r="E27" s="189" t="str">
        <v>ada additional</v>
      </c>
      <c r="F27" s="30"/>
    </row>
    <row r="28">
      <c r="A28" s="190"/>
      <c r="B28" s="194"/>
      <c r="C28" s="192" t="str">
        <v>video tutorial pengerukan</v>
      </c>
      <c r="D28" s="191" t="str">
        <v>Done</v>
      </c>
      <c r="E28" s="189" t="str">
        <v>belum jadi dibuat</v>
      </c>
      <c r="F28" s="30"/>
    </row>
    <row r="29">
      <c r="A29" s="190"/>
      <c r="B29" s="194"/>
      <c r="C29" s="192" t="str">
        <v>meeting KAI</v>
      </c>
      <c r="D29" s="191" t="str">
        <v>Done</v>
      </c>
      <c r="E29" s="189">
        <v>14</v>
      </c>
      <c r="F29" s="30"/>
    </row>
    <row r="30">
      <c r="A30" s="190"/>
      <c r="B30" s="194"/>
      <c r="C30" s="192"/>
      <c r="D30" s="191"/>
      <c r="E30" s="189"/>
      <c r="F30" s="30"/>
    </row>
    <row r="31">
      <c r="A31" s="190"/>
      <c r="B31" s="194"/>
      <c r="C31" s="192"/>
      <c r="D31" s="191"/>
      <c r="E31" s="189"/>
      <c r="F31" s="30"/>
    </row>
    <row r="32">
      <c r="A32" s="190"/>
      <c r="B32" s="179" t="str">
        <v>Hadi</v>
      </c>
      <c r="C32" s="192" t="str">
        <v>Monitoring Business</v>
      </c>
      <c r="D32" s="191" t="str">
        <v>Done</v>
      </c>
      <c r="E32" s="189"/>
      <c r="F32" s="30"/>
    </row>
    <row r="33">
      <c r="A33" s="190"/>
      <c r="B33" s="179"/>
      <c r="C33" s="192" t="str">
        <v>Merapikan Dashboard Business Monitoring</v>
      </c>
      <c r="D33" s="191" t="str">
        <v>Done</v>
      </c>
      <c r="E33" s="189"/>
      <c r="F33" s="30"/>
    </row>
    <row r="34">
      <c r="A34" s="190"/>
      <c r="B34" s="179"/>
      <c r="C34" s="192" t="str">
        <v>Feasibility Check Project</v>
      </c>
      <c r="D34" s="191" t="str">
        <v>Done</v>
      </c>
      <c r="E34" s="189"/>
      <c r="F34" s="30"/>
    </row>
    <row r="35">
      <c r="A35" s="190"/>
      <c r="B35" s="179"/>
      <c r="C35" s="192" t="str">
        <v>Meeting KAI</v>
      </c>
      <c r="D35" s="191" t="str">
        <v>Done</v>
      </c>
      <c r="E35" s="189"/>
      <c r="F35" s="30"/>
    </row>
    <row r="36">
      <c r="A36" s="190"/>
      <c r="B36" s="179"/>
      <c r="C36" s="192" t="str">
        <v>Meeting Apps</v>
      </c>
      <c r="D36" s="191" t="str">
        <v>Done</v>
      </c>
      <c r="E36" s="189"/>
      <c r="F36" s="30"/>
    </row>
    <row r="37">
      <c r="A37" s="190">
        <v>46028</v>
      </c>
      <c r="B37" s="191" t="str">
        <v>Fariz</v>
      </c>
      <c r="C37" s="192" t="str">
        <v>Finalisasi CourseLab for Q1</v>
      </c>
      <c r="D37" s="191" t="str">
        <v>Done</v>
      </c>
      <c r="E37" s="189" t="s">
        <v>365</v>
      </c>
    </row>
    <row r="38">
      <c r="A38" s="190"/>
      <c r="B38" s="191"/>
      <c r="C38" s="192" t="str">
        <v>Riset Corporate Training</v>
      </c>
      <c r="D38" s="191" t="str">
        <v>Done</v>
      </c>
      <c r="E38" s="189" t="s">
        <v>334</v>
      </c>
    </row>
    <row r="39">
      <c r="A39" s="190"/>
      <c r="B39" s="191"/>
      <c r="C39" s="192" t="str">
        <v>Finalisasi Briefing for Facilitator WebGIS</v>
      </c>
      <c r="D39" s="191" t="str">
        <v>Done</v>
      </c>
      <c r="E39" s="189"/>
    </row>
    <row r="40">
      <c r="A40" s="190"/>
      <c r="B40" s="191"/>
      <c r="C40" s="192" t="str">
        <v>Meeting with Mas Andrew</v>
      </c>
      <c r="D40" s="191" t="str">
        <v>Done</v>
      </c>
      <c r="E40" s="189"/>
    </row>
    <row r="41">
      <c r="A41" s="190"/>
      <c r="B41" s="191"/>
      <c r="C41" s="192"/>
      <c r="D41" s="191"/>
      <c r="E41" s="189"/>
    </row>
    <row r="42">
      <c r="A42" s="190"/>
      <c r="B42" s="191" t="str">
        <v>Dwi</v>
      </c>
      <c r="C42" s="192" t="str">
        <v>Campaign MAPID Academy - Location Analytics</v>
      </c>
      <c r="D42" s="191"/>
      <c r="E42" s="189"/>
    </row>
    <row r="43">
      <c r="A43" s="190"/>
      <c r="B43" s="191"/>
      <c r="C43" s="192" t="str">
        <v>Finish Campaign MAPID Academy WebGIs batch:
- Content 5-14 Januari ✅
- Update Meta Ads ✅</v>
      </c>
      <c r="D43" s="191" t="str">
        <v>Done</v>
      </c>
      <c r="E43" s="189"/>
    </row>
    <row r="44">
      <c r="A44" s="190"/>
      <c r="B44" s="191"/>
      <c r="C44" s="192" t="str">
        <v>Content Freelance</v>
      </c>
      <c r="D44" s="191"/>
      <c r="E44" s="189"/>
    </row>
    <row r="45">
      <c r="A45" s="190"/>
      <c r="B45" s="191"/>
      <c r="C45" s="192"/>
      <c r="D45" s="191"/>
      <c r="E45" s="189"/>
    </row>
    <row r="46">
      <c r="A46" s="190"/>
      <c r="B46" s="191"/>
      <c r="C46" s="192"/>
      <c r="D46" s="191"/>
      <c r="E46" s="189"/>
    </row>
    <row r="47">
      <c r="A47" s="190"/>
      <c r="B47" s="191"/>
      <c r="C47" s="192"/>
      <c r="D47" s="191"/>
      <c r="E47" s="189"/>
    </row>
    <row r="48">
      <c r="A48" s="190"/>
      <c r="B48" s="179" t="str">
        <v>Wina</v>
      </c>
      <c r="C48" s="192" t="str">
        <v>Daily content (newsletter, IG, WA Group)</v>
      </c>
      <c r="D48" s="191" t="str">
        <v>Done</v>
      </c>
      <c r="E48" s="189"/>
    </row>
    <row r="49">
      <c r="A49" s="190"/>
      <c r="B49" s="179"/>
      <c r="C49" s="192" t="str">
        <v>Januari - Community
1. Free Class - WebGIS (12 Januari 2025) ✅
2. Sobat Air Jakarta (24/25 Januari)
3. Invite CM ke MAPID Apps ✅
4. Database Community ✅</v>
      </c>
      <c r="D49" s="191" t="str">
        <v>Done</v>
      </c>
      <c r="E49" s="189"/>
    </row>
    <row r="50">
      <c r="A50" s="190"/>
      <c r="B50" s="179"/>
      <c r="C50" s="192" t="str">
        <v>PPT Sosmed (onboarding)</v>
      </c>
      <c r="D50" s="191" t="str">
        <v>Done</v>
      </c>
      <c r="E50" s="189" t="str">
        <v>HOLD</v>
      </c>
    </row>
    <row r="51">
      <c r="A51" s="190"/>
      <c r="B51" s="179"/>
      <c r="C51" s="208"/>
      <c r="D51" s="198"/>
      <c r="E51" s="219"/>
    </row>
    <row r="52">
      <c r="A52" s="190"/>
      <c r="B52" s="191" t="str">
        <v>Annisa</v>
      </c>
      <c r="C52" s="215" t="str" xml:space="preserve">
        <v>Lanjut bikin dokumen buat brand guidelines </v>
      </c>
      <c r="D52" s="179" t="str">
        <v>Done</v>
      </c>
      <c r="E52" s="189"/>
    </row>
    <row r="53">
      <c r="A53" s="190"/>
      <c r="B53" s="191"/>
      <c r="C53" s="215" t="str" xml:space="preserve">
        <v>bikin aset website  </v>
      </c>
      <c r="D53" s="179" t="str">
        <v>Done</v>
      </c>
      <c r="E53" s="189"/>
    </row>
    <row r="54">
      <c r="A54" s="190"/>
      <c r="B54" s="191"/>
      <c r="C54" s="213" t="str" xml:space="preserve">
        <v>ngelanjutin bikin aset design stationary/merchandise company </v>
      </c>
      <c r="D54" s="179" t="str">
        <v>Done</v>
      </c>
      <c r="E54" s="189"/>
    </row>
    <row r="55">
      <c r="A55" s="190"/>
      <c r="B55" s="179"/>
      <c r="C55" s="218" t="str">
        <v>Bikin desain Deck</v>
      </c>
      <c r="D55" s="179" t="str">
        <v>Done</v>
      </c>
      <c r="E55" s="189" t="str">
        <v>nyicil masuk2in dulu, layouting</v>
      </c>
    </row>
    <row r="56">
      <c r="A56" s="190"/>
      <c r="B56" s="179"/>
      <c r="C56" s="192" t="str" xml:space="preserve">
        <v>Edit video MAWD </v>
      </c>
      <c r="D56" s="203" t="str">
        <v>Done</v>
      </c>
      <c r="E56" s="214"/>
    </row>
    <row r="57">
      <c r="A57" s="190"/>
      <c r="B57" s="194" t="str">
        <v>Lossa</v>
      </c>
      <c r="C57" s="192" t="str">
        <v>(pelindo) revisi project charter, fu bpo</v>
      </c>
      <c r="D57" s="191" t="str">
        <v>Done</v>
      </c>
      <c r="E57" s="189"/>
    </row>
    <row r="58">
      <c r="A58" s="190"/>
      <c r="B58" s="194"/>
      <c r="C58" s="192" t="str">
        <v>meeting telkomsat</v>
      </c>
      <c r="D58" s="191" t="str">
        <v>Done</v>
      </c>
      <c r="E58" s="189"/>
    </row>
    <row r="59">
      <c r="A59" s="190"/>
      <c r="B59" s="194"/>
      <c r="C59" s="192" t="str">
        <v>meeting enterprise sales listing use case</v>
      </c>
      <c r="D59" s="191" t="str">
        <v>Done</v>
      </c>
      <c r="E59" s="189"/>
    </row>
    <row r="60">
      <c r="A60" s="190"/>
      <c r="B60" s="194"/>
      <c r="C60" s="192" t="str">
        <v>report revisi cilicis final</v>
      </c>
      <c r="D60" s="191" t="str">
        <v>Done</v>
      </c>
      <c r="E60" s="189"/>
    </row>
    <row r="61">
      <c r="A61" s="190"/>
      <c r="B61" s="194"/>
      <c r="C61" s="192"/>
      <c r="D61" s="191"/>
      <c r="E61" s="189"/>
    </row>
    <row r="62">
      <c r="A62" s="190"/>
      <c r="B62" s="194" t="str">
        <v>Amel</v>
      </c>
      <c r="C62" s="192" t="str">
        <v>lanjutin video tutorial dashboard pengerukan</v>
      </c>
      <c r="D62" s="191" t="str">
        <v>Done</v>
      </c>
      <c r="E62" s="189"/>
    </row>
    <row r="63">
      <c r="A63" s="190"/>
      <c r="B63" s="194"/>
      <c r="C63" s="192" t="str" xml:space="preserve">
        <v>discuss commercial nippon koei w/ enterprise sales </v>
      </c>
      <c r="D63" s="191" t="str">
        <v>Done</v>
      </c>
      <c r="E63" s="189"/>
    </row>
    <row r="64">
      <c r="A64" s="190"/>
      <c r="B64" s="194"/>
      <c r="C64" s="192" t="str" xml:space="preserve">
        <v>meeting monitoring project DSDA </v>
      </c>
      <c r="D64" s="191" t="str">
        <v>Done</v>
      </c>
      <c r="E64" s="189"/>
    </row>
    <row r="65">
      <c r="A65" s="190"/>
      <c r="B65" s="194"/>
      <c r="C65" s="192" t="str">
        <v>meeting project survei KAI dan TAM</v>
      </c>
      <c r="D65" s="191" t="str">
        <v>Done</v>
      </c>
      <c r="E65" s="189"/>
    </row>
    <row r="66">
      <c r="A66" s="190"/>
      <c r="B66" s="179" t="str">
        <v>Hadi</v>
      </c>
      <c r="C66" s="192" t="str">
        <v>Monitoring Business</v>
      </c>
      <c r="D66" s="191" t="str">
        <v>Done</v>
      </c>
      <c r="E66" s="189"/>
    </row>
    <row r="67">
      <c r="A67" s="190"/>
      <c r="B67" s="179"/>
      <c r="C67" s="192" t="str">
        <v>Koordinasi Telkomsat</v>
      </c>
      <c r="D67" s="191" t="str">
        <v>Done</v>
      </c>
      <c r="E67" s="189"/>
    </row>
    <row r="68">
      <c r="A68" s="190"/>
      <c r="B68" s="179"/>
      <c r="C68" s="192" t="str">
        <v>Nyicil report shareholders</v>
      </c>
      <c r="D68" s="191" t="str">
        <v>Done</v>
      </c>
      <c r="E68" s="189"/>
    </row>
    <row r="69">
      <c r="A69" s="190"/>
      <c r="B69" s="179"/>
      <c r="C69" s="208" t="str">
        <v>Drafting Catalyst 2026</v>
      </c>
      <c r="D69" s="191" t="str">
        <v>Done</v>
      </c>
      <c r="E69" s="189" t="s">
        <v>342</v>
      </c>
    </row>
    <row r="70">
      <c r="A70" s="190"/>
      <c r="B70" s="191"/>
      <c r="C70" s="192" t="str">
        <v>other task : feasibility project check, form feedback, rapihin ai business, etc)</v>
      </c>
      <c r="D70" s="197" t="str">
        <v>Done</v>
      </c>
      <c r="E70" s="189"/>
    </row>
    <row r="71">
      <c r="A71" s="190">
        <v>46029</v>
      </c>
      <c r="B71" s="191" t="str">
        <v>Fariz</v>
      </c>
      <c r="C71" s="19" t="str">
        <v>[CTR] Lanjut Strategi Corporate Training 2026</v>
      </c>
      <c r="D71" s="197" t="str">
        <v>Done</v>
      </c>
      <c r="E71" s="192" t="s">
        <v>334</v>
      </c>
    </row>
    <row r="72">
      <c r="A72" s="190"/>
      <c r="B72" s="191"/>
      <c r="C72" s="192" t="str">
        <v>[WGA] Operasional :
1. Fasilitator (Dokumen - Dokumen) 
2. Mentor (Materi)</v>
      </c>
      <c r="D72" s="197" t="str">
        <v>Done</v>
      </c>
      <c r="E72" s="189"/>
    </row>
    <row r="73">
      <c r="A73" s="190"/>
      <c r="B73" s="191"/>
      <c r="C73" s="200" t="str">
        <v>[CTR] Panduan Penginstallan GeoService OIKN</v>
      </c>
      <c r="D73" s="197" t="str">
        <v>Done</v>
      </c>
      <c r="E73" s="189"/>
    </row>
    <row r="74">
      <c r="A74" s="190"/>
      <c r="B74" s="191"/>
      <c r="C74" s="192"/>
      <c r="D74" s="191"/>
      <c r="E74" s="189"/>
    </row>
    <row r="75">
      <c r="A75" s="190"/>
      <c r="B75" s="191"/>
      <c r="C75" s="192"/>
      <c r="D75" s="191"/>
      <c r="E75" s="189"/>
    </row>
    <row r="76">
      <c r="A76" s="190"/>
      <c r="B76" s="191" t="str">
        <v>Dwi</v>
      </c>
      <c r="C76" s="192" t="str">
        <v>Content Freelance ✅</v>
      </c>
      <c r="D76" s="191" t="str">
        <v>Done</v>
      </c>
      <c r="E76" s="189"/>
    </row>
    <row r="77">
      <c r="A77" s="190"/>
      <c r="B77" s="191"/>
      <c r="C77" s="192" t="str">
        <v>Copywriting - Corporate training page ✅</v>
      </c>
      <c r="D77" s="191" t="str">
        <v>Done</v>
      </c>
      <c r="E77" s="189" t="str">
        <v>Progress sebagian</v>
      </c>
    </row>
    <row r="78">
      <c r="A78" s="190"/>
      <c r="B78" s="191"/>
      <c r="C78" s="192" t="str">
        <v>Content Organik MAPID Academy</v>
      </c>
      <c r="D78" s="191"/>
      <c r="E78" s="189"/>
    </row>
    <row r="79">
      <c r="A79" s="190"/>
      <c r="B79" s="191"/>
      <c r="C79" s="192"/>
      <c r="D79" s="191"/>
      <c r="E79" s="189"/>
    </row>
    <row r="80">
      <c r="A80" s="190"/>
      <c r="B80" s="191"/>
      <c r="C80" s="192"/>
      <c r="D80" s="191"/>
      <c r="E80" s="189"/>
    </row>
    <row r="81">
      <c r="A81" s="190"/>
      <c r="B81" s="191"/>
      <c r="C81" s="192"/>
      <c r="D81" s="191"/>
      <c r="E81" s="189"/>
    </row>
    <row r="82">
      <c r="A82" s="190"/>
      <c r="B82" s="179" t="str">
        <v>Wina</v>
      </c>
      <c r="C82" s="192" t="str">
        <v>Daily content (newsletter, IG, WA Group)</v>
      </c>
      <c r="D82" s="191" t="str">
        <v>Done</v>
      </c>
      <c r="E82" s="189"/>
    </row>
    <row r="83">
      <c r="A83" s="190"/>
      <c r="B83" s="179"/>
      <c r="C83" s="192" t="str">
        <v>Listing content for W3-W4</v>
      </c>
      <c r="D83" s="191" t="str">
        <v>Done</v>
      </c>
      <c r="E83" s="189"/>
    </row>
    <row r="84">
      <c r="A84" s="190"/>
      <c r="B84" s="179"/>
      <c r="C84" s="192" t="str" xml:space="preserve">
        <v>Community:
- followup beberapa kampus baru
- Free Class
- last call webgis </v>
      </c>
      <c r="D84" s="191" t="str">
        <v>Done</v>
      </c>
      <c r="E84" s="189"/>
    </row>
    <row r="85">
      <c r="A85" s="190"/>
      <c r="B85" s="179"/>
      <c r="C85" s="192"/>
      <c r="D85" s="191"/>
      <c r="E85" s="189"/>
    </row>
    <row r="86">
      <c r="A86" s="190"/>
      <c r="B86" s="191" t="str">
        <v>Annisa</v>
      </c>
      <c r="C86" s="192" t="str">
        <v>bikin desain envelope untuk stationary mapid</v>
      </c>
      <c r="D86" s="191" t="str">
        <v>Done</v>
      </c>
      <c r="E86" s="189"/>
    </row>
    <row r="87">
      <c r="A87" s="190"/>
      <c r="B87" s="191"/>
      <c r="C87" s="192" t="str" xml:space="preserve">
        <v>asset website </v>
      </c>
      <c r="D87" s="191" t="str">
        <v>Done</v>
      </c>
      <c r="E87" s="189"/>
    </row>
    <row r="88">
      <c r="A88" s="190"/>
      <c r="B88" s="191"/>
      <c r="C88" s="192" t="str">
        <v>ngelanjutin layouting deck MAPID 2025 (2/5)</v>
      </c>
      <c r="D88" s="191" t="str">
        <v>Done</v>
      </c>
      <c r="E88" s="189" t="str">
        <v>layouting sudah beres, lanjut besok buat masukkin aset visual nya</v>
      </c>
    </row>
    <row r="89">
      <c r="A89" s="190"/>
      <c r="B89" s="191"/>
      <c r="C89" s="192" t="str">
        <v>Momentum Avatar tentang ruang</v>
      </c>
      <c r="D89" s="191" t="str">
        <v>Done</v>
      </c>
      <c r="E89" s="189"/>
    </row>
    <row r="90">
      <c r="A90" s="190"/>
      <c r="B90" s="191"/>
      <c r="C90" s="192" t="str">
        <v>job vacancy 2026</v>
      </c>
      <c r="D90" s="191" t="str">
        <v>Done</v>
      </c>
      <c r="E90" s="189" t="str">
        <v>perubahan mayor, alias rombak ulang</v>
      </c>
    </row>
    <row r="91">
      <c r="A91" s="190"/>
      <c r="B91" s="194" t="str">
        <v>Lossa</v>
      </c>
      <c r="C91" s="192" t="str" xml:space="preserve">
        <v>fu bpo pelindo &amp; revisi </v>
      </c>
      <c r="D91" s="191" t="str">
        <v>Done</v>
      </c>
      <c r="E91" s="189" t="str">
        <v>sudah ditandatangani seluruh bpo, sedang direview ristek</v>
      </c>
    </row>
    <row r="92">
      <c r="A92" s="190"/>
      <c r="B92" s="194"/>
      <c r="C92" s="192" t="str">
        <v>nyicil deck karlo</v>
      </c>
      <c r="D92" s="191" t="str">
        <v>Done</v>
      </c>
      <c r="E92" s="189"/>
    </row>
    <row r="93">
      <c r="A93" s="190"/>
      <c r="B93" s="194"/>
      <c r="C93" s="192" t="str">
        <v>nyicil proposal nabati</v>
      </c>
      <c r="D93" s="191" t="str">
        <v>Done</v>
      </c>
      <c r="E93" s="189"/>
    </row>
    <row r="94">
      <c r="A94" s="190"/>
      <c r="B94" s="194"/>
      <c r="C94" s="192"/>
      <c r="D94" s="191"/>
      <c r="E94" s="189"/>
    </row>
    <row r="95">
      <c r="A95" s="190"/>
      <c r="B95" s="194"/>
      <c r="C95" s="192"/>
      <c r="D95" s="191"/>
      <c r="E95" s="189"/>
    </row>
    <row customHeight="true" ht="19" r="96">
      <c r="A96" s="190"/>
      <c r="B96" s="194" t="str">
        <v>Amel</v>
      </c>
      <c r="C96" s="192" t="str">
        <v>meeting TAM</v>
      </c>
      <c r="D96" s="191" t="str">
        <v>Done</v>
      </c>
      <c r="E96" s="189"/>
    </row>
    <row r="97">
      <c r="A97" s="190"/>
      <c r="B97" s="194"/>
      <c r="C97" s="192" t="str">
        <v>dokumen commercial KAI</v>
      </c>
      <c r="D97" s="191" t="str">
        <v>Done</v>
      </c>
      <c r="E97" s="189"/>
    </row>
    <row r="98">
      <c r="A98" s="190"/>
      <c r="B98" s="194"/>
      <c r="C98" s="192" t="str">
        <v>Mengisi pendaftaran rekanan HKI</v>
      </c>
      <c r="D98" s="191" t="str">
        <v>Done</v>
      </c>
      <c r="E98" s="189"/>
    </row>
    <row r="99">
      <c r="A99" s="190"/>
      <c r="B99" s="194"/>
      <c r="C99" s="192" t="str">
        <v>voice over ulang video</v>
      </c>
      <c r="D99" s="191" t="str">
        <v>Done</v>
      </c>
      <c r="E99" s="189"/>
    </row>
    <row r="100">
      <c r="A100" s="190"/>
      <c r="B100" s="194"/>
      <c r="C100" s="208" t="str">
        <v>revisi bagian commercial nippon</v>
      </c>
      <c r="D100" s="198" t="str">
        <v>Done</v>
      </c>
      <c r="E100" s="189"/>
    </row>
    <row customHeight="true" ht="19" r="101">
      <c r="A101" s="190"/>
      <c r="B101" s="201"/>
      <c r="C101" s="133"/>
      <c r="D101" s="133"/>
      <c r="E101" s="202"/>
    </row>
    <row r="102">
      <c r="A102" s="190"/>
      <c r="B102" s="179" t="str">
        <v>Hadi</v>
      </c>
      <c r="C102" s="200" t="str">
        <v>Monitoring Business</v>
      </c>
      <c r="D102" s="203" t="str">
        <v>Done</v>
      </c>
      <c r="E102" s="189"/>
    </row>
    <row r="103">
      <c r="A103" s="190"/>
      <c r="B103" s="179"/>
      <c r="C103" s="192" t="str">
        <v>Meeting Data Partnership w/ Indosat</v>
      </c>
      <c r="D103" s="191" t="str">
        <v>Done</v>
      </c>
      <c r="E103" s="189"/>
    </row>
    <row r="104">
      <c r="A104" s="190"/>
      <c r="B104" s="179"/>
      <c r="C104" s="192" t="str">
        <v>nyicil report shareholders</v>
      </c>
      <c r="D104" s="191" t="str">
        <v>Done</v>
      </c>
      <c r="E104" s="189"/>
    </row>
    <row r="105">
      <c r="A105" s="190"/>
      <c r="B105" s="179"/>
      <c r="C105" s="192" t="str">
        <v>other task : feasibility project check, rapihin ai business, etc</v>
      </c>
      <c r="D105" s="191" t="str">
        <v>Done</v>
      </c>
      <c r="E105" s="189"/>
    </row>
    <row r="106">
      <c r="A106" s="190"/>
      <c r="B106" s="179"/>
      <c r="C106" s="192"/>
      <c r="D106" s="191"/>
      <c r="E106" s="189"/>
    </row>
    <row r="107">
      <c r="A107" s="190">
        <v>46030</v>
      </c>
      <c r="B107" s="191" t="str">
        <v>Fariz</v>
      </c>
      <c r="C107" s="19" t="str">
        <v>[CTR] Lanjut Strategi Corporate Training 2026</v>
      </c>
      <c r="D107" s="197" t="str">
        <v>Done</v>
      </c>
      <c r="E107" s="192" t="s">
        <v>334</v>
      </c>
    </row>
    <row r="108">
      <c r="A108" s="190"/>
      <c r="B108" s="191"/>
      <c r="C108" s="192" t="str">
        <v>[WGA] H-1 Persiapan H-7 WebGIS</v>
      </c>
      <c r="D108" s="197" t="str">
        <v>Done</v>
      </c>
      <c r="E108" s="189"/>
    </row>
    <row r="109">
      <c r="A109" s="190"/>
      <c r="B109" s="191"/>
      <c r="C109" s="192" t="str">
        <v>[CER] Meeting with Pak Awal</v>
      </c>
      <c r="D109" s="197" t="str">
        <v>Done</v>
      </c>
      <c r="E109" s="189"/>
    </row>
    <row r="110">
      <c r="A110" s="190"/>
      <c r="B110" s="191"/>
      <c r="C110" s="192"/>
      <c r="D110" s="191"/>
      <c r="E110" s="189"/>
    </row>
    <row r="111">
      <c r="A111" s="190"/>
      <c r="B111" s="191"/>
      <c r="C111" s="192"/>
      <c r="D111" s="191"/>
      <c r="E111" s="189"/>
    </row>
    <row r="112">
      <c r="A112" s="190"/>
      <c r="B112" s="191" t="str">
        <v>Dwi</v>
      </c>
      <c r="C112" s="192" t="str">
        <v>Copywriting-  Page Corporate Training</v>
      </c>
      <c r="D112" s="191"/>
      <c r="E112" s="189"/>
    </row>
    <row r="113">
      <c r="A113" s="190"/>
      <c r="B113" s="191"/>
      <c r="C113" s="192" t="str" xml:space="preserve">
        <v>Content Ads WebGIS </v>
      </c>
      <c r="D113" s="191"/>
      <c r="E113" s="189"/>
    </row>
    <row r="114">
      <c r="A114" s="190"/>
      <c r="B114" s="191"/>
      <c r="C114" s="192" t="str">
        <v>Conten Ads UMKM ✅</v>
      </c>
      <c r="D114" s="191" t="str">
        <v>Done</v>
      </c>
      <c r="E114" s="189"/>
    </row>
    <row r="115">
      <c r="A115" s="190"/>
      <c r="B115" s="191"/>
      <c r="C115" s="192" t="str">
        <v>Content Organik MAPID Academy ✅</v>
      </c>
      <c r="D115" s="191" t="str">
        <v>Done</v>
      </c>
      <c r="E115" s="189"/>
    </row>
    <row r="116">
      <c r="A116" s="190"/>
      <c r="B116" s="191"/>
      <c r="C116" s="192" t="str">
        <v>Operasional:
- Monitor ads
- recap sales mapid academy &amp; peresonal license ✅</v>
      </c>
      <c r="D116" s="191" t="str">
        <v>Done</v>
      </c>
      <c r="E116" s="189"/>
    </row>
    <row r="117">
      <c r="A117" s="190"/>
      <c r="B117" s="191"/>
      <c r="C117" s="192"/>
      <c r="D117" s="191"/>
      <c r="E117" s="189"/>
    </row>
    <row r="118">
      <c r="A118" s="190"/>
      <c r="B118" s="179" t="str">
        <v>Wina</v>
      </c>
      <c r="C118" s="192" t="str">
        <v>Daily content (newsletter✅, IG, WA Group)</v>
      </c>
      <c r="D118" s="191" t="str">
        <v>Done</v>
      </c>
      <c r="E118" s="189"/>
    </row>
    <row r="119">
      <c r="A119" s="190"/>
      <c r="B119" s="179"/>
      <c r="C119" s="192" t="str">
        <v>Listing content for W3-W4
- take content</v>
      </c>
      <c r="D119" s="191" t="str">
        <v>Done</v>
      </c>
      <c r="E119" s="189"/>
    </row>
    <row r="120">
      <c r="A120" s="190"/>
      <c r="B120" s="179"/>
      <c r="C120" s="192" t="str" xml:space="preserve">
        <v>Community:
- Sobat Air Jakarta (nolak)
- Free Class
- last call webgis </v>
      </c>
      <c r="D120" s="191" t="str">
        <v>Done</v>
      </c>
      <c r="E120" s="189"/>
    </row>
    <row r="121">
      <c r="A121" s="190"/>
      <c r="B121" s="179"/>
      <c r="C121" s="192" t="str">
        <v>Meeting Kak Rifqi</v>
      </c>
      <c r="D121" s="191" t="str">
        <v>Done</v>
      </c>
      <c r="E121" s="189">
        <v>19</v>
      </c>
    </row>
    <row r="122">
      <c r="A122" s="190"/>
      <c r="B122" s="191" t="str">
        <v>Annisa</v>
      </c>
      <c r="C122" s="208" t="str" xml:space="preserve">
        <v>asset website </v>
      </c>
      <c r="D122" s="191" t="str">
        <v>Done</v>
      </c>
      <c r="E122" s="193" t="str" xml:space="preserve">
        <v>dihold dulu karena menunggu brief untuk spesifik data yang ingin ditampilkan </v>
      </c>
    </row>
    <row r="123">
      <c r="A123" s="190"/>
      <c r="B123" s="191"/>
      <c r="C123" s="179" t="str">
        <v>bikin desain envelope untuk stationary mapid</v>
      </c>
      <c r="D123" s="197" t="str">
        <v>Done</v>
      </c>
      <c r="E123" s="189"/>
    </row>
    <row r="124">
      <c r="A124" s="190"/>
      <c r="B124" s="191"/>
      <c r="C124" s="200" t="str">
        <v>ngelanjutin layouting deck MAPID 2025 (3/5)</v>
      </c>
      <c r="D124" s="191" t="str">
        <v>Done</v>
      </c>
      <c r="E124" s="193" t="str" xml:space="preserve">
        <v>part masukkin visual pendukung dan menungggu visual untuk bagian graphic </v>
      </c>
    </row>
    <row r="125">
      <c r="A125" s="190"/>
      <c r="B125" s="191"/>
      <c r="C125" s="192" t="str">
        <v>bikin desain untuk Background, template live report IG</v>
      </c>
      <c r="D125" s="191" t="str">
        <v>Done</v>
      </c>
      <c r="E125" s="189"/>
    </row>
    <row r="126">
      <c r="A126" s="190"/>
      <c r="B126" s="191"/>
      <c r="C126" s="192" t="str">
        <v>lanjutin bikin dokumen guidelines</v>
      </c>
      <c r="D126" s="191" t="str">
        <v>Done</v>
      </c>
      <c r="E126" s="189"/>
    </row>
    <row r="127">
      <c r="A127" s="190"/>
      <c r="B127" s="194" t="str">
        <v>Lossa</v>
      </c>
      <c r="C127" s="2" t="str">
        <v>demo call pupuk indonesia</v>
      </c>
      <c r="D127" s="191" t="str">
        <v>Done</v>
      </c>
      <c r="E127" s="189">
        <v>11</v>
      </c>
    </row>
    <row r="128">
      <c r="A128" s="190"/>
      <c r="B128" s="194"/>
      <c r="C128" s="192" t="str">
        <v>meeting sm impactto</v>
      </c>
      <c r="D128" s="191" t="str">
        <v>Done</v>
      </c>
      <c r="E128" s="189">
        <v>16</v>
      </c>
    </row>
    <row r="129">
      <c r="A129" s="190"/>
      <c r="B129" s="194"/>
      <c r="C129" s="192" t="str">
        <v>nyicil proposal nabati</v>
      </c>
      <c r="D129" s="191" t="str">
        <v>Done</v>
      </c>
      <c r="E129" s="189"/>
    </row>
    <row customHeight="true" ht="19" r="130">
      <c r="A130" s="190"/>
      <c r="B130" s="194"/>
      <c r="C130" s="192"/>
      <c r="D130" s="191"/>
      <c r="E130" s="189"/>
    </row>
    <row r="131">
      <c r="A131" s="190"/>
      <c r="B131" s="194"/>
      <c r="C131" s="192"/>
      <c r="D131" s="191"/>
      <c r="E131" s="189"/>
    </row>
    <row r="132">
      <c r="A132" s="190"/>
      <c r="B132" s="194" t="str">
        <v>Amel</v>
      </c>
      <c r="C132" s="192" t="str" xml:space="preserve">
        <v>meeting dengan dosen lab sig undip </v>
      </c>
      <c r="D132" s="191" t="str">
        <v>Done</v>
      </c>
      <c r="E132" s="189">
        <v>11</v>
      </c>
    </row>
    <row r="133">
      <c r="A133" s="190"/>
      <c r="B133" s="194"/>
      <c r="C133" s="192" t="str">
        <v>meeting negosiasi KAI</v>
      </c>
      <c r="D133" s="191" t="str">
        <v>Done</v>
      </c>
      <c r="E133" s="189">
        <v>13</v>
      </c>
    </row>
    <row r="134">
      <c r="A134" s="190"/>
      <c r="B134" s="194"/>
      <c r="C134" s="192" t="str">
        <v>edit manual book pengerukan</v>
      </c>
      <c r="D134" s="191" t="str">
        <v>Done</v>
      </c>
      <c r="E134" s="189" t="str">
        <v>disesuaikan dengan tampilan dashboard terbaru</v>
      </c>
    </row>
    <row r="135">
      <c r="A135" s="190"/>
      <c r="B135" s="194"/>
      <c r="C135" s="192" t="str">
        <v>koordinasi revisi proposal HKI dgn tim ent sales</v>
      </c>
      <c r="D135" s="191" t="str">
        <v>Done</v>
      </c>
      <c r="E135" s="189"/>
    </row>
    <row r="136">
      <c r="A136" s="190"/>
      <c r="B136" s="194"/>
      <c r="C136" s="192" t="str" xml:space="preserve">
        <v>bikin SPH KAI hasil nego </v>
      </c>
      <c r="D136" s="191" t="str">
        <v>Done</v>
      </c>
      <c r="E136" s="189"/>
    </row>
    <row r="137">
      <c r="A137" s="190"/>
      <c r="B137" s="194"/>
      <c r="C137" s="192"/>
      <c r="D137" s="191"/>
      <c r="E137" s="189"/>
    </row>
    <row r="138">
      <c r="A138" s="190"/>
      <c r="B138" s="179" t="str">
        <v>Hadi</v>
      </c>
      <c r="C138" s="192" t="str">
        <v>Monitoring Business</v>
      </c>
      <c r="D138" s="191" t="str">
        <v>Done</v>
      </c>
      <c r="E138" s="189"/>
    </row>
    <row r="139">
      <c r="A139" s="190"/>
      <c r="B139" s="179"/>
      <c r="C139" s="192" t="str">
        <v>Meeting : Head &amp; Negosiasi KAI</v>
      </c>
      <c r="D139" s="191" t="str">
        <v>Done</v>
      </c>
      <c r="E139" s="189"/>
    </row>
    <row r="140">
      <c r="A140" s="190"/>
      <c r="B140" s="179"/>
      <c r="C140" s="192" t="str">
        <v>Nyicil report shareholders</v>
      </c>
      <c r="D140" s="191" t="str">
        <v>Done</v>
      </c>
      <c r="E140" s="189"/>
    </row>
    <row r="141">
      <c r="A141" s="190"/>
      <c r="B141" s="179"/>
      <c r="C141" s="192" t="str">
        <v>other task : template monthly reporting b2b &amp; b2c</v>
      </c>
      <c r="D141" s="191" t="str">
        <v>Done</v>
      </c>
      <c r="E141" s="189"/>
    </row>
    <row r="142">
      <c r="A142" s="190"/>
      <c r="B142" s="179"/>
      <c r="C142" s="192"/>
      <c r="D142" s="191"/>
      <c r="E142" s="189"/>
    </row>
    <row r="143">
      <c r="A143" s="190">
        <v>46031</v>
      </c>
      <c r="B143" s="191" t="str">
        <v>Fariz</v>
      </c>
      <c r="C143" s="192" t="str" xml:space="preserve">
        <v>Meeting LMS </v>
      </c>
      <c r="D143" s="191" t="str">
        <v>Done</v>
      </c>
      <c r="E143" s="189"/>
    </row>
    <row r="144">
      <c r="A144" s="190"/>
      <c r="B144" s="191"/>
      <c r="C144" s="192" t="str">
        <v>Persiapan H-7 WebGIS</v>
      </c>
      <c r="D144" s="191" t="str">
        <v>Done</v>
      </c>
      <c r="E144" s="189"/>
    </row>
    <row r="145">
      <c r="A145" s="190"/>
      <c r="B145" s="191"/>
      <c r="C145" s="192" t="str">
        <v>Riset Course Lab</v>
      </c>
      <c r="D145" s="191" t="str">
        <v>Done</v>
      </c>
      <c r="E145" s="189"/>
    </row>
    <row r="146">
      <c r="A146" s="190"/>
      <c r="B146" s="191"/>
      <c r="C146" s="192"/>
      <c r="D146" s="191"/>
      <c r="E146" s="189"/>
    </row>
    <row r="147">
      <c r="A147" s="190"/>
      <c r="B147" s="191"/>
      <c r="C147" s="192"/>
      <c r="D147" s="191"/>
      <c r="E147" s="189"/>
    </row>
    <row r="148">
      <c r="A148" s="190"/>
      <c r="B148" s="191" t="str">
        <v>Dwi</v>
      </c>
      <c r="C148" s="192" t="str">
        <v>Copywriting-  Page Corporate Training ✅</v>
      </c>
      <c r="D148" s="191" t="str">
        <v>Done</v>
      </c>
      <c r="E148" s="189"/>
    </row>
    <row r="149">
      <c r="A149" s="190"/>
      <c r="B149" s="191"/>
      <c r="C149" s="192" t="str">
        <v>Content Ads WebGIS ✅</v>
      </c>
      <c r="D149" s="191" t="str">
        <v>Done</v>
      </c>
      <c r="E149" s="189"/>
    </row>
    <row r="150">
      <c r="A150" s="190"/>
      <c r="B150" s="191"/>
      <c r="C150" s="192" t="str">
        <v>Conten Ads UMKM ✅</v>
      </c>
      <c r="D150" s="191" t="str">
        <v>Done</v>
      </c>
      <c r="E150" s="189"/>
    </row>
    <row r="151">
      <c r="A151" s="190"/>
      <c r="B151" s="191"/>
      <c r="C151" s="192"/>
      <c r="D151" s="191"/>
      <c r="E151" s="189"/>
    </row>
    <row r="152">
      <c r="A152" s="190"/>
      <c r="B152" s="191"/>
      <c r="C152" s="192"/>
      <c r="D152" s="191"/>
      <c r="E152" s="189"/>
    </row>
    <row r="153">
      <c r="A153" s="190"/>
      <c r="B153" s="191"/>
      <c r="C153" s="192"/>
      <c r="D153" s="191"/>
      <c r="E153" s="189"/>
    </row>
    <row r="154">
      <c r="A154" s="190"/>
      <c r="B154" s="179" t="str">
        <v>Wina</v>
      </c>
      <c r="C154" s="192" t="str">
        <v>Daily Content (newsletter, IG, WA Group)</v>
      </c>
      <c r="D154" s="191" t="str">
        <v>Done</v>
      </c>
      <c r="E154" s="189"/>
    </row>
    <row r="155">
      <c r="A155" s="190"/>
      <c r="B155" s="179"/>
      <c r="C155" s="192" t="str">
        <v>Brief konten akhmad dan rifqi</v>
      </c>
      <c r="D155" s="191" t="str">
        <v>Done</v>
      </c>
      <c r="E155" s="189"/>
    </row>
    <row r="156">
      <c r="A156" s="190"/>
      <c r="B156" s="179"/>
      <c r="C156" s="192" t="str" xml:space="preserve">
        <v>Shoot content </v>
      </c>
      <c r="D156" s="191" t="str">
        <v>Done</v>
      </c>
      <c r="E156" s="189"/>
    </row>
    <row r="157">
      <c r="A157" s="190"/>
      <c r="B157" s="179"/>
      <c r="C157" s="192"/>
      <c r="D157" s="191"/>
      <c r="E157" s="189"/>
    </row>
    <row r="158">
      <c r="A158" s="190"/>
      <c r="B158" s="191" t="str">
        <v>Annisa</v>
      </c>
      <c r="C158" s="192" t="str">
        <v>"Part yang paling seru WebGIS Developer" konten reels editing</v>
      </c>
      <c r="D158" s="191"/>
      <c r="E158" s="189"/>
    </row>
    <row r="159">
      <c r="A159" s="190"/>
      <c r="B159" s="191"/>
      <c r="C159" s="192" t="str">
        <v>Penambahan job vacancy untuk full stack developer</v>
      </c>
      <c r="D159" s="191" t="str">
        <v>Done</v>
      </c>
      <c r="E159" s="189" t="str">
        <v>(menunggu brief dari mba muf)</v>
      </c>
    </row>
    <row r="160">
      <c r="A160" s="190"/>
      <c r="B160" s="191"/>
      <c r="C160" s="192" t="str">
        <v>ngelanjutin layouting deck MAPID 2025 (4/5)</v>
      </c>
      <c r="D160" s="191" t="str">
        <v>Done</v>
      </c>
      <c r="E160" s="189"/>
    </row>
    <row r="161">
      <c r="A161" s="190"/>
      <c r="B161" s="191"/>
      <c r="C161" s="192" t="str">
        <v>ads tambahan "Synced Block"</v>
      </c>
      <c r="D161" s="191" t="str">
        <v>Done</v>
      </c>
      <c r="E161" s="189"/>
    </row>
    <row r="162">
      <c r="A162" s="190"/>
      <c r="B162" s="191"/>
      <c r="C162" s="192"/>
      <c r="D162" s="191"/>
      <c r="E162" s="189"/>
    </row>
    <row r="163">
      <c r="A163" s="190"/>
      <c r="B163" s="194" t="str">
        <v>Lossa</v>
      </c>
      <c r="C163" s="192" t="str">
        <v>demo call (gaada keterangan)</v>
      </c>
      <c r="D163" s="191" t="str">
        <v>Done</v>
      </c>
      <c r="E163" s="189">
        <v>9</v>
      </c>
    </row>
    <row r="164">
      <c r="A164" s="190"/>
      <c r="B164" s="194"/>
      <c r="C164" s="192" t="str">
        <v>diskusi survey pupuk indo sm tim poi</v>
      </c>
      <c r="D164" s="191" t="str">
        <v>Done</v>
      </c>
      <c r="E164" s="189">
        <v>10</v>
      </c>
    </row>
    <row r="165">
      <c r="A165" s="190"/>
      <c r="B165" s="194"/>
      <c r="C165" s="192" t="str">
        <v>revisi project charter dari hasil diskusi kemarin</v>
      </c>
      <c r="D165" s="191" t="str">
        <v>Done</v>
      </c>
      <c r="E165" s="189"/>
    </row>
    <row r="166">
      <c r="A166" s="190"/>
      <c r="B166" s="194"/>
      <c r="C166" s="192"/>
      <c r="D166" s="191"/>
      <c r="E166" s="189"/>
    </row>
    <row r="167">
      <c r="A167" s="190"/>
      <c r="B167" s="194" t="str">
        <v>Amel</v>
      </c>
      <c r="C167" s="192" t="str">
        <v>revisi 2 budget HKI hasil review kemarin</v>
      </c>
      <c r="D167" s="191" t="str">
        <v>Done</v>
      </c>
      <c r="E167" s="189"/>
    </row>
    <row r="168">
      <c r="A168" s="190"/>
      <c r="B168" s="194"/>
      <c r="C168" s="192" t="str">
        <v>diskusi frd nippon koei</v>
      </c>
      <c r="D168" s="191" t="str">
        <v>Done</v>
      </c>
      <c r="E168" s="189"/>
    </row>
    <row r="169">
      <c r="A169" s="190"/>
      <c r="B169" s="194"/>
      <c r="C169" s="192" t="str">
        <v>mindahin titik banjir 2025 dan 2026 di dashboard banjir</v>
      </c>
      <c r="D169" s="191" t="str">
        <v>Done</v>
      </c>
      <c r="E169" s="189"/>
    </row>
    <row r="170">
      <c r="A170" s="190"/>
      <c r="B170" s="194"/>
      <c r="C170" s="192"/>
      <c r="D170" s="191"/>
      <c r="E170" s="189"/>
    </row>
    <row r="171">
      <c r="A171" s="190"/>
      <c r="B171" s="194"/>
      <c r="C171" s="192"/>
      <c r="D171" s="191"/>
      <c r="E171" s="189"/>
    </row>
    <row r="172">
      <c r="A172" s="190"/>
      <c r="B172" s="194"/>
      <c r="C172" s="192"/>
      <c r="D172" s="191"/>
      <c r="E172" s="189"/>
    </row>
    <row r="173">
      <c r="A173" s="190"/>
      <c r="B173" s="179" t="str">
        <v>Hadi</v>
      </c>
      <c r="C173" s="192" t="str">
        <v>Monitoring Business (Performance, Daily Standup &amp; Feedback)</v>
      </c>
      <c r="D173" s="191" t="str">
        <v>Done</v>
      </c>
      <c r="E173" s="189"/>
    </row>
    <row r="174">
      <c r="A174" s="190"/>
      <c r="B174" s="179"/>
      <c r="C174" s="192" t="str">
        <v>Meeting Feasibility check NK &amp; Pupuk Indonesia</v>
      </c>
      <c r="D174" s="191" t="str">
        <v>Done</v>
      </c>
      <c r="E174" s="189"/>
    </row>
    <row r="175">
      <c r="A175" s="190"/>
      <c r="B175" s="179"/>
      <c r="C175" s="192" t="str">
        <v>Drafting B2B &amp; B2C Report Template</v>
      </c>
      <c r="D175" s="191" t="str">
        <v>Done</v>
      </c>
      <c r="E175" s="189" t="str">
        <v>lanjut mingdep</v>
      </c>
    </row>
    <row r="176">
      <c r="A176" s="190"/>
      <c r="B176" s="179"/>
      <c r="C176" s="192" t="str">
        <v>Nyicil Report Shareholders</v>
      </c>
      <c r="D176" s="191" t="str">
        <v>Done</v>
      </c>
      <c r="E176" s="189" t="str">
        <v>lanjut mingdep</v>
      </c>
    </row>
    <row r="177">
      <c r="A177" s="190"/>
      <c r="B177" s="179"/>
      <c r="C177" s="208"/>
      <c r="D177" s="198"/>
      <c r="E177" s="189"/>
    </row>
    <row r="178">
      <c r="A178" s="190">
        <v>46034</v>
      </c>
      <c r="B178" s="191" t="str">
        <v>Fariz</v>
      </c>
      <c r="C178" s="19" t="str">
        <v>Operasional WebGIS Persiapan H-3 Onboarding</v>
      </c>
      <c r="D178" s="179" t="str">
        <v>Done</v>
      </c>
      <c r="E178" s="202"/>
    </row>
    <row r="179">
      <c r="A179" s="190"/>
      <c r="B179" s="191"/>
      <c r="C179" s="19" t="str" xml:space="preserve">
        <v>[FLA] Koordinasi Freelancer 1. Learning Operation 2. Fasilitator WebGIS </v>
      </c>
      <c r="D179" s="179" t="str">
        <v>Done</v>
      </c>
      <c r="E179" s="202"/>
    </row>
    <row r="180">
      <c r="A180" s="190"/>
      <c r="B180" s="191"/>
      <c r="C180" s="19"/>
      <c r="D180" s="19"/>
      <c r="E180" s="202"/>
    </row>
    <row r="181">
      <c r="A181" s="190"/>
      <c r="B181" s="191"/>
      <c r="C181" s="192"/>
      <c r="D181" s="179"/>
      <c r="E181" s="202"/>
    </row>
    <row r="182">
      <c r="A182" s="190"/>
      <c r="B182" s="191"/>
      <c r="C182" s="192"/>
      <c r="D182" s="179"/>
      <c r="E182" s="202"/>
    </row>
    <row r="183">
      <c r="A183" s="190"/>
      <c r="B183" s="191" t="str">
        <v>Dwi</v>
      </c>
      <c r="C183" s="200" t="str">
        <v>Intern Requirements</v>
      </c>
      <c r="D183" s="203" t="str">
        <v>Done</v>
      </c>
      <c r="E183" s="189"/>
    </row>
    <row r="184">
      <c r="A184" s="190"/>
      <c r="B184" s="191"/>
      <c r="C184" s="192" t="str">
        <v>Team Flow &amp; target for Q1</v>
      </c>
      <c r="D184" s="191" t="str">
        <v>Done</v>
      </c>
      <c r="E184" s="189"/>
    </row>
    <row r="185">
      <c r="A185" s="190"/>
      <c r="B185" s="191"/>
      <c r="C185" s="192" t="str">
        <v>Operasional:
- update MAPID Academy webGIS Sales</v>
      </c>
      <c r="D185" s="191" t="str">
        <v>Done</v>
      </c>
      <c r="E185" s="189"/>
    </row>
    <row r="186">
      <c r="A186" s="190"/>
      <c r="B186" s="191"/>
      <c r="C186" s="192"/>
      <c r="D186" s="191"/>
      <c r="E186" s="189"/>
    </row>
    <row r="187">
      <c r="A187" s="190"/>
      <c r="B187" s="191"/>
      <c r="C187" s="192"/>
      <c r="D187" s="191"/>
      <c r="E187" s="189"/>
    </row>
    <row r="188">
      <c r="A188" s="190"/>
      <c r="B188" s="191"/>
      <c r="C188" s="192"/>
      <c r="D188" s="191"/>
      <c r="E188" s="189"/>
    </row>
    <row r="189">
      <c r="A189" s="190"/>
      <c r="B189" s="179" t="str">
        <v>Wina</v>
      </c>
      <c r="C189" s="192" t="str">
        <v>Daily Content (newsletter, IGs, WA Group)</v>
      </c>
      <c r="D189" s="191" t="str">
        <v>Done</v>
      </c>
      <c r="E189" s="189"/>
    </row>
    <row r="190">
      <c r="A190" s="190"/>
      <c r="B190" s="179"/>
      <c r="C190" s="192" t="str">
        <v>Free Class</v>
      </c>
      <c r="D190" s="191" t="str">
        <v>Done</v>
      </c>
      <c r="E190" s="189"/>
    </row>
    <row r="191">
      <c r="A191" s="190"/>
      <c r="B191" s="179"/>
      <c r="C191" s="192"/>
      <c r="D191" s="191"/>
      <c r="E191" s="189"/>
    </row>
    <row r="192">
      <c r="A192" s="190"/>
      <c r="B192" s="179"/>
      <c r="C192" s="192"/>
      <c r="D192" s="191"/>
      <c r="E192" s="189"/>
    </row>
    <row r="193">
      <c r="A193" s="190"/>
      <c r="B193" s="191" t="str">
        <v>Annisa</v>
      </c>
      <c r="C193" s="192" t="str">
        <v>Revisi Synced Block</v>
      </c>
      <c r="D193" s="191" t="str">
        <v>Done</v>
      </c>
      <c r="E193" s="189"/>
    </row>
    <row r="194">
      <c r="A194" s="190"/>
      <c r="B194" s="191"/>
      <c r="C194" s="192" t="str">
        <v>CEK KESEHATAN KOTA</v>
      </c>
      <c r="D194" s="191" t="str">
        <v>Done</v>
      </c>
      <c r="E194" s="189"/>
    </row>
    <row r="195">
      <c r="A195" s="190"/>
      <c r="B195" s="191"/>
      <c r="C195" s="192" t="str">
        <v>Ads - Business Expansion</v>
      </c>
      <c r="D195" s="191" t="str">
        <v>Done</v>
      </c>
      <c r="E195" s="189"/>
    </row>
    <row r="196">
      <c r="A196" s="190"/>
      <c r="B196" s="191"/>
      <c r="C196" s="192"/>
      <c r="D196" s="191"/>
      <c r="E196" s="189"/>
    </row>
    <row r="197">
      <c r="A197" s="190"/>
      <c r="B197" s="191"/>
      <c r="C197" s="192"/>
      <c r="D197" s="191"/>
      <c r="E197" s="189"/>
    </row>
    <row r="198">
      <c r="A198" s="190"/>
      <c r="B198" s="194" t="str">
        <v>Lossa</v>
      </c>
      <c r="C198" s="192" t="str">
        <v>proposal teknis pilot pupukindo</v>
      </c>
      <c r="D198" s="191" t="str">
        <v>Done</v>
      </c>
      <c r="E198" s="189" t="s">
        <v>351</v>
      </c>
    </row>
    <row r="199">
      <c r="A199" s="190"/>
      <c r="B199" s="194"/>
      <c r="C199" s="192" t="str">
        <v>testcase psn</v>
      </c>
      <c r="D199" s="191" t="str">
        <v>Done</v>
      </c>
      <c r="E199" s="189" t="str">
        <v>krn pulau seram timur problenmnya blm resolved, jadi pulau seram barat aja</v>
      </c>
    </row>
    <row r="200">
      <c r="A200" s="190"/>
      <c r="B200" s="194"/>
      <c r="C200" s="192" t="str">
        <v>deck bluebird</v>
      </c>
      <c r="D200" s="191" t="str">
        <v>Done</v>
      </c>
      <c r="E200" s="189" t="s">
        <v>352</v>
      </c>
    </row>
    <row r="201">
      <c r="A201" s="190"/>
      <c r="B201" s="194"/>
      <c r="C201" s="192" t="str">
        <v>(pelindo) fu, adjust pc</v>
      </c>
      <c r="D201" s="191" t="str">
        <v>Done</v>
      </c>
      <c r="E201" s="189"/>
    </row>
    <row r="202">
      <c r="A202" s="190"/>
      <c r="B202" s="194"/>
      <c r="C202" s="192" t="str">
        <v>meet teknis orange</v>
      </c>
      <c r="D202" s="191" t="str">
        <v>Done</v>
      </c>
      <c r="E202" s="189"/>
    </row>
    <row r="203">
      <c r="A203" s="190"/>
      <c r="B203" s="194" t="str">
        <v>Amel</v>
      </c>
      <c r="C203" s="192" t="str">
        <v>koordinasi bugs + eror dashboard DSDA</v>
      </c>
      <c r="D203" s="191" t="str">
        <v>Done</v>
      </c>
      <c r="E203" s="189"/>
    </row>
    <row r="204">
      <c r="A204" s="190"/>
      <c r="B204" s="194"/>
      <c r="C204" s="192" t="str">
        <v>commercial nippon koei</v>
      </c>
      <c r="D204" s="191" t="str">
        <v>Done</v>
      </c>
      <c r="E204" s="189"/>
    </row>
    <row r="205">
      <c r="A205" s="190"/>
      <c r="B205" s="194"/>
      <c r="C205" s="192" t="str">
        <v>sow HKI</v>
      </c>
      <c r="D205" s="191" t="str">
        <v>Done</v>
      </c>
      <c r="E205" s="189"/>
    </row>
    <row r="206">
      <c r="A206" s="190"/>
      <c r="B206" s="194"/>
      <c r="C206" s="192" t="str">
        <v>bikin dokumen ringkasan survei harga satuan untuk presentasi</v>
      </c>
      <c r="D206" s="191" t="str">
        <v>Done</v>
      </c>
      <c r="E206" s="189"/>
    </row>
    <row r="207">
      <c r="A207" s="190"/>
      <c r="B207" s="194"/>
      <c r="C207" s="192"/>
      <c r="D207" s="191"/>
      <c r="E207" s="189"/>
    </row>
    <row r="208">
      <c r="A208" s="190"/>
      <c r="B208" s="194"/>
      <c r="C208" s="192"/>
      <c r="D208" s="191"/>
      <c r="E208" s="189"/>
    </row>
    <row r="209">
      <c r="A209" s="190"/>
      <c r="B209" s="179" t="str">
        <v>Hadi</v>
      </c>
      <c r="C209" s="192" t="str">
        <v>Monitoring Business (Performance, Feedback)</v>
      </c>
      <c r="D209" s="191" t="str">
        <v>Done</v>
      </c>
      <c r="E209" s="189"/>
    </row>
    <row r="210">
      <c r="A210" s="190"/>
      <c r="B210" s="179"/>
      <c r="C210" s="192" t="str">
        <v>Drafting B2B &amp; B2C Report Template</v>
      </c>
      <c r="D210" s="191" t="str">
        <v>Done</v>
      </c>
      <c r="E210" s="189"/>
    </row>
    <row r="211">
      <c r="A211" s="190"/>
      <c r="B211" s="179"/>
      <c r="C211" s="192" t="str">
        <v>CRM Sync</v>
      </c>
      <c r="D211" s="191" t="str">
        <v>Done</v>
      </c>
      <c r="E211" s="189"/>
    </row>
    <row r="212">
      <c r="A212" s="190"/>
      <c r="B212" s="179"/>
      <c r="C212" s="192" t="str">
        <v>Weekly Meeting Business</v>
      </c>
      <c r="D212" s="191" t="str">
        <v>Done</v>
      </c>
      <c r="E212" s="189"/>
    </row>
    <row r="213">
      <c r="A213" s="190"/>
      <c r="B213" s="179"/>
      <c r="C213" s="208"/>
      <c r="D213" s="198"/>
      <c r="E213" s="189"/>
    </row>
    <row customHeight="true" ht="19" r="214">
      <c r="A214" s="190">
        <v>46035</v>
      </c>
      <c r="B214" s="191" t="str">
        <v>Fariz</v>
      </c>
      <c r="C214" s="192" t="str" xml:space="preserve">
        <v>[LMS] UI/UX Concept for Pertemuan 5 Triana </v>
      </c>
      <c r="D214" s="179" t="str">
        <v>Done</v>
      </c>
      <c r="E214" s="202"/>
    </row>
    <row r="215">
      <c r="A215" s="190"/>
      <c r="B215" s="191"/>
      <c r="C215" s="19" t="str">
        <v>Operasional WebGIS Persiapan H-2 Onboarding</v>
      </c>
      <c r="D215" s="179" t="str">
        <v>Done</v>
      </c>
      <c r="E215" s="202"/>
    </row>
    <row r="216">
      <c r="A216" s="190"/>
      <c r="B216" s="191"/>
      <c r="C216" s="133"/>
      <c r="D216" s="133"/>
      <c r="E216" s="202"/>
    </row>
    <row r="217">
      <c r="A217" s="190"/>
      <c r="B217" s="191"/>
      <c r="C217" s="192"/>
      <c r="D217" s="179"/>
      <c r="E217" s="202"/>
    </row>
    <row r="218">
      <c r="A218" s="190"/>
      <c r="B218" s="191"/>
      <c r="C218" s="192"/>
      <c r="D218" s="179"/>
      <c r="E218" s="202"/>
    </row>
    <row r="219">
      <c r="A219" s="190"/>
      <c r="B219" s="191" t="str">
        <v>Dwi</v>
      </c>
      <c r="C219" s="200" t="str">
        <v>Operasional (Update Sales)</v>
      </c>
      <c r="D219" s="203" t="str">
        <v>Done</v>
      </c>
      <c r="E219" s="189"/>
    </row>
    <row r="220">
      <c r="A220" s="190"/>
      <c r="B220" s="191"/>
      <c r="C220" s="192" t="str">
        <v>Discuss Hiring Interns</v>
      </c>
      <c r="D220" s="191" t="str">
        <v>Done</v>
      </c>
      <c r="E220" s="189"/>
    </row>
    <row r="221">
      <c r="A221" s="190"/>
      <c r="B221" s="191"/>
      <c r="C221" s="192" t="str">
        <v>Discuss weeklyy b2c - alligning progress &amp; next step</v>
      </c>
      <c r="D221" s="191" t="str">
        <v>Done</v>
      </c>
      <c r="E221" s="189"/>
    </row>
    <row r="222">
      <c r="A222" s="190"/>
      <c r="B222" s="191"/>
      <c r="C222" s="192" t="str">
        <v>CRM MAPID Academy WebGIS- Final</v>
      </c>
      <c r="D222" s="191" t="str">
        <v>Done</v>
      </c>
      <c r="E222" s="189"/>
    </row>
    <row r="223">
      <c r="A223" s="190"/>
      <c r="B223" s="191"/>
      <c r="C223" s="192"/>
      <c r="D223" s="191"/>
      <c r="E223" s="189"/>
    </row>
    <row r="224">
      <c r="A224" s="190"/>
      <c r="B224" s="191"/>
      <c r="C224" s="192"/>
      <c r="D224" s="191"/>
      <c r="E224" s="189"/>
    </row>
    <row r="225">
      <c r="A225" s="190"/>
      <c r="B225" s="179" t="str">
        <v>Wina</v>
      </c>
      <c r="C225" s="192" t="str">
        <v>Daily Content (newsletter, IG, Youtube)</v>
      </c>
      <c r="D225" s="191" t="str">
        <v>Done</v>
      </c>
      <c r="E225" s="189"/>
    </row>
    <row r="226">
      <c r="A226" s="190"/>
      <c r="B226" s="179"/>
      <c r="C226" s="192" t="str">
        <v>listing content</v>
      </c>
      <c r="D226" s="191" t="str">
        <v>Done</v>
      </c>
      <c r="E226" s="189"/>
    </row>
    <row r="227">
      <c r="A227" s="190"/>
      <c r="B227" s="179"/>
      <c r="C227" s="192"/>
      <c r="D227" s="191"/>
      <c r="E227" s="189"/>
    </row>
    <row r="228">
      <c r="A228" s="190"/>
      <c r="B228" s="179"/>
      <c r="C228" s="192"/>
      <c r="D228" s="191"/>
      <c r="E228" s="189"/>
    </row>
    <row r="229">
      <c r="A229" s="190"/>
      <c r="B229" s="191" t="str">
        <v>Annisa</v>
      </c>
      <c r="C229" s="192" t="str">
        <v>Ads Business Expansion (1/3)</v>
      </c>
      <c r="D229" s="191" t="str">
        <v>Done</v>
      </c>
      <c r="E229" s="189"/>
    </row>
    <row r="230">
      <c r="A230" s="190"/>
      <c r="B230" s="191"/>
      <c r="C230" s="192" t="str">
        <v>Testimoni WebGIS - Firman Maulana</v>
      </c>
      <c r="D230" s="191" t="str">
        <v>Done</v>
      </c>
      <c r="E230" s="189"/>
    </row>
    <row r="231">
      <c r="A231" s="190"/>
      <c r="B231" s="191"/>
      <c r="C231" s="192" t="str" xml:space="preserve">
        <v>MAPID CORPORATE TRAINING standard design </v>
      </c>
      <c r="D231" s="191" t="str">
        <v>Done</v>
      </c>
      <c r="E231" s="189"/>
    </row>
    <row r="232">
      <c r="A232" s="190"/>
      <c r="B232" s="191"/>
      <c r="C232" s="192"/>
      <c r="D232" s="191"/>
      <c r="E232" s="189"/>
    </row>
    <row r="233">
      <c r="A233" s="190"/>
      <c r="B233" s="191"/>
      <c r="C233" s="192"/>
      <c r="D233" s="191"/>
      <c r="E233" s="189"/>
    </row>
    <row customHeight="true" ht="19" r="234">
      <c r="A234" s="190"/>
      <c r="B234" s="194" t="str">
        <v>Lossa</v>
      </c>
      <c r="C234" s="192" t="str">
        <v>review dan finalisasi output orange</v>
      </c>
      <c r="D234" s="191" t="str">
        <v>Done</v>
      </c>
      <c r="E234" s="189"/>
    </row>
    <row r="235">
      <c r="A235" s="190"/>
      <c r="B235" s="194"/>
      <c r="C235" s="192" t="str">
        <v>meet presentasi hasil orange dental</v>
      </c>
      <c r="D235" s="191" t="str">
        <v>Done</v>
      </c>
      <c r="E235" s="189"/>
    </row>
    <row r="236">
      <c r="A236" s="190"/>
      <c r="B236" s="194"/>
      <c r="C236" s="192" t="str">
        <v>deck cimory, mr diy, tigenco</v>
      </c>
      <c r="D236" s="191" t="str">
        <v>Done</v>
      </c>
      <c r="E236" s="189"/>
    </row>
    <row r="237">
      <c r="A237" s="190"/>
      <c r="B237" s="194"/>
      <c r="C237" s="192" t="str">
        <v>telkomsat</v>
      </c>
      <c r="D237" s="191" t="str">
        <v>Done</v>
      </c>
      <c r="E237" s="189"/>
    </row>
    <row r="238">
      <c r="A238" s="190"/>
      <c r="B238" s="194" t="str">
        <v>Amel</v>
      </c>
      <c r="C238" s="192" t="str">
        <v>Meeting DSDA Survey</v>
      </c>
      <c r="D238" s="191" t="str">
        <v>Done</v>
      </c>
      <c r="E238" s="189"/>
    </row>
    <row r="239">
      <c r="A239" s="190"/>
      <c r="B239" s="194"/>
      <c r="C239" s="192" t="str">
        <v>Meeting DSDA dashboard</v>
      </c>
      <c r="D239" s="191" t="str">
        <v>Done</v>
      </c>
      <c r="E239" s="189"/>
    </row>
    <row r="240">
      <c r="A240" s="190"/>
      <c r="B240" s="194"/>
      <c r="C240" s="192"/>
      <c r="D240" s="191"/>
      <c r="E240" s="189"/>
    </row>
    <row r="241">
      <c r="A241" s="190"/>
      <c r="B241" s="194"/>
      <c r="C241" s="192"/>
      <c r="D241" s="191"/>
      <c r="E241" s="189"/>
    </row>
    <row r="242">
      <c r="A242" s="190"/>
      <c r="B242" s="194"/>
      <c r="C242" s="192"/>
      <c r="D242" s="191"/>
      <c r="E242" s="189"/>
    </row>
    <row r="243">
      <c r="A243" s="190"/>
      <c r="B243" s="179" t="str">
        <v>Hadi</v>
      </c>
      <c r="C243" s="192" t="str">
        <v>Meeting DSDA Survey</v>
      </c>
      <c r="D243" s="191" t="str">
        <v>Done</v>
      </c>
      <c r="E243" s="189"/>
    </row>
    <row r="244">
      <c r="A244" s="190"/>
      <c r="B244" s="179"/>
      <c r="C244" s="192" t="str">
        <v>Meeting DSDA Dashboard</v>
      </c>
      <c r="D244" s="191" t="str">
        <v>Done</v>
      </c>
      <c r="E244" s="189"/>
    </row>
    <row r="245">
      <c r="A245" s="190"/>
      <c r="B245" s="179"/>
      <c r="C245" s="192"/>
      <c r="D245" s="191"/>
      <c r="E245" s="189"/>
    </row>
    <row r="246">
      <c r="A246" s="190"/>
      <c r="B246" s="179"/>
      <c r="C246" s="192"/>
      <c r="D246" s="191"/>
      <c r="E246" s="189"/>
    </row>
    <row r="247">
      <c r="A247" s="190"/>
      <c r="B247" s="179"/>
      <c r="C247" s="192"/>
      <c r="D247" s="191"/>
      <c r="E247" s="189"/>
    </row>
    <row r="248">
      <c r="A248" s="190">
        <v>46036</v>
      </c>
      <c r="B248" s="191" t="str">
        <v>Fariz</v>
      </c>
      <c r="C248" s="192" t="str">
        <v>Courselab Riset Materi 1</v>
      </c>
      <c r="D248" s="179" t="str">
        <v>Done</v>
      </c>
      <c r="E248" s="189"/>
    </row>
    <row r="249">
      <c r="A249" s="190"/>
      <c r="B249" s="191"/>
      <c r="C249" s="19" t="str">
        <v>Operasional WebGIS Persiapan H-1 Onboarding</v>
      </c>
      <c r="D249" s="179" t="str">
        <v>Done</v>
      </c>
      <c r="E249" s="189"/>
    </row>
    <row r="250">
      <c r="A250" s="190"/>
      <c r="B250" s="191"/>
      <c r="C250" s="133"/>
      <c r="D250" s="133"/>
      <c r="E250" s="189"/>
    </row>
    <row r="251">
      <c r="A251" s="190"/>
      <c r="B251" s="191"/>
      <c r="C251" s="192"/>
      <c r="D251" s="179"/>
      <c r="E251" s="189"/>
    </row>
    <row r="252">
      <c r="A252" s="190"/>
      <c r="B252" s="191"/>
      <c r="C252" s="192"/>
      <c r="D252" s="179"/>
      <c r="E252" s="189"/>
    </row>
    <row r="253">
      <c r="A253" s="190"/>
      <c r="B253" s="191" t="str">
        <v>Dwi</v>
      </c>
      <c r="C253" s="192" t="str">
        <v>CRM MAPID Academy WebGIS- Final</v>
      </c>
      <c r="D253" s="203" t="str">
        <v>Done</v>
      </c>
      <c r="E253" s="189"/>
    </row>
    <row r="254">
      <c r="A254" s="190"/>
      <c r="B254" s="191"/>
      <c r="C254" s="192" t="str">
        <v>Plan Website</v>
      </c>
      <c r="D254" s="191"/>
      <c r="E254" s="189"/>
    </row>
    <row r="255">
      <c r="A255" s="190"/>
      <c r="B255" s="191"/>
      <c r="C255" s="192" t="str">
        <v>Plan MAPID Academy Location Analytics</v>
      </c>
      <c r="D255" s="191"/>
      <c r="E255" s="189"/>
    </row>
    <row r="256">
      <c r="A256" s="190"/>
      <c r="B256" s="191"/>
      <c r="C256" s="200" t="str">
        <v>Operasional (Update Sales &amp; cashback) MAPID Academy</v>
      </c>
      <c r="D256" s="191" t="str">
        <v>Done</v>
      </c>
      <c r="E256" s="189"/>
    </row>
    <row r="257">
      <c r="A257" s="190"/>
      <c r="B257" s="191"/>
      <c r="C257" s="192"/>
      <c r="D257" s="191"/>
      <c r="E257" s="189"/>
    </row>
    <row r="258">
      <c r="A258" s="190"/>
      <c r="B258" s="191"/>
      <c r="C258" s="192"/>
      <c r="D258" s="191"/>
      <c r="E258" s="189"/>
    </row>
    <row r="259">
      <c r="A259" s="190"/>
      <c r="B259" s="179" t="str">
        <v>Wina</v>
      </c>
      <c r="C259" s="192" t="str">
        <v>Daily Content (newsletter, IGs, WA Group)</v>
      </c>
      <c r="D259" s="191" t="str">
        <v>Done</v>
      </c>
      <c r="E259" s="189"/>
    </row>
    <row r="260">
      <c r="A260" s="190"/>
      <c r="B260" s="179"/>
      <c r="C260" s="192" t="str">
        <v>doc evaluasi free class 2</v>
      </c>
      <c r="D260" s="191" t="str">
        <v>Done</v>
      </c>
      <c r="E260" s="189"/>
    </row>
    <row r="261">
      <c r="A261" s="190"/>
      <c r="B261" s="179"/>
      <c r="C261" s="192" t="str">
        <v>handover community (Dhina &gt; Aulia)</v>
      </c>
      <c r="D261" s="191" t="str">
        <v>Done</v>
      </c>
      <c r="E261" s="189" t="str">
        <v>dilanjut besok</v>
      </c>
    </row>
    <row r="262">
      <c r="A262" s="190"/>
      <c r="B262" s="179"/>
      <c r="C262" s="192"/>
      <c r="D262" s="191"/>
      <c r="E262" s="189"/>
    </row>
    <row r="263">
      <c r="A263" s="190"/>
      <c r="B263" s="191" t="str">
        <v>Annisa</v>
      </c>
      <c r="C263" s="192" t="str">
        <v>Ads Business Expansion (2/3) &amp; (1/3)</v>
      </c>
      <c r="D263" s="191" t="str">
        <v>Done</v>
      </c>
      <c r="E263" s="189"/>
    </row>
    <row r="264">
      <c r="A264" s="190"/>
      <c r="B264" s="191"/>
      <c r="C264" s="192" t="str" xml:space="preserve">
        <v>final deck MAPID </v>
      </c>
      <c r="D264" s="191" t="str">
        <v>Done</v>
      </c>
      <c r="E264" s="189"/>
    </row>
    <row r="265">
      <c r="A265" s="190"/>
      <c r="B265" s="191"/>
      <c r="C265" s="192"/>
      <c r="D265" s="191"/>
      <c r="E265" s="189"/>
    </row>
    <row r="266">
      <c r="A266" s="190"/>
      <c r="B266" s="191"/>
      <c r="C266" s="192"/>
      <c r="D266" s="191"/>
      <c r="E266" s="189"/>
    </row>
    <row r="267">
      <c r="A267" s="190"/>
      <c r="B267" s="191"/>
      <c r="C267" s="192"/>
      <c r="D267" s="191"/>
      <c r="E267" s="189"/>
    </row>
    <row r="268">
      <c r="A268" s="190"/>
      <c r="B268" s="194" t="str">
        <v>Lossa</v>
      </c>
      <c r="C268" s="192" t="str">
        <v>meeting bpo pelindo</v>
      </c>
      <c r="D268" s="191" t="str">
        <v>Done</v>
      </c>
      <c r="E268" s="189">
        <v>11</v>
      </c>
    </row>
    <row r="269">
      <c r="A269" s="190"/>
      <c r="B269" s="194"/>
      <c r="C269" s="192" t="str">
        <v>deck bangsawan, frd psn</v>
      </c>
      <c r="D269" s="191" t="str">
        <v>Done</v>
      </c>
      <c r="E269" s="189"/>
    </row>
    <row r="270">
      <c r="A270" s="190"/>
      <c r="B270" s="194"/>
      <c r="C270" s="192" t="str">
        <v>bast orange dental</v>
      </c>
      <c r="D270" s="191" t="str">
        <v>Done</v>
      </c>
      <c r="E270" s="189"/>
    </row>
    <row r="271">
      <c r="A271" s="190"/>
      <c r="B271" s="194"/>
      <c r="C271" s="192" t="str">
        <v>meeting telkomsat</v>
      </c>
      <c r="D271" s="191" t="str">
        <v>Done</v>
      </c>
      <c r="E271" s="189">
        <v>15.3</v>
      </c>
    </row>
    <row r="272">
      <c r="A272" s="190"/>
      <c r="B272" s="194"/>
      <c r="C272" s="192" t="str">
        <v>nyicil project use case</v>
      </c>
      <c r="D272" s="191" t="str">
        <v>Done</v>
      </c>
      <c r="E272" s="189"/>
    </row>
    <row r="273">
      <c r="A273" s="190"/>
      <c r="B273" s="194" t="str">
        <v>Amel</v>
      </c>
      <c r="C273" s="192" t="str">
        <v>frd DSDA fase lanjutan</v>
      </c>
      <c r="D273" s="191" t="str">
        <v>Done</v>
      </c>
      <c r="E273" s="189"/>
    </row>
    <row r="274">
      <c r="A274" s="190"/>
      <c r="B274" s="194"/>
      <c r="C274" s="192" t="str">
        <v>frd TAM (divisi digital n mobility)</v>
      </c>
      <c r="D274" s="191" t="str">
        <v>Done</v>
      </c>
      <c r="E274" s="189"/>
    </row>
    <row r="275">
      <c r="A275" s="190"/>
      <c r="B275" s="194"/>
      <c r="C275" s="192" t="str">
        <v>nyicil project use case</v>
      </c>
      <c r="D275" s="191" t="str">
        <v>Done</v>
      </c>
      <c r="E275" s="189"/>
    </row>
    <row r="276">
      <c r="A276" s="190"/>
      <c r="B276" s="194"/>
      <c r="C276" s="192" t="str">
        <v>deck english1</v>
      </c>
      <c r="D276" s="191" t="str">
        <v>Done</v>
      </c>
      <c r="E276" s="189"/>
    </row>
    <row r="277">
      <c r="A277" s="190"/>
      <c r="B277" s="179" t="str">
        <v>Hadi</v>
      </c>
      <c r="C277" s="192" t="str">
        <v>Meeting Head</v>
      </c>
      <c r="D277" s="191" t="str">
        <v>Done</v>
      </c>
      <c r="E277" s="189"/>
    </row>
    <row r="278">
      <c r="A278" s="190"/>
      <c r="B278" s="179"/>
      <c r="C278" s="192" t="str">
        <v>Monitoring Business (Performance, Feedback)</v>
      </c>
      <c r="D278" s="191" t="str">
        <v>Done</v>
      </c>
      <c r="E278" s="189"/>
    </row>
    <row r="279">
      <c r="A279" s="190"/>
      <c r="B279" s="179"/>
      <c r="C279" s="192" t="str">
        <v>Meeting Telkomsat</v>
      </c>
      <c r="D279" s="191" t="str">
        <v>Done</v>
      </c>
      <c r="E279" s="189"/>
    </row>
    <row r="280">
      <c r="A280" s="190"/>
      <c r="B280" s="179"/>
      <c r="C280" s="192"/>
      <c r="D280" s="191"/>
      <c r="E280" s="189"/>
    </row>
    <row r="281">
      <c r="A281" s="190"/>
      <c r="B281" s="179"/>
      <c r="C281" s="192"/>
      <c r="D281" s="191"/>
      <c r="E281" s="189"/>
    </row>
    <row r="282">
      <c r="A282" s="190">
        <v>46037</v>
      </c>
      <c r="B282" s="191" t="str">
        <v>Fariz</v>
      </c>
      <c r="C282" s="192" t="str" xml:space="preserve">
        <v>[CER] Dokumen Kelanjutan Program Undip </v>
      </c>
      <c r="D282" s="191" t="str">
        <v>Done</v>
      </c>
      <c r="E282" s="189"/>
    </row>
    <row r="283">
      <c r="A283" s="190"/>
      <c r="B283" s="191"/>
      <c r="C283" s="192" t="str">
        <v>[LMS] Latihan Hands-On CourseLab 1</v>
      </c>
      <c r="D283" s="191" t="str">
        <v>Done</v>
      </c>
      <c r="E283" s="189" t="s">
        <v>364</v>
      </c>
    </row>
    <row r="284">
      <c r="A284" s="190"/>
      <c r="B284" s="191"/>
      <c r="C284" s="19" t="str">
        <v>[WGA] WebGIS Onboarding</v>
      </c>
      <c r="D284" s="191" t="str">
        <v>Done</v>
      </c>
      <c r="E284" s="189"/>
    </row>
    <row r="285">
      <c r="A285" s="190"/>
      <c r="B285" s="191"/>
      <c r="C285" s="192"/>
      <c r="D285" s="191"/>
      <c r="E285" s="189"/>
    </row>
    <row r="286">
      <c r="A286" s="190"/>
      <c r="B286" s="191"/>
      <c r="C286" s="192"/>
      <c r="D286" s="191"/>
      <c r="E286" s="189"/>
    </row>
    <row r="287">
      <c r="A287" s="190"/>
      <c r="B287" s="191" t="str">
        <v>Dwi</v>
      </c>
      <c r="C287" s="192" t="str">
        <v>Plan Website</v>
      </c>
      <c r="D287" s="191" t="str">
        <v>Done</v>
      </c>
      <c r="E287" s="189"/>
    </row>
    <row r="288">
      <c r="A288" s="190"/>
      <c r="B288" s="191"/>
      <c r="C288" s="192" t="str">
        <v>Plan MAPID Academy Location Analytics</v>
      </c>
      <c r="D288" s="191"/>
      <c r="E288" s="189"/>
    </row>
    <row r="289">
      <c r="A289" s="190"/>
      <c r="B289" s="191"/>
      <c r="C289" s="192" t="str">
        <v>Content Freelance</v>
      </c>
      <c r="D289" s="191"/>
      <c r="E289" s="189"/>
    </row>
    <row r="290">
      <c r="A290" s="190"/>
      <c r="B290" s="191"/>
      <c r="C290" s="192" t="str">
        <v>Operasional Sales (MAPID Academy)</v>
      </c>
      <c r="D290" s="191" t="str">
        <v>Done</v>
      </c>
      <c r="E290" s="189"/>
    </row>
    <row r="291">
      <c r="A291" s="190"/>
      <c r="B291" s="191"/>
      <c r="C291" s="192" t="str">
        <v>Report Bi-weekly</v>
      </c>
      <c r="D291" s="191" t="str">
        <v>Done</v>
      </c>
      <c r="E291" s="189"/>
    </row>
    <row r="292">
      <c r="A292" s="190"/>
      <c r="B292" s="191"/>
      <c r="C292" s="192"/>
      <c r="D292" s="191"/>
      <c r="E292" s="189"/>
    </row>
    <row r="293">
      <c r="A293" s="190"/>
      <c r="B293" s="179" t="str">
        <v>Wina</v>
      </c>
      <c r="C293" s="192" t="str">
        <v>listing content</v>
      </c>
      <c r="D293" s="191" t="str">
        <v>Done</v>
      </c>
      <c r="E293" s="189"/>
    </row>
    <row r="294">
      <c r="A294" s="190"/>
      <c r="B294" s="179"/>
      <c r="C294" s="192" t="str">
        <v>reschedule event bareng Sobat Air Jakarta</v>
      </c>
      <c r="D294" s="191" t="str">
        <v>Done</v>
      </c>
      <c r="E294" s="189"/>
    </row>
    <row r="295">
      <c r="A295" s="190"/>
      <c r="B295" s="179"/>
      <c r="C295" s="192" t="str">
        <v>handover doc dhina &gt; aulia</v>
      </c>
      <c r="D295" s="191" t="str">
        <v>Done</v>
      </c>
      <c r="E295" s="189"/>
    </row>
    <row r="296">
      <c r="A296" s="190"/>
      <c r="B296" s="179"/>
      <c r="C296" s="192"/>
      <c r="D296" s="191"/>
      <c r="E296" s="189"/>
    </row>
    <row r="297">
      <c r="A297" s="190"/>
      <c r="B297" s="191" t="str">
        <v>Annisa</v>
      </c>
      <c r="C297" s="192" t="str">
        <v>Isra Mi'raj konten</v>
      </c>
      <c r="D297" s="191" t="str">
        <v>Done</v>
      </c>
      <c r="E297" s="189"/>
    </row>
    <row r="298">
      <c r="A298" s="190"/>
      <c r="B298" s="191"/>
      <c r="C298" s="192" t="str">
        <v>Review Final Project- Candra</v>
      </c>
      <c r="D298" s="191" t="str">
        <v>Done</v>
      </c>
      <c r="E298" s="189"/>
    </row>
    <row r="299">
      <c r="A299" s="190"/>
      <c r="B299" s="191"/>
      <c r="C299" s="192" t="str">
        <v>Ilmu spasial di Stranger Things konten</v>
      </c>
      <c r="D299" s="191" t="str">
        <v>Done</v>
      </c>
      <c r="E299" s="189"/>
    </row>
    <row r="300">
      <c r="A300" s="190"/>
      <c r="B300" s="191"/>
      <c r="C300" s="192"/>
      <c r="D300" s="191"/>
      <c r="E300" s="189"/>
    </row>
    <row r="301">
      <c r="A301" s="190"/>
      <c r="B301" s="191"/>
      <c r="C301" s="192"/>
      <c r="D301" s="191"/>
      <c r="E301" s="189"/>
    </row>
    <row r="302">
      <c r="A302" s="190"/>
      <c r="B302" s="194" t="str">
        <v>Lossa</v>
      </c>
      <c r="C302" s="192" t="str">
        <v>aligning pelindo, lanjutin frd psn</v>
      </c>
      <c r="D302" s="191" t="str">
        <v>Done</v>
      </c>
      <c r="E302" s="189"/>
    </row>
    <row r="303">
      <c r="A303" s="190"/>
      <c r="B303" s="194"/>
      <c r="C303" s="192" t="str">
        <v>demo call cimory</v>
      </c>
      <c r="D303" s="191" t="str">
        <v>Done</v>
      </c>
      <c r="E303" s="189">
        <v>16</v>
      </c>
    </row>
    <row r="304">
      <c r="A304" s="190"/>
      <c r="B304" s="194"/>
      <c r="C304" s="192" t="str">
        <v>business metrics</v>
      </c>
      <c r="D304" s="191" t="str">
        <v>Done</v>
      </c>
      <c r="E304" s="189" t="s">
        <v>357</v>
      </c>
    </row>
    <row r="305">
      <c r="A305" s="190"/>
      <c r="B305" s="194"/>
      <c r="C305" s="192" t="str">
        <v>ngulik usecase connectinx</v>
      </c>
      <c r="D305" s="191" t="str">
        <v>Done</v>
      </c>
      <c r="E305" s="189"/>
    </row>
    <row r="306">
      <c r="A306" s="190"/>
      <c r="B306" s="194"/>
      <c r="C306" s="192" t="str">
        <v>mom cimory</v>
      </c>
      <c r="D306" s="191" t="str">
        <v>Done</v>
      </c>
      <c r="E306" s="189"/>
    </row>
    <row r="307">
      <c r="A307" s="190"/>
      <c r="B307" s="194" t="str">
        <v>Amel</v>
      </c>
      <c r="C307" s="192" t="str">
        <v>bikin deck buat MRT</v>
      </c>
      <c r="D307" s="191" t="str">
        <v>Done</v>
      </c>
      <c r="E307" s="189"/>
    </row>
    <row r="308">
      <c r="A308" s="190"/>
      <c r="B308" s="194"/>
      <c r="C308" s="192" t="str" xml:space="preserve">
        <v>SOW dan pricing DSDA </v>
      </c>
      <c r="D308" s="191" t="str">
        <v>Done</v>
      </c>
      <c r="E308" s="189"/>
    </row>
    <row r="309">
      <c r="A309" s="190"/>
      <c r="B309" s="194"/>
      <c r="C309" s="192" t="str">
        <v>mengisi business metrics impactto</v>
      </c>
      <c r="D309" s="191" t="str">
        <v>Done</v>
      </c>
      <c r="E309" s="189" t="s">
        <v>357</v>
      </c>
    </row>
    <row r="310">
      <c r="A310" s="190"/>
      <c r="B310" s="194"/>
      <c r="C310" s="192" t="str">
        <v>meeting HKI</v>
      </c>
      <c r="D310" s="191" t="str">
        <v>Done</v>
      </c>
      <c r="E310" s="189">
        <v>13</v>
      </c>
    </row>
    <row customHeight="true" ht="19" r="311">
      <c r="A311" s="190"/>
      <c r="B311" s="194"/>
      <c r="C311" s="192"/>
      <c r="D311" s="191"/>
      <c r="E311" s="189"/>
    </row>
    <row r="312">
      <c r="A312" s="190"/>
      <c r="B312" s="179" t="str">
        <v>Hadi</v>
      </c>
      <c r="C312" s="192" t="str">
        <v>Monitoring Business (Performance, Feedback, Project)</v>
      </c>
      <c r="D312" s="191" t="str">
        <v>Done</v>
      </c>
      <c r="E312" s="189"/>
    </row>
    <row r="313">
      <c r="A313" s="190"/>
      <c r="B313" s="179"/>
      <c r="C313" s="192" t="str">
        <v>1on1 Session Business</v>
      </c>
      <c r="D313" s="191" t="str">
        <v>Done</v>
      </c>
      <c r="E313" s="189"/>
    </row>
    <row r="314">
      <c r="A314" s="190"/>
      <c r="B314" s="179"/>
      <c r="C314" s="192" t="str">
        <v>Drafting Proposal Catalyst 2026</v>
      </c>
      <c r="D314" s="191" t="str">
        <v>Done</v>
      </c>
      <c r="E314" s="189"/>
    </row>
    <row r="315">
      <c r="A315" s="190"/>
      <c r="B315" s="179"/>
      <c r="C315" s="192"/>
      <c r="D315" s="191"/>
      <c r="E315" s="189"/>
    </row>
    <row r="316">
      <c r="A316" s="190"/>
      <c r="B316" s="179"/>
      <c r="C316" s="192"/>
      <c r="D316" s="191"/>
      <c r="E316" s="189"/>
    </row>
    <row r="317">
      <c r="A317" s="190">
        <v>46041</v>
      </c>
      <c r="B317" s="191" t="str">
        <v>Fariz</v>
      </c>
      <c r="C317" s="192" t="str">
        <v>[WGA] Budgeting Extras MAPID Academy</v>
      </c>
      <c r="D317" s="191" t="str">
        <v>Done</v>
      </c>
      <c r="E317" s="189" t="s">
        <v>354</v>
      </c>
    </row>
    <row r="318">
      <c r="A318" s="190"/>
      <c r="B318" s="191"/>
      <c r="C318" s="192" t="str">
        <v>[LOC] Finalisasi Jadwal dan Operasional Batch 15</v>
      </c>
      <c r="D318" s="191" t="str">
        <v>Done</v>
      </c>
      <c r="E318" s="189"/>
    </row>
    <row r="319">
      <c r="A319" s="190"/>
      <c r="B319" s="191"/>
      <c r="C319" s="19" t="str">
        <v>[LMS] Course Lab 2 : Remote Sensing Mangrove</v>
      </c>
      <c r="D319" s="191" t="str">
        <v>Done</v>
      </c>
      <c r="E319" s="189" t="s">
        <v>355</v>
      </c>
    </row>
    <row r="320">
      <c r="A320" s="190"/>
      <c r="B320" s="191"/>
      <c r="C320" s="192"/>
      <c r="D320" s="191"/>
      <c r="E320" s="189"/>
    </row>
    <row r="321">
      <c r="A321" s="190"/>
      <c r="B321" s="191"/>
      <c r="C321" s="192"/>
      <c r="D321" s="191"/>
      <c r="E321" s="189"/>
    </row>
    <row r="322">
      <c r="A322" s="190"/>
      <c r="B322" s="191" t="str">
        <v>Dwi</v>
      </c>
      <c r="C322" s="192" t="str">
        <v>COpywriting landing page Location Analytics</v>
      </c>
      <c r="D322" s="191" t="str">
        <v>Done</v>
      </c>
      <c r="E322" s="189"/>
    </row>
    <row r="323">
      <c r="A323" s="190"/>
      <c r="B323" s="191"/>
      <c r="C323" s="192" t="str">
        <v>Flow pendaftaran MAPID academy</v>
      </c>
      <c r="D323" s="191" t="str">
        <v>Done</v>
      </c>
      <c r="E323" s="189"/>
    </row>
    <row r="324">
      <c r="A324" s="190"/>
      <c r="B324" s="191"/>
      <c r="C324" s="192" t="str">
        <v>Develop Budget Q1</v>
      </c>
      <c r="D324" s="191" t="str">
        <v>Done</v>
      </c>
      <c r="E324" s="189"/>
    </row>
    <row r="325">
      <c r="A325" s="190"/>
      <c r="B325" s="191"/>
      <c r="C325" s="192" t="str">
        <v>Syn MAPID Academy - All Product</v>
      </c>
      <c r="D325" s="191" t="str">
        <v>Done</v>
      </c>
      <c r="E325" s="189"/>
    </row>
    <row r="326">
      <c r="A326" s="190"/>
      <c r="B326" s="191"/>
      <c r="C326" s="192"/>
      <c r="D326" s="191"/>
      <c r="E326" s="189"/>
    </row>
    <row r="327">
      <c r="A327" s="190"/>
      <c r="B327" s="191"/>
      <c r="C327" s="192"/>
      <c r="D327" s="191"/>
      <c r="E327" s="189"/>
    </row>
    <row r="328">
      <c r="A328" s="190"/>
      <c r="B328" s="179" t="str">
        <v>Wina</v>
      </c>
      <c r="C328" s="192" t="str">
        <v>daily content (newsletter, IG, WA Group)</v>
      </c>
      <c r="D328" s="191" t="str">
        <v>Done</v>
      </c>
      <c r="E328" s="189"/>
    </row>
    <row r="329">
      <c r="A329" s="190"/>
      <c r="B329" s="179"/>
      <c r="C329" s="192" t="str">
        <v>Community:
- kontrak CM
- onboarding CM
- Calender Plan</v>
      </c>
      <c r="D329" s="191" t="str">
        <v>Done</v>
      </c>
      <c r="E329" s="189" t="str">
        <v>di lanjut besok</v>
      </c>
    </row>
    <row r="330">
      <c r="A330" s="190"/>
      <c r="B330" s="179"/>
      <c r="C330" s="192" t="str">
        <v>Meeting Apps</v>
      </c>
      <c r="D330" s="191" t="str">
        <v>Done</v>
      </c>
      <c r="E330" s="189" t="str">
        <v>23 jan: upload ke test flight
26 jan: testing - upload ke playstore/app store
1. Community Maps
&gt; activity on map (activity ysng ditsmpilksn dalam bentuk maps, story maps nya juga
2. Summaty activity (statistic personal, jumlah activity yang di upload, draft, insight nya masih sederhana, edit, delete)
- new features: Edit, Draft, Delete activity, info community kaya jumlah members
- share link? gaada, jadi cukup search nama grup di searchbar nanti join mandiri, atau di invite
- ada pilihan untuk notifikasi setiap upload
3. Community Eng. x tidak digunakan sebagai Sosmes, tapi gimana caranya si community harus ttp engaged
- SINI page &gt; Informasi tentang SINI (activation, data &amp; survey)
- Survey: 3 level (Easy = reward/cukup upload foto aja, ((Medium = POI, Hard = sampai Isi Form dll) = Job))
&gt; fun data collection yang dibutuhkan sebagai Data di MAPID Platform, tapi ini fun aja dan orang2 dapet reward
&gt; End to End: data ini kebutuhannya untuk apa dan siapa, nanti masuk ke level nya juga 
Di akhir bulan ada event untuk MAPID Team, dapat reward
W1 Februari 2026</v>
      </c>
      <c r="I330" s="14" t="str">
        <v>event marketing sama mapid apps: dibagi 2 aja
marketing: OLA
mapid apps: AULIA</v>
      </c>
    </row>
    <row r="331">
      <c r="A331" s="190"/>
      <c r="B331" s="179"/>
      <c r="C331" s="192"/>
      <c r="D331" s="191"/>
      <c r="E331" s="189"/>
    </row>
    <row r="332">
      <c r="A332" s="190"/>
      <c r="B332" s="191" t="str">
        <v>Annisa</v>
      </c>
      <c r="C332" s="192"/>
      <c r="D332" s="191"/>
      <c r="E332" s="189"/>
    </row>
    <row r="333">
      <c r="A333" s="190"/>
      <c r="B333" s="191"/>
      <c r="C333" s="192"/>
      <c r="D333" s="191"/>
      <c r="E333" s="189"/>
    </row>
    <row r="334">
      <c r="A334" s="190"/>
      <c r="B334" s="191"/>
      <c r="C334" s="192"/>
      <c r="D334" s="191"/>
      <c r="E334" s="189"/>
    </row>
    <row r="335">
      <c r="A335" s="190"/>
      <c r="B335" s="191"/>
      <c r="C335" s="192"/>
      <c r="D335" s="191"/>
      <c r="E335" s="189"/>
    </row>
    <row r="336">
      <c r="A336" s="190"/>
      <c r="B336" s="191"/>
      <c r="C336" s="192"/>
      <c r="D336" s="191"/>
      <c r="E336" s="189"/>
    </row>
    <row customHeight="true" ht="19" r="337">
      <c r="A337" s="190"/>
      <c r="B337" s="194" t="str">
        <v>Lossa</v>
      </c>
      <c r="C337" s="192" t="str">
        <v>frd cimory</v>
      </c>
      <c r="D337" s="191" t="str">
        <v>Done</v>
      </c>
      <c r="E337" s="189" t="s">
        <v>367</v>
      </c>
    </row>
    <row r="338">
      <c r="A338" s="190"/>
      <c r="B338" s="194"/>
      <c r="C338" s="192" t="str">
        <v>Demo call PT. Angkasa Medika Fortuna</v>
      </c>
      <c r="D338" s="191" t="str">
        <v>Done</v>
      </c>
      <c r="E338" s="189">
        <v>14</v>
      </c>
    </row>
    <row r="339">
      <c r="A339" s="190"/>
      <c r="B339" s="194"/>
      <c r="C339" s="192" t="str">
        <v>fu pelindo cilicis</v>
      </c>
      <c r="D339" s="191" t="str">
        <v>Done</v>
      </c>
      <c r="E339" s="189"/>
    </row>
    <row r="340">
      <c r="A340" s="190"/>
      <c r="B340" s="194"/>
      <c r="C340" s="192" t="str">
        <v>crm sync</v>
      </c>
      <c r="D340" s="191" t="str">
        <v>Done</v>
      </c>
      <c r="E340" s="189"/>
    </row>
    <row r="341">
      <c r="A341" s="190"/>
      <c r="B341" s="194"/>
      <c r="C341" s="192" t="str">
        <v>deck fmcg</v>
      </c>
      <c r="D341" s="191" t="str">
        <v>Done</v>
      </c>
      <c r="E341" s="189"/>
    </row>
    <row r="342">
      <c r="A342" s="190"/>
      <c r="B342" s="194" t="str">
        <v>Amel</v>
      </c>
      <c r="C342" s="192" t="str">
        <v>Melanjutkan pendetailan mockup dan flow apps HKI</v>
      </c>
      <c r="D342" s="191" t="str">
        <v>Done</v>
      </c>
      <c r="E342" s="189"/>
    </row>
    <row r="343">
      <c r="A343" s="190"/>
      <c r="B343" s="194"/>
      <c r="C343" s="192" t="str" xml:space="preserve">
        <v>Meeting DSDA </v>
      </c>
      <c r="D343" s="191" t="str">
        <v>Done</v>
      </c>
      <c r="E343" s="189">
        <v>13.3</v>
      </c>
    </row>
    <row r="344">
      <c r="A344" s="190"/>
      <c r="B344" s="194"/>
      <c r="C344" s="192" t="str">
        <v>Revisi pembagian fase dsda 2026 (SOW)</v>
      </c>
      <c r="D344" s="191" t="str">
        <v>Done</v>
      </c>
      <c r="E344" s="189"/>
    </row>
    <row r="345">
      <c r="A345" s="190"/>
      <c r="B345" s="194"/>
      <c r="C345" s="192" t="str">
        <v>CRM sync</v>
      </c>
      <c r="D345" s="191" t="str">
        <v>Done</v>
      </c>
      <c r="E345" s="189"/>
    </row>
    <row customHeight="true" ht="19" r="346">
      <c r="A346" s="190"/>
      <c r="B346" s="194"/>
      <c r="C346" s="192"/>
      <c r="D346" s="191"/>
      <c r="E346" s="189"/>
    </row>
    <row r="347">
      <c r="A347" s="190"/>
      <c r="B347" s="179" t="str">
        <v>Hadi</v>
      </c>
      <c r="C347" s="192" t="str">
        <v>Monitoring Business (Performance)</v>
      </c>
      <c r="D347" s="191" t="str">
        <v>Done</v>
      </c>
      <c r="E347" s="189"/>
    </row>
    <row r="348">
      <c r="A348" s="190"/>
      <c r="B348" s="179"/>
      <c r="C348" s="192" t="str">
        <v>CRM Sync</v>
      </c>
      <c r="D348" s="191" t="str">
        <v>Done</v>
      </c>
      <c r="E348" s="189"/>
    </row>
    <row r="349">
      <c r="A349" s="190"/>
      <c r="B349" s="179"/>
      <c r="C349" s="192" t="str">
        <v>Meeting DSDA</v>
      </c>
      <c r="D349" s="191" t="str">
        <v>Done</v>
      </c>
      <c r="E349" s="189"/>
    </row>
    <row r="350">
      <c r="A350" s="190"/>
      <c r="B350" s="179"/>
      <c r="C350" s="192" t="str">
        <v>Other tasks : FC Project, Draft Kebutuhan Admin Dashboard, Rekap Report B1 Januari.</v>
      </c>
      <c r="D350" s="191" t="str">
        <v>Done</v>
      </c>
      <c r="E350" s="189"/>
    </row>
    <row r="351">
      <c r="A351" s="190"/>
      <c r="B351" s="179"/>
      <c r="C351" s="192"/>
      <c r="D351" s="191"/>
      <c r="E351" s="189"/>
    </row>
    <row r="352">
      <c r="A352" s="190">
        <v>46042</v>
      </c>
      <c r="B352" s="191" t="str">
        <v>Fariz</v>
      </c>
      <c r="C352" s="192" t="str">
        <v>[CER] Meeting with SAIG UPI</v>
      </c>
      <c r="D352" s="191" t="str">
        <v>Done</v>
      </c>
      <c r="E352" s="189"/>
    </row>
    <row r="353">
      <c r="A353" s="190"/>
      <c r="B353" s="191"/>
      <c r="C353" s="192" t="str">
        <v>[WGA] Operasional Day 2</v>
      </c>
      <c r="D353" s="191" t="str">
        <v>Done</v>
      </c>
      <c r="E353" s="189"/>
    </row>
    <row r="354">
      <c r="A354" s="190"/>
      <c r="B354" s="191"/>
      <c r="C354" s="192" t="str">
        <v>[LOC] Initial Operational Check 15 Jan</v>
      </c>
      <c r="D354" s="191" t="str">
        <v>Done</v>
      </c>
      <c r="E354" s="189"/>
    </row>
    <row r="355">
      <c r="A355" s="190"/>
      <c r="B355" s="191"/>
      <c r="C355" s="192"/>
      <c r="D355" s="191"/>
      <c r="E355" s="189"/>
    </row>
    <row r="356">
      <c r="A356" s="190"/>
      <c r="B356" s="191"/>
      <c r="C356" s="192"/>
      <c r="D356" s="191"/>
      <c r="E356" s="189"/>
    </row>
    <row r="357">
      <c r="A357" s="190"/>
      <c r="B357" s="191" t="str">
        <v>Dwi</v>
      </c>
      <c r="C357" s="192" t="str">
        <v>Budgeting Q1</v>
      </c>
      <c r="D357" s="191" t="str">
        <v>Done</v>
      </c>
      <c r="E357" s="189"/>
    </row>
    <row r="358">
      <c r="A358" s="190"/>
      <c r="B358" s="191"/>
      <c r="C358" s="192" t="str">
        <v>Copywriting Enterprise</v>
      </c>
      <c r="D358" s="191" t="str">
        <v>Done</v>
      </c>
      <c r="E358" s="189"/>
    </row>
    <row r="359">
      <c r="A359" s="190"/>
      <c r="B359" s="191"/>
      <c r="C359" s="192" t="str">
        <v>Meeting Weekly B2C, Socmed &amp; Community</v>
      </c>
      <c r="D359" s="191" t="str">
        <v>Done</v>
      </c>
      <c r="E359" s="189"/>
    </row>
    <row r="360">
      <c r="A360" s="190"/>
      <c r="B360" s="191"/>
      <c r="C360" s="192" t="str">
        <v>Finance x Mar meeting</v>
      </c>
      <c r="D360" s="191" t="str">
        <v>Done</v>
      </c>
      <c r="E360" s="189"/>
    </row>
    <row r="361">
      <c r="A361" s="190"/>
      <c r="B361" s="191"/>
      <c r="C361" s="192"/>
      <c r="D361" s="191"/>
      <c r="E361" s="189"/>
    </row>
    <row r="362">
      <c r="A362" s="190"/>
      <c r="B362" s="191"/>
      <c r="C362" s="192"/>
      <c r="D362" s="191"/>
      <c r="E362" s="189"/>
    </row>
    <row r="363">
      <c r="A363" s="190"/>
      <c r="B363" s="179" t="str">
        <v>Wina</v>
      </c>
      <c r="C363" s="192" t="str">
        <v>daily content (newsletter, IG, WA Group)</v>
      </c>
      <c r="D363" s="191" t="str">
        <v>Done</v>
      </c>
      <c r="E363" s="189" t="str">
        <v>masukan:
- ada meeting sosmed bareng sama LO &amp; PSE</v>
      </c>
    </row>
    <row r="364">
      <c r="A364" s="190"/>
      <c r="B364" s="179"/>
      <c r="C364" s="192" t="str">
        <v>Community 
- Ekspansi Komunitas, prioritas Sumatra Utara</v>
      </c>
      <c r="D364" s="191" t="str">
        <v>Done</v>
      </c>
      <c r="E364" s="189" t="s">
        <v>335</v>
      </c>
    </row>
    <row r="365">
      <c r="A365" s="190"/>
      <c r="B365" s="179"/>
      <c r="C365" s="192" t="str">
        <v>Persiapan Meeting bareng SAJ</v>
      </c>
      <c r="D365" s="191" t="str">
        <v>Done</v>
      </c>
      <c r="E365" s="189"/>
    </row>
    <row r="366">
      <c r="A366" s="190"/>
      <c r="B366" s="179"/>
      <c r="C366" s="192"/>
      <c r="D366" s="191"/>
      <c r="E366" s="189"/>
    </row>
    <row r="367">
      <c r="A367" s="190"/>
      <c r="B367" s="191" t="str">
        <v>Annisa</v>
      </c>
      <c r="C367" s="192" t="str">
        <v>Can This Love be Translated? KONTEN</v>
      </c>
      <c r="D367" s="191" t="str">
        <v>Done</v>
      </c>
      <c r="E367" s="189"/>
    </row>
    <row r="368">
      <c r="A368" s="190"/>
      <c r="B368" s="191"/>
      <c r="C368" s="192" t="str">
        <v>Template Proposal MAPID Catalyst 2026</v>
      </c>
      <c r="D368" s="191" t="str">
        <v>Done</v>
      </c>
      <c r="E368" s="189"/>
    </row>
    <row r="369">
      <c r="A369" s="190"/>
      <c r="B369" s="191"/>
      <c r="C369" s="192" t="str">
        <v>Review Final Project- Candra (ngelanjutin)</v>
      </c>
      <c r="D369" s="191" t="str">
        <v>Done</v>
      </c>
      <c r="E369" s="189"/>
    </row>
    <row r="370">
      <c r="A370" s="190"/>
      <c r="B370" s="191"/>
      <c r="C370" s="192" t="str">
        <v>Ilmu spasial di Stranger Things (ngelanjutin)</v>
      </c>
      <c r="D370" s="191" t="str">
        <v>Done</v>
      </c>
      <c r="E370" s="189"/>
    </row>
    <row r="371">
      <c r="A371" s="190"/>
      <c r="B371" s="191"/>
      <c r="C371" s="192"/>
      <c r="D371" s="191"/>
      <c r="E371" s="189"/>
    </row>
    <row r="372">
      <c r="A372" s="190"/>
      <c r="B372" s="194" t="str">
        <v>Lossa</v>
      </c>
      <c r="C372" s="192" t="str">
        <v>meeting nabati survey</v>
      </c>
      <c r="D372" s="191" t="str">
        <v>Done</v>
      </c>
      <c r="E372" s="189">
        <v>10</v>
      </c>
    </row>
    <row r="373">
      <c r="A373" s="190"/>
      <c r="B373" s="194"/>
      <c r="C373" s="192" t="str">
        <v>meeting karlo</v>
      </c>
      <c r="D373" s="191" t="str">
        <v>Done</v>
      </c>
      <c r="E373" s="189">
        <v>14</v>
      </c>
    </row>
    <row r="374">
      <c r="A374" s="190"/>
      <c r="B374" s="194"/>
      <c r="C374" s="192" t="str">
        <v>meeting budgeting</v>
      </c>
      <c r="D374" s="191" t="str">
        <v>Done</v>
      </c>
      <c r="E374" s="189">
        <v>16</v>
      </c>
    </row>
    <row r="375">
      <c r="A375" s="190"/>
      <c r="B375" s="194"/>
      <c r="C375" s="192" t="str">
        <v>others: fu pelindo &amp; cilicis, adjustment deck fmcg</v>
      </c>
      <c r="D375" s="191" t="str">
        <v>Done</v>
      </c>
      <c r="E375" s="189"/>
    </row>
    <row r="376">
      <c r="A376" s="190"/>
      <c r="B376" s="194" t="str">
        <v>Amel</v>
      </c>
      <c r="C376" s="192" t="str">
        <v>revisi deck HKI hasil review + proposal teknisnya</v>
      </c>
      <c r="D376" s="191" t="str">
        <v>Done</v>
      </c>
      <c r="E376" s="189"/>
    </row>
    <row r="377">
      <c r="A377" s="190"/>
      <c r="B377" s="194"/>
      <c r="C377" s="192" t="str">
        <v>isi bisnis metrics impactto</v>
      </c>
      <c r="D377" s="191" t="str">
        <v>Done</v>
      </c>
      <c r="E377" s="189"/>
    </row>
    <row r="378">
      <c r="A378" s="190"/>
      <c r="B378" s="194"/>
      <c r="C378" s="192" t="str">
        <v>meeting budgeting</v>
      </c>
      <c r="D378" s="191" t="str">
        <v>Done</v>
      </c>
      <c r="E378" s="189"/>
    </row>
    <row r="379">
      <c r="A379" s="190"/>
      <c r="B379" s="194"/>
      <c r="C379" s="192" t="str">
        <v>meeting savills</v>
      </c>
      <c r="D379" s="191" t="str">
        <v>Done</v>
      </c>
      <c r="E379" s="189"/>
    </row>
    <row r="380">
      <c r="A380" s="190"/>
      <c r="B380" s="194"/>
      <c r="C380" s="209" t="str">
        <v>project usecase</v>
      </c>
      <c r="D380" s="191" t="str">
        <v>Done</v>
      </c>
      <c r="E380" s="189"/>
    </row>
    <row r="381">
      <c r="A381" s="190"/>
      <c r="B381" s="179" t="str">
        <v>Hadi</v>
      </c>
      <c r="C381" s="192" t="str">
        <v>Monitoring Business (Performance, Alignment)</v>
      </c>
      <c r="D381" s="191" t="str">
        <v>Done</v>
      </c>
      <c r="E381" s="189"/>
    </row>
    <row r="382">
      <c r="A382" s="190"/>
      <c r="B382" s="179"/>
      <c r="C382" s="192" t="str">
        <v>Meetings : Meeting RFQ Nabati, Meeting Admin Dashboard, Meeting Karlo, Meeting Q1 Budgeting.</v>
      </c>
      <c r="D382" s="191" t="str">
        <v>Done</v>
      </c>
      <c r="E382" s="189"/>
    </row>
    <row r="383">
      <c r="A383" s="190"/>
      <c r="B383" s="179"/>
      <c r="C383" s="192" t="str">
        <v>Other tasks : cicil deck 2026, cicil draft shareholders, cicil report shareholders</v>
      </c>
      <c r="D383" s="191" t="str">
        <v>Done</v>
      </c>
      <c r="E383" s="189"/>
    </row>
    <row r="384">
      <c r="A384" s="190"/>
      <c r="B384" s="179"/>
      <c r="C384" s="192"/>
      <c r="D384" s="191"/>
      <c r="E384" s="189"/>
    </row>
    <row r="385">
      <c r="A385" s="190"/>
      <c r="B385" s="179"/>
      <c r="C385" s="192"/>
      <c r="D385" s="191"/>
      <c r="E385" s="189"/>
    </row>
    <row r="386">
      <c r="A386" s="190">
        <v>46043</v>
      </c>
      <c r="B386" s="191" t="str">
        <v>Fariz</v>
      </c>
      <c r="C386" s="192" t="str">
        <v>[WGA] Operasional WebGIS Week 1</v>
      </c>
      <c r="D386" s="191" t="str">
        <v>Done</v>
      </c>
      <c r="E386" s="189"/>
    </row>
    <row r="387">
      <c r="A387" s="190"/>
      <c r="B387" s="191"/>
      <c r="C387" s="192" t="str" xml:space="preserve">
        <v>[DLY] QGIS Atlas </v>
      </c>
      <c r="D387" s="191" t="str">
        <v>Done</v>
      </c>
      <c r="E387" s="189"/>
    </row>
    <row r="388">
      <c r="A388" s="190"/>
      <c r="B388" s="191"/>
      <c r="C388" s="192" t="str">
        <v>[LMS] H-2 Shoot CourseLab 1</v>
      </c>
      <c r="D388" s="191" t="str">
        <v>Done</v>
      </c>
      <c r="E388" s="189"/>
    </row>
    <row r="389">
      <c r="A389" s="190"/>
      <c r="B389" s="191"/>
      <c r="C389" s="192"/>
      <c r="D389" s="191"/>
      <c r="E389" s="189"/>
    </row>
    <row r="390">
      <c r="A390" s="190"/>
      <c r="B390" s="191"/>
      <c r="C390" s="192"/>
      <c r="D390" s="191"/>
      <c r="E390" s="189"/>
    </row>
    <row r="391">
      <c r="A391" s="190"/>
      <c r="B391" s="191" t="str">
        <v>Dwi</v>
      </c>
      <c r="C391" s="192" t="str">
        <v>Pricing MAPID Academy &amp; update timelien page LA</v>
      </c>
      <c r="D391" s="191" t="str">
        <v>Done</v>
      </c>
      <c r="E391" s="189"/>
    </row>
    <row r="392">
      <c r="A392" s="190"/>
      <c r="B392" s="191"/>
      <c r="C392" s="192" t="str">
        <v>Copywriting Enterprise</v>
      </c>
      <c r="D392" s="191" t="str">
        <v>Done</v>
      </c>
      <c r="E392" s="189"/>
    </row>
    <row r="393">
      <c r="A393" s="190"/>
      <c r="B393" s="191"/>
      <c r="C393" s="192" t="str">
        <v>Benerin tracking homepage, product, and solution</v>
      </c>
      <c r="D393" s="191"/>
      <c r="E393" s="189"/>
    </row>
    <row r="394">
      <c r="A394" s="190"/>
      <c r="B394" s="191"/>
      <c r="C394" s="192" t="str">
        <v>Meeting Tech - Product</v>
      </c>
      <c r="D394" s="191" t="str">
        <v>Done</v>
      </c>
      <c r="E394" s="189" t="str">
        <v>- coba jual MAPID MAPS
- bikin update konten terkait MAPID MAPS, tag username MAPID,
- Fitur BI &amp; new reffering feature jangan diupdate di konten</v>
      </c>
    </row>
    <row r="395">
      <c r="A395" s="190"/>
      <c r="B395" s="191"/>
      <c r="C395" s="192"/>
      <c r="D395" s="191"/>
      <c r="E395" s="189"/>
    </row>
    <row r="396">
      <c r="A396" s="190"/>
      <c r="B396" s="191"/>
      <c r="C396" s="192"/>
      <c r="D396" s="191"/>
      <c r="E396" s="189"/>
    </row>
    <row r="397">
      <c r="A397" s="190"/>
      <c r="B397" s="179" t="str">
        <v>Wina</v>
      </c>
      <c r="C397" s="192" t="str">
        <v>daily content (newsletter, IG, WA Group)</v>
      </c>
      <c r="D397" s="191" t="str">
        <v>Done</v>
      </c>
      <c r="E397" s="189"/>
    </row>
    <row r="398">
      <c r="A398" s="190"/>
      <c r="B398" s="179"/>
      <c r="C398" s="192" t="str">
        <v>Campaign MAPID Academy - Location Analytics B15</v>
      </c>
      <c r="D398" s="191" t="str">
        <v>Done</v>
      </c>
      <c r="E398" s="189" t="str">
        <v>Product (Januari - Februari)
&gt; Academy - Location Analytics B15 - PRIORITAS (Brief)
&gt; Academy - Coorporate Training (min. 1x)
&gt; Business Expansion (min. 2x demo call)
&gt; Personal License
&gt; Thematic Class</v>
      </c>
    </row>
    <row r="399">
      <c r="A399" s="190"/>
      <c r="B399" s="179"/>
      <c r="C399" s="192" t="str">
        <v>Meeting bareng SAJ</v>
      </c>
      <c r="D399" s="191" t="str">
        <v>Done</v>
      </c>
      <c r="E399" s="189" t="str">
        <v>MoM
- Februari sangat memungkinkan untuk membuat event ini, hanya saja frekuensi hujan nya sering banget, jadi pertanyaannya "kalo hujan, gas atau engga?"
- rekomendasi event: jalan santai aja
- tanggal akan di info sama SAJ nya
- kalo awal feb: jalan santai, akhir feb: ngabuburit
- peserta gaakan lebih dari 20 orang</v>
      </c>
    </row>
    <row r="400">
      <c r="A400" s="190"/>
      <c r="B400" s="179"/>
      <c r="C400" s="192" t="str">
        <v>Community 
- Ekspansi Komunitas, prioritas Sumatra Utara</v>
      </c>
      <c r="D400" s="191" t="str">
        <v>Done</v>
      </c>
      <c r="E400" s="189" t="str">
        <v>daily task</v>
      </c>
    </row>
    <row r="401">
      <c r="A401" s="190"/>
      <c r="B401" s="191" t="str">
        <v>Annisa</v>
      </c>
      <c r="C401" s="192" t="str">
        <v>ngelanjutin Template Proposal MAPID Catalyst 2026</v>
      </c>
      <c r="D401" s="191" t="str">
        <v>Done</v>
      </c>
      <c r="E401" s="189"/>
    </row>
    <row r="402">
      <c r="A402" s="190"/>
      <c r="B402" s="191"/>
      <c r="C402" s="192" t="str" xml:space="preserve">
        <v>Running to Heal (konten) </v>
      </c>
      <c r="D402" s="191" t="str">
        <v>Done</v>
      </c>
      <c r="E402" s="189"/>
    </row>
    <row r="403">
      <c r="A403" s="190"/>
      <c r="B403" s="191"/>
      <c r="C403" s="192" t="str">
        <v>revisi video candra</v>
      </c>
      <c r="D403" s="191" t="str">
        <v>Done</v>
      </c>
      <c r="E403" s="189"/>
    </row>
    <row r="404">
      <c r="A404" s="190"/>
      <c r="B404" s="191"/>
      <c r="C404" s="192"/>
      <c r="D404" s="191"/>
      <c r="E404" s="189"/>
    </row>
    <row r="405">
      <c r="A405" s="190"/>
      <c r="B405" s="191"/>
      <c r="C405" s="192"/>
      <c r="D405" s="191"/>
      <c r="E405" s="189"/>
    </row>
    <row r="406">
      <c r="A406" s="190"/>
      <c r="B406" s="194" t="str">
        <v>Lossa</v>
      </c>
      <c r="C406" s="192" t="str">
        <v>feasibility check meeting</v>
      </c>
      <c r="D406" s="191" t="str">
        <v>Done</v>
      </c>
      <c r="E406" s="189" t="str">
        <v>psn, cimory, nabati (timestamp photo)</v>
      </c>
    </row>
    <row r="407">
      <c r="A407" s="190"/>
      <c r="B407" s="194"/>
      <c r="C407" s="192" t="str">
        <v>detail cost survey nabati</v>
      </c>
      <c r="D407" s="191" t="str">
        <v>Done</v>
      </c>
      <c r="E407" s="189" t="s">
        <v>347</v>
      </c>
    </row>
    <row r="408">
      <c r="A408" s="190"/>
      <c r="B408" s="194"/>
      <c r="C408" s="192" t="str">
        <v>deck nabati</v>
      </c>
      <c r="D408" s="191" t="str">
        <v>Done</v>
      </c>
      <c r="E408" s="189"/>
    </row>
    <row r="409">
      <c r="A409" s="190"/>
      <c r="B409" s="194"/>
      <c r="C409" s="192" t="str">
        <v>meeting sosialisasi geomapid</v>
      </c>
      <c r="D409" s="191" t="str">
        <v>Done</v>
      </c>
      <c r="E409" s="189"/>
    </row>
    <row r="410">
      <c r="A410" s="190"/>
      <c r="B410" s="194"/>
      <c r="C410" s="192"/>
      <c r="D410" s="191"/>
      <c r="E410" s="189"/>
    </row>
    <row r="411">
      <c r="A411" s="190"/>
      <c r="B411" s="194" t="str">
        <v>Amel</v>
      </c>
      <c r="C411" s="192" t="str">
        <v>proposal savills</v>
      </c>
      <c r="D411" s="191" t="str">
        <v>Done</v>
      </c>
      <c r="E411" s="189"/>
    </row>
    <row r="412">
      <c r="A412" s="190"/>
      <c r="B412" s="194"/>
      <c r="C412" s="192" t="str">
        <v>feasibility check meeting</v>
      </c>
      <c r="D412" s="191" t="str">
        <v>Done</v>
      </c>
      <c r="E412" s="189"/>
    </row>
    <row r="413">
      <c r="A413" s="190"/>
      <c r="B413" s="194"/>
      <c r="C413" s="192" t="str">
        <v>sosialisasi GEO MAPID</v>
      </c>
      <c r="D413" s="191" t="str">
        <v>Done</v>
      </c>
      <c r="E413" s="189"/>
    </row>
    <row r="414">
      <c r="A414" s="190"/>
      <c r="B414" s="194"/>
      <c r="C414" s="192" t="str">
        <v>proposal English1</v>
      </c>
      <c r="D414" s="191" t="str">
        <v>Done</v>
      </c>
      <c r="E414" s="189"/>
    </row>
    <row r="415">
      <c r="A415" s="190"/>
      <c r="B415" s="194"/>
      <c r="C415" s="209"/>
      <c r="D415" s="191"/>
      <c r="E415" s="189"/>
    </row>
    <row r="416">
      <c r="A416" s="190"/>
      <c r="B416" s="179" t="str">
        <v>Hadi</v>
      </c>
      <c r="C416" s="192" t="str">
        <v>Monitoring Business (Performance, Alignment)</v>
      </c>
      <c r="D416" s="191" t="str">
        <v>Done</v>
      </c>
      <c r="E416" s="189"/>
    </row>
    <row r="417">
      <c r="A417" s="190"/>
      <c r="B417" s="179"/>
      <c r="C417" s="192" t="str">
        <v>Feasibility Check Meeting</v>
      </c>
      <c r="D417" s="191" t="str">
        <v>Done</v>
      </c>
      <c r="E417" s="189"/>
    </row>
    <row r="418">
      <c r="A418" s="190"/>
      <c r="B418" s="179"/>
      <c r="C418" s="192" t="str">
        <v>Sosialisasi GEO MAPID</v>
      </c>
      <c r="D418" s="191" t="str">
        <v>Done</v>
      </c>
      <c r="E418" s="189"/>
    </row>
    <row r="419">
      <c r="A419" s="190"/>
      <c r="B419" s="179"/>
      <c r="C419" s="192" t="str">
        <v>Other tasks : cicil deck 2026, riset film, cicil report shareholders</v>
      </c>
      <c r="D419" s="191" t="str">
        <v>Done</v>
      </c>
      <c r="E419" s="189"/>
    </row>
    <row r="420">
      <c r="A420" s="190"/>
      <c r="B420" s="179"/>
      <c r="C420" s="192"/>
      <c r="D420" s="191"/>
      <c r="E420" s="189"/>
    </row>
    <row r="421">
      <c r="A421" s="190">
        <v>46044</v>
      </c>
      <c r="B421" s="191" t="str">
        <v>Fariz</v>
      </c>
      <c r="C421" s="192" t="str">
        <v>[WGA] Operasional H-1 Day 2 Kelas</v>
      </c>
      <c r="D421" s="191" t="str">
        <v>Done</v>
      </c>
      <c r="E421" s="189"/>
    </row>
    <row r="422">
      <c r="A422" s="190"/>
      <c r="B422" s="191"/>
      <c r="C422" s="192" t="str">
        <v>[LMS] Persiapan Course Lab H-1</v>
      </c>
      <c r="D422" s="191" t="str">
        <v>Done</v>
      </c>
      <c r="E422" s="189"/>
    </row>
    <row r="423">
      <c r="A423" s="190"/>
      <c r="B423" s="191"/>
      <c r="C423" s="192" t="str" xml:space="preserve">
        <v>[DLY] Shooting QGIS Atlas </v>
      </c>
      <c r="D423" s="191" t="str">
        <v>Done</v>
      </c>
      <c r="E423" s="189"/>
    </row>
    <row r="424">
      <c r="A424" s="190"/>
      <c r="B424" s="191"/>
      <c r="C424" s="192"/>
      <c r="D424" s="191"/>
      <c r="E424" s="189"/>
    </row>
    <row r="425">
      <c r="A425" s="190"/>
      <c r="B425" s="191"/>
      <c r="C425" s="192"/>
      <c r="D425" s="191"/>
      <c r="E425" s="189"/>
    </row>
    <row r="426">
      <c r="A426" s="190"/>
      <c r="B426" s="191" t="str">
        <v>Dwi</v>
      </c>
      <c r="C426" s="192" t="str">
        <v>Copywriting Enterprise</v>
      </c>
      <c r="D426" s="191" t="str">
        <v>Done</v>
      </c>
      <c r="E426" s="189"/>
    </row>
    <row r="427">
      <c r="A427" s="190"/>
      <c r="B427" s="191"/>
      <c r="C427" s="208" t="str">
        <v>Benerin tracking homepage, product, and solution</v>
      </c>
      <c r="D427" s="191"/>
      <c r="E427" s="189"/>
    </row>
    <row r="428">
      <c r="A428" s="190"/>
      <c r="B428" s="191"/>
      <c r="C428" s="19" t="str">
        <v>Sync Socmed</v>
      </c>
      <c r="D428" s="197" t="str">
        <v>Done</v>
      </c>
      <c r="E428" s="189"/>
    </row>
    <row r="429">
      <c r="A429" s="190"/>
      <c r="B429" s="191"/>
      <c r="C429" s="200" t="str">
        <v>Setup Ads</v>
      </c>
      <c r="D429" s="191"/>
      <c r="E429" s="189"/>
    </row>
    <row r="430">
      <c r="A430" s="190"/>
      <c r="B430" s="191"/>
      <c r="C430" s="192" t="str">
        <v>Website</v>
      </c>
      <c r="D430" s="191" t="str">
        <v>Done</v>
      </c>
      <c r="E430" s="189"/>
    </row>
    <row r="431">
      <c r="A431" s="190"/>
      <c r="B431" s="191"/>
      <c r="C431" s="192" t="str">
        <v>Location analytics</v>
      </c>
      <c r="D431" s="191" t="str">
        <v>Done</v>
      </c>
      <c r="E431" s="189"/>
    </row>
    <row r="432">
      <c r="A432" s="190"/>
      <c r="B432" s="179" t="str">
        <v>Wina</v>
      </c>
      <c r="C432" s="192" t="str">
        <v>Daily Content (newsletter)</v>
      </c>
      <c r="D432" s="191" t="str">
        <v>Done</v>
      </c>
      <c r="E432" s="189"/>
    </row>
    <row r="433">
      <c r="A433" s="190"/>
      <c r="B433" s="179"/>
      <c r="C433" s="192" t="str">
        <v>Community Event
- FU SAJ
- Nyari Trip -&gt; Kahf &amp; Emina &gt; hubungannya sama MAPID APPS?</v>
      </c>
      <c r="D433" s="191" t="str">
        <v>Done</v>
      </c>
      <c r="E433" s="189"/>
    </row>
    <row r="434">
      <c r="A434" s="190"/>
      <c r="B434" s="179"/>
      <c r="C434" s="192" t="str">
        <v>Dokumenter</v>
      </c>
      <c r="D434" s="191" t="str">
        <v>Done</v>
      </c>
      <c r="E434" s="189" t="s">
        <v>368</v>
      </c>
    </row>
    <row r="435">
      <c r="A435" s="190"/>
      <c r="B435" s="179"/>
      <c r="C435" s="192"/>
      <c r="D435" s="191"/>
      <c r="E435" s="189"/>
    </row>
    <row r="436">
      <c r="A436" s="190"/>
      <c r="B436" s="191" t="str">
        <v>Annisa</v>
      </c>
      <c r="C436" s="192" t="str">
        <v>MAPID - Istilah Penting di Location Analytics</v>
      </c>
      <c r="D436" s="191" t="str">
        <v>Done</v>
      </c>
      <c r="E436" s="189"/>
    </row>
    <row r="437">
      <c r="A437" s="190"/>
      <c r="B437" s="191"/>
      <c r="C437" s="192" t="str">
        <v>Asset untuk deck Enterprise 2026</v>
      </c>
      <c r="D437" s="191" t="str">
        <v>Done</v>
      </c>
      <c r="E437" s="189"/>
    </row>
    <row r="438">
      <c r="A438" s="190"/>
      <c r="B438" s="191"/>
      <c r="C438" s="192" t="str" xml:space="preserve">
        <v>finishing proposal </v>
      </c>
      <c r="D438" s="191" t="str">
        <v>Done</v>
      </c>
      <c r="E438" s="189"/>
    </row>
    <row r="439">
      <c r="A439" s="190"/>
      <c r="B439" s="191"/>
      <c r="C439" s="192"/>
      <c r="D439" s="191"/>
      <c r="E439" s="189"/>
    </row>
    <row r="440">
      <c r="A440" s="190"/>
      <c r="B440" s="191"/>
      <c r="C440" s="192"/>
      <c r="D440" s="191"/>
      <c r="E440" s="189"/>
    </row>
    <row r="441">
      <c r="A441" s="190"/>
      <c r="B441" s="194" t="str">
        <v>Lossa</v>
      </c>
      <c r="C441" s="192" t="str">
        <v>propo teknis karlo</v>
      </c>
      <c r="D441" s="191" t="str">
        <v>Done</v>
      </c>
      <c r="E441" s="189"/>
    </row>
    <row r="442">
      <c r="A442" s="190"/>
      <c r="B442" s="194"/>
      <c r="C442" s="192" t="str">
        <v>FRD bluebird</v>
      </c>
      <c r="D442" s="191" t="str">
        <v>Done</v>
      </c>
      <c r="E442" s="189"/>
    </row>
    <row r="443">
      <c r="A443" s="190"/>
      <c r="B443" s="194"/>
      <c r="C443" s="192" t="str">
        <v>detail project pelindo untuk b2b project list</v>
      </c>
      <c r="D443" s="191" t="str">
        <v>Done</v>
      </c>
      <c r="E443" s="189"/>
    </row>
    <row r="444">
      <c r="A444" s="190"/>
      <c r="B444" s="194"/>
      <c r="C444" s="192" t="str">
        <v>project use case</v>
      </c>
      <c r="D444" s="191" t="str">
        <v>Done</v>
      </c>
      <c r="E444" s="189"/>
    </row>
    <row r="445">
      <c r="A445" s="190"/>
      <c r="B445" s="194"/>
      <c r="C445" s="192"/>
      <c r="D445" s="191"/>
      <c r="E445" s="189"/>
    </row>
    <row r="446">
      <c r="A446" s="190"/>
      <c r="B446" s="194" t="str">
        <v>Amel</v>
      </c>
      <c r="C446" s="192" t="str">
        <v>meeting DSDA</v>
      </c>
      <c r="D446" s="191" t="str">
        <v>Done</v>
      </c>
      <c r="E446" s="189"/>
    </row>
    <row r="447">
      <c r="A447" s="190"/>
      <c r="B447" s="194"/>
      <c r="C447" s="192"/>
      <c r="D447" s="191"/>
      <c r="E447" s="189"/>
    </row>
    <row r="448">
      <c r="A448" s="190"/>
      <c r="B448" s="194"/>
      <c r="C448" s="192"/>
      <c r="D448" s="191"/>
      <c r="E448" s="189"/>
    </row>
    <row r="449">
      <c r="A449" s="190"/>
      <c r="B449" s="194"/>
      <c r="C449" s="192"/>
      <c r="D449" s="191"/>
      <c r="E449" s="189"/>
    </row>
    <row r="450">
      <c r="A450" s="190"/>
      <c r="B450" s="194"/>
      <c r="C450" s="192"/>
      <c r="D450" s="191"/>
      <c r="E450" s="189"/>
    </row>
    <row r="451">
      <c r="A451" s="190"/>
      <c r="B451" s="179" t="str">
        <v>Hadi</v>
      </c>
      <c r="C451" s="192" t="str">
        <v>Monitoring Business (Performance and Adhoc)</v>
      </c>
      <c r="D451" s="191" t="str">
        <v>Done</v>
      </c>
      <c r="E451" s="189"/>
    </row>
    <row r="452">
      <c r="A452" s="190"/>
      <c r="B452" s="179"/>
      <c r="C452" s="192" t="str">
        <v>Meeting Film Documentary</v>
      </c>
      <c r="D452" s="191" t="str">
        <v>Done</v>
      </c>
      <c r="E452" s="189"/>
    </row>
    <row r="453">
      <c r="A453" s="190"/>
      <c r="B453" s="179"/>
      <c r="C453" s="192" t="str">
        <v>MAPID Certification Adjustment Meeting</v>
      </c>
      <c r="D453" s="191" t="str">
        <v>Done</v>
      </c>
      <c r="E453" s="189"/>
    </row>
    <row r="454">
      <c r="A454" s="190"/>
      <c r="B454" s="179"/>
      <c r="C454" s="192" t="str">
        <v>Others : Proposal Catalyst, Draft Shareholders</v>
      </c>
      <c r="D454" s="191" t="str">
        <v>Done</v>
      </c>
      <c r="E454" s="189"/>
    </row>
    <row r="455">
      <c r="A455" s="190"/>
      <c r="B455" s="179"/>
      <c r="C455" s="192"/>
      <c r="D455" s="191"/>
      <c r="E455" s="189"/>
    </row>
    <row customHeight="true" ht="19" r="456">
      <c r="A456" s="190">
        <v>46045</v>
      </c>
      <c r="B456" s="191" t="str">
        <v>Fariz</v>
      </c>
      <c r="C456" s="192" t="str">
        <v>[LMS] Shooting Course Lab 2 (Day 1/2)</v>
      </c>
      <c r="D456" s="191" t="str">
        <v>Done</v>
      </c>
      <c r="E456" s="189"/>
    </row>
    <row r="457">
      <c r="A457" s="190"/>
      <c r="B457" s="191"/>
      <c r="C457" s="192" t="str">
        <v>[WGA] Operasional Kelas WebGIS</v>
      </c>
      <c r="D457" s="191" t="str">
        <v>Done</v>
      </c>
      <c r="E457" s="189"/>
    </row>
    <row r="458">
      <c r="A458" s="190"/>
      <c r="B458" s="191"/>
      <c r="C458" s="192" t="str">
        <v>[LMS] Meeting UI/UX LMS</v>
      </c>
      <c r="D458" s="191" t="str">
        <v>Done</v>
      </c>
      <c r="E458" s="189"/>
    </row>
    <row r="459">
      <c r="A459" s="190"/>
      <c r="B459" s="191"/>
      <c r="C459" s="192"/>
      <c r="D459" s="191"/>
      <c r="E459" s="189"/>
    </row>
    <row r="460">
      <c r="A460" s="190"/>
      <c r="B460" s="191"/>
      <c r="C460" s="192"/>
      <c r="D460" s="191"/>
      <c r="E460" s="189"/>
    </row>
    <row r="461">
      <c r="A461" s="190"/>
      <c r="B461" s="191" t="str">
        <v>Dwi</v>
      </c>
      <c r="C461" s="208" t="str">
        <v>Full strategy of MAPID Academy Location Analytics Batch 15</v>
      </c>
      <c r="D461" s="191" t="str">
        <v>Done</v>
      </c>
      <c r="E461" s="189"/>
    </row>
    <row r="462">
      <c r="A462" s="190"/>
      <c r="B462" s="191"/>
      <c r="C462" s="192" t="str" xml:space="preserve">
        <v>Full Strategy of Thematic Class </v>
      </c>
      <c r="D462" s="191" t="str">
        <v>Done</v>
      </c>
      <c r="E462" s="189"/>
    </row>
    <row r="463">
      <c r="A463" s="190"/>
      <c r="B463" s="191"/>
      <c r="C463" s="200"/>
      <c r="D463" s="191"/>
      <c r="E463" s="189"/>
    </row>
    <row r="464">
      <c r="A464" s="190"/>
      <c r="B464" s="191"/>
      <c r="C464" s="192"/>
      <c r="D464" s="191"/>
      <c r="E464" s="189"/>
    </row>
    <row r="465">
      <c r="A465" s="190"/>
      <c r="B465" s="191"/>
      <c r="C465" s="192"/>
      <c r="D465" s="191"/>
      <c r="E465" s="189"/>
    </row>
    <row r="466">
      <c r="A466" s="190"/>
      <c r="B466" s="191"/>
      <c r="C466" s="192"/>
      <c r="D466" s="191"/>
      <c r="E466" s="189"/>
    </row>
    <row r="467">
      <c r="A467" s="190"/>
      <c r="B467" s="179" t="str">
        <v>Wina</v>
      </c>
      <c r="C467" s="192" t="str">
        <v>Daily content (IG)</v>
      </c>
      <c r="D467" s="191" t="str">
        <v>Done</v>
      </c>
      <c r="E467" s="189"/>
    </row>
    <row r="468">
      <c r="A468" s="190"/>
      <c r="B468" s="179"/>
      <c r="C468" s="192" t="str">
        <v>listing content MALAB15</v>
      </c>
      <c r="D468" s="191" t="str">
        <v>Done</v>
      </c>
      <c r="E468" s="189" t="str">
        <v>di lanjut, soalnya baru list ide traffic ads</v>
      </c>
    </row>
    <row r="469">
      <c r="A469" s="190"/>
      <c r="B469" s="179"/>
      <c r="C469" s="192" t="str">
        <v>MAPID Apps content daily</v>
      </c>
      <c r="D469" s="191" t="str">
        <v>Done</v>
      </c>
      <c r="E469" s="189"/>
    </row>
    <row r="470">
      <c r="A470" s="190"/>
      <c r="B470" s="179"/>
      <c r="C470" s="192"/>
      <c r="D470" s="191"/>
      <c r="E470" s="189"/>
    </row>
    <row r="471">
      <c r="A471" s="190"/>
      <c r="B471" s="191" t="str">
        <v>Annisa</v>
      </c>
      <c r="C471" s="192" t="str">
        <v>revisi proposal MAPID WEBGIS COMPETITION</v>
      </c>
      <c r="D471" s="191" t="str">
        <v>Done</v>
      </c>
      <c r="E471" s="189"/>
    </row>
    <row r="472">
      <c r="A472" s="190"/>
      <c r="B472" s="191"/>
      <c r="C472" s="192" t="str">
        <v>editing video fariz qgis atlas</v>
      </c>
      <c r="D472" s="191" t="str">
        <v>Done</v>
      </c>
      <c r="E472" s="189"/>
    </row>
    <row r="473">
      <c r="A473" s="190"/>
      <c r="B473" s="191"/>
      <c r="C473" s="192"/>
      <c r="D473" s="191"/>
      <c r="E473" s="189"/>
    </row>
    <row r="474">
      <c r="A474" s="190"/>
      <c r="B474" s="191"/>
      <c r="C474" s="192"/>
      <c r="D474" s="191"/>
      <c r="E474" s="189"/>
    </row>
    <row r="475">
      <c r="A475" s="190"/>
      <c r="B475" s="191"/>
      <c r="C475" s="192"/>
      <c r="D475" s="191"/>
      <c r="E475" s="189"/>
      <c r="J475" s="14" t="str">
        <v>y</v>
      </c>
    </row>
    <row r="476">
      <c r="A476" s="190"/>
      <c r="B476" s="194" t="str">
        <v>Lossa</v>
      </c>
      <c r="C476" s="192" t="str">
        <v>meeting geosquare</v>
      </c>
      <c r="D476" s="191" t="str">
        <v>Done</v>
      </c>
      <c r="E476" s="189"/>
    </row>
    <row r="477">
      <c r="A477" s="190"/>
      <c r="B477" s="194"/>
      <c r="C477" s="192" t="str">
        <v>meeting nabati</v>
      </c>
      <c r="D477" s="191" t="str">
        <v>Done</v>
      </c>
      <c r="E477" s="189"/>
    </row>
    <row r="478">
      <c r="A478" s="190"/>
      <c r="B478" s="194"/>
      <c r="C478" s="192" t="str">
        <v>proposal cimory</v>
      </c>
      <c r="D478" s="191" t="str">
        <v>Done</v>
      </c>
      <c r="E478" s="189"/>
    </row>
    <row r="479">
      <c r="A479" s="190"/>
      <c r="B479" s="194"/>
      <c r="C479" s="192" t="str">
        <v>skema pilot pupukindo &amp; listing pertanyaan</v>
      </c>
      <c r="D479" s="191" t="str">
        <v>Done</v>
      </c>
      <c r="E479" s="189"/>
    </row>
    <row r="480">
      <c r="A480" s="190"/>
      <c r="B480" s="194"/>
      <c r="C480" s="192"/>
      <c r="D480" s="191"/>
      <c r="E480" s="189"/>
    </row>
    <row r="481">
      <c r="A481" s="190"/>
      <c r="B481" s="194" t="str">
        <v>Amel</v>
      </c>
      <c r="C481" s="192" t="str">
        <v>siapin dokumen administrasi KAI</v>
      </c>
      <c r="D481" s="191" t="str">
        <v>Done</v>
      </c>
      <c r="E481" s="189"/>
    </row>
    <row r="482">
      <c r="A482" s="190"/>
      <c r="B482" s="194"/>
      <c r="C482" s="192" t="str">
        <v>meeting KAI</v>
      </c>
      <c r="D482" s="191" t="str">
        <v>Done</v>
      </c>
      <c r="E482" s="189"/>
    </row>
    <row r="483">
      <c r="A483" s="190"/>
      <c r="B483" s="194"/>
      <c r="C483" s="192" t="str">
        <v>Update FRD DSDA</v>
      </c>
      <c r="D483" s="191" t="str">
        <v>Done</v>
      </c>
      <c r="E483" s="189"/>
    </row>
    <row r="484">
      <c r="A484" s="190"/>
      <c r="B484" s="194"/>
      <c r="C484" s="192"/>
      <c r="D484" s="191"/>
      <c r="E484" s="189"/>
    </row>
    <row r="485">
      <c r="A485" s="190"/>
      <c r="B485" s="194"/>
      <c r="C485" s="192"/>
      <c r="D485" s="191"/>
      <c r="E485" s="189"/>
    </row>
    <row r="486">
      <c r="A486" s="190"/>
      <c r="B486" s="179" t="str">
        <v>Hadi</v>
      </c>
      <c r="C486" s="192" t="str">
        <v>Monitoring Business (Performance and Adhoc)</v>
      </c>
      <c r="D486" s="191" t="str">
        <v>Done</v>
      </c>
      <c r="E486" s="189"/>
    </row>
    <row r="487">
      <c r="A487" s="190"/>
      <c r="B487" s="179"/>
      <c r="C487" s="192" t="str">
        <v>Meeting People Traffic Data w/ geosquare</v>
      </c>
      <c r="D487" s="191" t="str">
        <v>Done</v>
      </c>
      <c r="E487" s="189"/>
    </row>
    <row r="488">
      <c r="A488" s="190"/>
      <c r="B488" s="179"/>
      <c r="C488" s="192" t="str">
        <v>Meeting Dealership Aggreement</v>
      </c>
      <c r="D488" s="191" t="str">
        <v>Done</v>
      </c>
      <c r="E488" s="189"/>
    </row>
    <row r="489">
      <c r="A489" s="190"/>
      <c r="B489" s="179"/>
      <c r="C489" s="192" t="str">
        <v>Monitoring Nabati Project</v>
      </c>
      <c r="D489" s="191" t="str">
        <v>Done</v>
      </c>
      <c r="E489" s="189"/>
    </row>
    <row r="490">
      <c r="A490" s="190"/>
      <c r="B490" s="179"/>
      <c r="C490" s="192"/>
      <c r="D490" s="191"/>
      <c r="E490" s="189"/>
    </row>
    <row customHeight="true" ht="19" r="491">
      <c r="A491" s="190">
        <v>46048</v>
      </c>
      <c r="B491" s="191" t="str">
        <v>Fariz</v>
      </c>
      <c r="C491" s="192" t="str">
        <v>[LMS] Finalisasi Script GEE untuk CourseLab 1</v>
      </c>
      <c r="D491" s="191" t="str">
        <v>Done</v>
      </c>
      <c r="E491" s="189"/>
    </row>
    <row r="492">
      <c r="A492" s="190"/>
      <c r="B492" s="191"/>
      <c r="C492" s="192" t="str">
        <v>[DLY] Handover Kerjaan Tanggal 3-12 Februari</v>
      </c>
      <c r="D492" s="191" t="str">
        <v>Done</v>
      </c>
      <c r="E492" s="189"/>
    </row>
    <row r="493">
      <c r="A493" s="190"/>
      <c r="B493" s="191"/>
      <c r="C493" s="192"/>
      <c r="D493" s="191"/>
      <c r="E493" s="189"/>
    </row>
    <row r="494">
      <c r="A494" s="190"/>
      <c r="B494" s="191"/>
      <c r="C494" s="192"/>
      <c r="D494" s="191"/>
      <c r="E494" s="189"/>
    </row>
    <row r="495">
      <c r="A495" s="190"/>
      <c r="B495" s="191"/>
      <c r="C495" s="192"/>
      <c r="D495" s="191"/>
      <c r="E495" s="189"/>
    </row>
    <row r="496">
      <c r="A496" s="190"/>
      <c r="B496" s="191" t="str">
        <v>Dwi</v>
      </c>
      <c r="C496" s="192" t="str">
        <v>Operasional: Update Revenue</v>
      </c>
      <c r="D496" s="191" t="str">
        <v>Done</v>
      </c>
      <c r="E496" s="189"/>
    </row>
    <row r="497">
      <c r="A497" s="190"/>
      <c r="B497" s="191"/>
      <c r="C497" s="192" t="str">
        <v>Location Analytics: pastikan update website &amp; Promo</v>
      </c>
      <c r="D497" s="191" t="str">
        <v>Done</v>
      </c>
      <c r="E497" s="189"/>
    </row>
    <row r="498">
      <c r="A498" s="190"/>
      <c r="B498" s="191"/>
      <c r="C498" s="192" t="str">
        <v>Batch 15 Campaign - Warm up:
- Memastikan konten 
- Memastikan kesiapan community
- Memastikan Social Media
- Memastikan leads WA &amp; Email</v>
      </c>
      <c r="D498" s="191" t="str">
        <v>Done</v>
      </c>
      <c r="E498" s="189"/>
    </row>
    <row r="499">
      <c r="A499" s="190"/>
      <c r="B499" s="191"/>
      <c r="C499" s="192" t="str">
        <v>Setup Ads- Location Analytics</v>
      </c>
      <c r="D499" s="191" t="str">
        <v>Done</v>
      </c>
      <c r="E499" s="189"/>
    </row>
    <row r="500">
      <c r="A500" s="190"/>
      <c r="B500" s="191"/>
      <c r="C500" s="192"/>
      <c r="D500" s="191"/>
      <c r="E500" s="189"/>
    </row>
    <row r="501">
      <c r="A501" s="190"/>
      <c r="B501" s="191"/>
      <c r="C501" s="192"/>
      <c r="D501" s="191"/>
      <c r="E501" s="189"/>
    </row>
    <row r="502">
      <c r="A502" s="190"/>
      <c r="B502" s="179" t="str">
        <v>Wina</v>
      </c>
      <c r="C502" s="192" t="str">
        <v>Daily Content (IGs &amp; WA Community - Location Analytics)</v>
      </c>
      <c r="D502" s="191" t="str">
        <v>Done</v>
      </c>
      <c r="E502" s="189" t="s">
        <v>372</v>
      </c>
    </row>
    <row r="503">
      <c r="A503" s="190"/>
      <c r="B503" s="179"/>
      <c r="C503" s="192" t="str">
        <v>MAPID Apps (playbook untuk CM)</v>
      </c>
      <c r="D503" s="191" t="str">
        <v>Done</v>
      </c>
      <c r="E503" s="189" t="s">
        <v>348</v>
      </c>
    </row>
    <row r="504">
      <c r="A504" s="190"/>
      <c r="B504" s="179"/>
      <c r="C504" s="192"/>
      <c r="D504" s="191"/>
      <c r="E504" s="189"/>
    </row>
    <row r="505">
      <c r="A505" s="190"/>
      <c r="B505" s="179"/>
      <c r="C505" s="192"/>
      <c r="D505" s="191"/>
      <c r="E505" s="189"/>
    </row>
    <row r="506">
      <c r="A506" s="190"/>
      <c r="B506" s="191" t="str">
        <v>Annisa</v>
      </c>
      <c r="C506" s="192" t="str">
        <v>poster MAPID ACADEMY LOCATION ANALYTICS BATCH 15</v>
      </c>
      <c r="D506" s="191" t="str">
        <v>Done</v>
      </c>
      <c r="E506" s="189"/>
    </row>
    <row r="507">
      <c r="A507" s="190"/>
      <c r="B507" s="191"/>
      <c r="C507" s="192" t="str">
        <v>edit video fariz course lab</v>
      </c>
      <c r="D507" s="191" t="str">
        <v>Done</v>
      </c>
      <c r="E507" s="189"/>
    </row>
    <row r="508">
      <c r="A508" s="190"/>
      <c r="B508" s="191"/>
      <c r="C508" s="192" t="str" xml:space="preserve">
        <v>syuting fariz course lab </v>
      </c>
      <c r="D508" s="191" t="str">
        <v>Done</v>
      </c>
      <c r="E508" s="189" t="str" xml:space="preserve">
        <v>lanjut besok </v>
      </c>
    </row>
    <row r="509">
      <c r="A509" s="190"/>
      <c r="B509" s="191"/>
      <c r="C509" s="192"/>
      <c r="D509" s="191"/>
      <c r="E509" s="189"/>
    </row>
    <row r="510">
      <c r="A510" s="190"/>
      <c r="B510" s="191"/>
      <c r="C510" s="192"/>
      <c r="D510" s="191"/>
      <c r="E510" s="189"/>
    </row>
    <row r="511">
      <c r="A511" s="190"/>
      <c r="B511" s="194" t="str">
        <v>Lossa</v>
      </c>
      <c r="C511" s="192" t="str">
        <v>meeting pupuk indo</v>
      </c>
      <c r="D511" s="191" t="str">
        <v>Done</v>
      </c>
      <c r="E511" s="189"/>
    </row>
    <row r="512">
      <c r="A512" s="190"/>
      <c r="B512" s="194"/>
      <c r="C512" s="192" t="str">
        <v>rfi pupukindo</v>
      </c>
      <c r="D512" s="191" t="str">
        <v>Done</v>
      </c>
      <c r="E512" s="189"/>
    </row>
    <row r="513">
      <c r="A513" s="190"/>
      <c r="B513" s="194"/>
      <c r="C513" s="192" t="str">
        <v>meeting feasibility check</v>
      </c>
      <c r="D513" s="191" t="str">
        <v>Done</v>
      </c>
      <c r="E513" s="189"/>
    </row>
    <row r="514">
      <c r="A514" s="190"/>
      <c r="B514" s="194"/>
      <c r="C514" s="192"/>
      <c r="D514" s="191"/>
      <c r="E514" s="189"/>
    </row>
    <row r="515">
      <c r="A515" s="190"/>
      <c r="B515" s="194" t="str">
        <v>Amel</v>
      </c>
      <c r="C515" s="192" t="str">
        <v>Deck Dinas cipta karya dan tata ruang</v>
      </c>
      <c r="D515" s="191" t="str">
        <v>Done</v>
      </c>
      <c r="E515" s="189"/>
    </row>
    <row r="516">
      <c r="A516" s="190"/>
      <c r="B516" s="194"/>
      <c r="C516" s="192" t="str">
        <v>Deck My Republic</v>
      </c>
      <c r="D516" s="191" t="str">
        <v>Done</v>
      </c>
      <c r="E516" s="189"/>
    </row>
    <row r="517">
      <c r="A517" s="190"/>
      <c r="B517" s="194"/>
      <c r="C517" s="192" t="str">
        <v>meeting feasibility check</v>
      </c>
      <c r="D517" s="191" t="str">
        <v>Done</v>
      </c>
      <c r="E517" s="189"/>
    </row>
    <row r="518">
      <c r="A518" s="190"/>
      <c r="B518" s="194"/>
      <c r="C518" s="192" t="str">
        <v>FRD SNJ</v>
      </c>
      <c r="D518" s="191" t="str">
        <v>Done</v>
      </c>
      <c r="E518" s="189"/>
    </row>
    <row r="519">
      <c r="A519" s="190"/>
      <c r="B519" s="194"/>
      <c r="C519" s="192"/>
      <c r="D519" s="191"/>
      <c r="E519" s="189"/>
    </row>
    <row customHeight="true" ht="19" r="520">
      <c r="A520" s="190"/>
      <c r="B520" s="194" t="str">
        <v>Zhafran</v>
      </c>
      <c r="C520" s="192"/>
      <c r="D520" s="191"/>
      <c r="E520" s="189"/>
    </row>
    <row customHeight="true" ht="19" r="521">
      <c r="A521" s="190"/>
      <c r="B521" s="194"/>
      <c r="C521" s="192"/>
      <c r="D521" s="191"/>
      <c r="E521" s="189"/>
    </row>
    <row customHeight="true" ht="19" r="522">
      <c r="A522" s="190"/>
      <c r="B522" s="194"/>
      <c r="C522" s="192"/>
      <c r="D522" s="191"/>
      <c r="E522" s="189"/>
    </row>
    <row customHeight="true" ht="19" r="523">
      <c r="A523" s="190"/>
      <c r="B523" s="194"/>
      <c r="C523" s="192"/>
      <c r="D523" s="191"/>
      <c r="E523" s="189"/>
    </row>
    <row customHeight="true" ht="19" r="524">
      <c r="A524" s="190"/>
      <c r="B524" s="194"/>
      <c r="C524" s="192"/>
      <c r="D524" s="191"/>
      <c r="E524" s="189"/>
    </row>
    <row r="525">
      <c r="A525" s="190"/>
      <c r="B525" s="179" t="str">
        <v>Hadi</v>
      </c>
      <c r="C525" s="192" t="str">
        <v>Monitoring Business</v>
      </c>
      <c r="D525" s="191" t="str">
        <v>Done</v>
      </c>
      <c r="E525" s="189"/>
    </row>
    <row r="526">
      <c r="A526" s="190"/>
      <c r="B526" s="179"/>
      <c r="C526" s="192" t="str">
        <v>Onboarding Zhafran</v>
      </c>
      <c r="D526" s="191" t="str">
        <v>Done</v>
      </c>
      <c r="E526" s="189"/>
    </row>
    <row r="527">
      <c r="A527" s="190"/>
      <c r="B527" s="179"/>
      <c r="C527" s="192" t="str">
        <v>Meeting Apps</v>
      </c>
      <c r="D527" s="191" t="str">
        <v>Done</v>
      </c>
      <c r="E527" s="189"/>
    </row>
    <row r="528">
      <c r="A528" s="190"/>
      <c r="B528" s="179"/>
      <c r="C528" s="192" t="str">
        <v>Meeting Feasibility Check Project</v>
      </c>
      <c r="D528" s="191" t="str">
        <v>Done</v>
      </c>
      <c r="E528" s="189"/>
    </row>
    <row r="529">
      <c r="A529" s="190"/>
      <c r="B529" s="179"/>
      <c r="C529" s="192" t="str">
        <v>Others : script documenter, monitoring admin dashboard</v>
      </c>
      <c r="D529" s="191" t="str">
        <v>Done</v>
      </c>
      <c r="E529" s="189"/>
    </row>
    <row customHeight="true" ht="19" r="530">
      <c r="A530" s="190">
        <v>46049</v>
      </c>
      <c r="B530" s="191" t="str">
        <v>Fariz</v>
      </c>
      <c r="C530" s="208" t="str">
        <v>[DLY] Dokumen Temporary Handover</v>
      </c>
      <c r="D530" s="198" t="str">
        <v>Done</v>
      </c>
      <c r="E530" s="189"/>
    </row>
    <row r="531">
      <c r="A531" s="190"/>
      <c r="B531" s="191"/>
      <c r="C531" s="192" t="str">
        <v>[LMS] Shooting CourseLab 2 Day (2/2)</v>
      </c>
      <c r="D531" s="179" t="str">
        <v>Done</v>
      </c>
      <c r="E531" s="202"/>
    </row>
    <row r="532">
      <c r="A532" s="190"/>
      <c r="B532" s="191"/>
      <c r="C532" s="192"/>
      <c r="D532" s="179"/>
      <c r="E532" s="202"/>
    </row>
    <row r="533">
      <c r="A533" s="190"/>
      <c r="B533" s="191"/>
      <c r="C533" s="192"/>
      <c r="D533" s="179"/>
      <c r="E533" s="202"/>
    </row>
    <row r="534">
      <c r="A534" s="190"/>
      <c r="B534" s="191"/>
      <c r="C534" s="133"/>
      <c r="D534" s="133"/>
      <c r="E534" s="202"/>
    </row>
    <row r="535">
      <c r="A535" s="190"/>
      <c r="B535" s="191" t="str">
        <v>Dwi</v>
      </c>
      <c r="C535" s="200" t="str">
        <v>Setup ads-  Location Analytics Batch 15</v>
      </c>
      <c r="D535" s="203" t="str">
        <v>Done</v>
      </c>
      <c r="E535" s="189"/>
    </row>
    <row r="536">
      <c r="A536" s="190"/>
      <c r="B536" s="191"/>
      <c r="C536" s="192" t="str">
        <v>Blasting WA - Batch 15</v>
      </c>
      <c r="D536" s="191" t="str">
        <v>Done</v>
      </c>
      <c r="E536" s="189"/>
    </row>
    <row r="537">
      <c r="A537" s="190"/>
      <c r="B537" s="191"/>
      <c r="C537" s="192" t="str">
        <v>Menyicil - Page Enterprise</v>
      </c>
      <c r="D537" s="191"/>
      <c r="E537" s="189"/>
    </row>
    <row r="538">
      <c r="A538" s="190"/>
      <c r="B538" s="191"/>
      <c r="C538" s="192"/>
      <c r="D538" s="191"/>
      <c r="E538" s="189"/>
    </row>
    <row r="539">
      <c r="A539" s="190"/>
      <c r="B539" s="191"/>
      <c r="C539" s="192"/>
      <c r="D539" s="191"/>
      <c r="E539" s="189"/>
    </row>
    <row r="540">
      <c r="A540" s="190"/>
      <c r="B540" s="191"/>
      <c r="C540" s="192"/>
      <c r="D540" s="191"/>
      <c r="E540" s="189"/>
    </row>
    <row r="541">
      <c r="A541" s="190"/>
      <c r="B541" s="179" t="str">
        <v>Wina</v>
      </c>
      <c r="C541" s="192" t="str">
        <v>Reporting Daily Content</v>
      </c>
      <c r="D541" s="191" t="str">
        <v>Done</v>
      </c>
      <c r="E541" s="189"/>
    </row>
    <row r="542">
      <c r="A542" s="190"/>
      <c r="B542" s="179"/>
      <c r="C542" s="192" t="str">
        <v>Take content - MAPID Academy</v>
      </c>
      <c r="D542" s="191" t="str">
        <v>Done</v>
      </c>
      <c r="E542" s="189" t="s">
        <v>363</v>
      </c>
    </row>
    <row r="543">
      <c r="A543" s="190"/>
      <c r="B543" s="179"/>
      <c r="C543" s="192" t="str" xml:space="preserve">
        <v>Penjelasan MAPID Apps ke CM + Wulan </v>
      </c>
      <c r="D543" s="191" t="str">
        <v>Done</v>
      </c>
      <c r="E543" s="189"/>
    </row>
    <row r="544">
      <c r="A544" s="190"/>
      <c r="B544" s="179"/>
      <c r="C544" s="192"/>
      <c r="D544" s="191"/>
      <c r="E544" s="189"/>
    </row>
    <row r="545">
      <c r="A545" s="190"/>
      <c r="B545" s="191" t="str">
        <v>Annisa</v>
      </c>
      <c r="C545" s="192" t="str">
        <v>edit video fariz course lab lanjutan</v>
      </c>
      <c r="D545" s="191" t="str">
        <v>Done</v>
      </c>
      <c r="E545" s="189"/>
    </row>
    <row r="546">
      <c r="A546" s="190"/>
      <c r="B546" s="191"/>
      <c r="C546" s="192" t="str">
        <v>ads mapid academy location analytics</v>
      </c>
      <c r="D546" s="191" t="str">
        <v>Done</v>
      </c>
      <c r="E546" s="189" t="str">
        <v>lanjut besok</v>
      </c>
    </row>
    <row r="547">
      <c r="A547" s="190"/>
      <c r="B547" s="191"/>
      <c r="C547" s="192" t="str">
        <v>syuting buat course lab sama fariz</v>
      </c>
      <c r="D547" s="191" t="str">
        <v>Done</v>
      </c>
      <c r="E547" s="189"/>
    </row>
    <row r="548">
      <c r="A548" s="190"/>
      <c r="B548" s="191"/>
      <c r="C548" s="192"/>
      <c r="D548" s="191"/>
      <c r="E548" s="189"/>
    </row>
    <row r="549">
      <c r="A549" s="190"/>
      <c r="B549" s="191"/>
      <c r="C549" s="192"/>
      <c r="D549" s="191"/>
      <c r="E549" s="189"/>
    </row>
    <row r="550">
      <c r="A550" s="190"/>
      <c r="B550" s="194" t="str">
        <v>Lossa</v>
      </c>
      <c r="C550" s="192" t="str">
        <v>meeting pelindo manajemen asset</v>
      </c>
      <c r="D550" s="191" t="str">
        <v>Done</v>
      </c>
      <c r="E550" s="189">
        <v>10</v>
      </c>
    </row>
    <row r="551">
      <c r="A551" s="190"/>
      <c r="B551" s="194"/>
      <c r="C551" s="192" t="str">
        <v>demo call (pt solusi gadai indonesia)</v>
      </c>
      <c r="D551" s="191" t="str">
        <v>Done</v>
      </c>
      <c r="E551" s="189">
        <v>13.3</v>
      </c>
    </row>
    <row r="552">
      <c r="A552" s="190"/>
      <c r="B552" s="194"/>
      <c r="C552" s="192" t="str">
        <v>proposal teknis karlo</v>
      </c>
      <c r="D552" s="191" t="str">
        <v>Done</v>
      </c>
      <c r="E552" s="189"/>
    </row>
    <row r="553">
      <c r="A553" s="190"/>
      <c r="B553" s="194"/>
      <c r="C553" s="192" t="str">
        <v>input iot dsda ke swc</v>
      </c>
      <c r="D553" s="191" t="str">
        <v>Done</v>
      </c>
      <c r="E553" s="189" t="str">
        <v>gabisa diinput krn formatnya beda (geo cuma support upload api yg formatnya geojson sedangkan api mreka formatnya json)</v>
      </c>
    </row>
    <row customHeight="true" ht="19" r="554">
      <c r="A554" s="190"/>
      <c r="B554" s="194"/>
      <c r="C554" s="192"/>
      <c r="D554" s="191"/>
      <c r="E554" s="189"/>
    </row>
    <row r="555">
      <c r="A555" s="190"/>
      <c r="B555" s="194" t="str">
        <v>Amel</v>
      </c>
      <c r="C555" s="192" t="str">
        <v>Meeting dinas cipta karya n tata ruang</v>
      </c>
      <c r="D555" s="191" t="str">
        <v>Done</v>
      </c>
      <c r="E555" s="189"/>
    </row>
    <row r="556">
      <c r="A556" s="190"/>
      <c r="B556" s="194"/>
      <c r="C556" s="192" t="str">
        <v>Meeting DSDA integrasi data JAKI</v>
      </c>
      <c r="D556" s="191" t="str">
        <v>Done</v>
      </c>
      <c r="E556" s="189"/>
    </row>
    <row r="557">
      <c r="A557" s="190"/>
      <c r="B557" s="194"/>
      <c r="C557" s="192"/>
      <c r="D557" s="191"/>
      <c r="E557" s="189"/>
    </row>
    <row r="558">
      <c r="A558" s="190"/>
      <c r="B558" s="194"/>
      <c r="C558" s="192"/>
      <c r="D558" s="191"/>
      <c r="E558" s="189"/>
    </row>
    <row r="559">
      <c r="A559" s="190"/>
      <c r="B559" s="194"/>
      <c r="C559" s="192"/>
      <c r="D559" s="191"/>
      <c r="E559" s="189"/>
    </row>
    <row r="560">
      <c r="A560" s="190"/>
      <c r="B560" s="194" t="str">
        <v>Zhafran</v>
      </c>
      <c r="C560" s="192" t="str" xml:space="preserve">
        <v>Meeting Pelindo </v>
      </c>
      <c r="D560" s="191" t="str">
        <v>Done</v>
      </c>
      <c r="E560" s="189"/>
    </row>
    <row r="561">
      <c r="A561" s="190"/>
      <c r="B561" s="194"/>
      <c r="C561" s="192" t="str" xml:space="preserve">
        <v>Continue pemahaman program MAPID </v>
      </c>
      <c r="D561" s="191" t="str">
        <v>Done</v>
      </c>
      <c r="E561" s="189"/>
    </row>
    <row r="562">
      <c r="A562" s="190"/>
      <c r="B562" s="194"/>
      <c r="C562" s="192"/>
      <c r="D562" s="191"/>
      <c r="E562" s="189"/>
    </row>
    <row r="563">
      <c r="A563" s="190"/>
      <c r="B563" s="194"/>
      <c r="C563" s="192"/>
      <c r="D563" s="191"/>
      <c r="E563" s="189"/>
    </row>
    <row r="564">
      <c r="A564" s="190"/>
      <c r="B564" s="194"/>
      <c r="C564" s="192"/>
      <c r="D564" s="191"/>
      <c r="E564" s="189"/>
    </row>
    <row r="565">
      <c r="A565" s="190"/>
      <c r="B565" s="179" t="str">
        <v>Hadi</v>
      </c>
      <c r="C565" s="192" t="str">
        <v>Monitoring Business (Daily Standup, Monitoring Admin (database), Film Dokumenter)</v>
      </c>
      <c r="D565" s="191" t="str">
        <v>Done</v>
      </c>
      <c r="E565" s="189"/>
    </row>
    <row r="566">
      <c r="A566" s="190"/>
      <c r="B566" s="179"/>
      <c r="C566" s="192" t="str">
        <v>Meeting Admin Dashboard</v>
      </c>
      <c r="D566" s="191" t="str">
        <v>Done</v>
      </c>
      <c r="E566" s="189"/>
    </row>
    <row r="567">
      <c r="A567" s="190"/>
      <c r="B567" s="179"/>
      <c r="C567" s="192" t="str">
        <v>Rapihin dokumen apps untuk ke tim dev (monitoring community playbook)</v>
      </c>
      <c r="D567" s="191" t="str">
        <v>Done</v>
      </c>
      <c r="E567" s="189"/>
    </row>
    <row r="568">
      <c r="A568" s="190"/>
      <c r="B568" s="179"/>
      <c r="C568" s="192" t="str">
        <v>others : draft report shareholders, revisi proposal catalyst</v>
      </c>
      <c r="D568" s="191" t="str">
        <v>Done</v>
      </c>
      <c r="E568" s="189"/>
    </row>
    <row r="569">
      <c r="A569" s="190"/>
      <c r="B569" s="179"/>
      <c r="C569" s="192"/>
      <c r="D569" s="191"/>
      <c r="E569" s="189"/>
    </row>
    <row r="570">
      <c r="A570" s="190">
        <v>46050</v>
      </c>
      <c r="B570" s="191" t="str">
        <v>Fariz</v>
      </c>
      <c r="C570" s="208" t="str">
        <v>[WGA] Operasional WebGIS</v>
      </c>
      <c r="D570" s="198" t="str">
        <v>Done</v>
      </c>
      <c r="E570" s="189"/>
    </row>
    <row r="571">
      <c r="A571" s="190"/>
      <c r="B571" s="191"/>
      <c r="C571" s="192" t="str">
        <v>[DLY] Dokumen Handover</v>
      </c>
      <c r="D571" s="198" t="str">
        <v>Done</v>
      </c>
      <c r="E571" s="189"/>
    </row>
    <row r="572">
      <c r="A572" s="190"/>
      <c r="B572" s="191"/>
      <c r="C572" s="192" t="str" xml:space="preserve">
        <v>[DLY] Purchasing </v>
      </c>
      <c r="D572" s="198" t="str">
        <v>Done</v>
      </c>
      <c r="E572" s="189"/>
    </row>
    <row r="573">
      <c r="A573" s="190"/>
      <c r="B573" s="191"/>
      <c r="C573" s="192"/>
      <c r="D573" s="179"/>
      <c r="E573" s="189"/>
    </row>
    <row r="574">
      <c r="A574" s="190"/>
      <c r="B574" s="191"/>
      <c r="C574" s="133"/>
      <c r="D574" s="133"/>
      <c r="E574" s="189"/>
    </row>
    <row r="575">
      <c r="A575" s="190"/>
      <c r="B575" s="191" t="str">
        <v>Dwi</v>
      </c>
      <c r="C575" s="192" t="str">
        <v>Menyicil - Page Enterprise</v>
      </c>
      <c r="D575" s="203" t="str">
        <v>Done</v>
      </c>
      <c r="E575" s="189"/>
    </row>
    <row r="576">
      <c r="A576" s="190"/>
      <c r="B576" s="191"/>
      <c r="C576" s="192" t="str">
        <v>Setup Ads- Traffic- MA LA B15</v>
      </c>
      <c r="D576" s="191"/>
      <c r="E576" s="189"/>
    </row>
    <row r="577">
      <c r="A577" s="190"/>
      <c r="B577" s="191"/>
      <c r="C577" s="192" t="str">
        <v>Tracking tag manager - Solution &amp; homepage</v>
      </c>
      <c r="D577" s="191"/>
      <c r="E577" s="189"/>
    </row>
    <row r="578">
      <c r="A578" s="190"/>
      <c r="B578" s="191"/>
      <c r="C578" s="192" t="str">
        <v>fix calendly</v>
      </c>
      <c r="D578" s="191"/>
      <c r="E578" s="189"/>
    </row>
    <row r="579">
      <c r="A579" s="190"/>
      <c r="B579" s="191"/>
      <c r="C579" s="192"/>
      <c r="D579" s="191"/>
      <c r="E579" s="189"/>
    </row>
    <row r="580">
      <c r="A580" s="190"/>
      <c r="B580" s="191"/>
      <c r="C580" s="192"/>
      <c r="D580" s="191"/>
      <c r="E580" s="189"/>
    </row>
    <row r="581">
      <c r="A581" s="190"/>
      <c r="B581" s="179" t="str">
        <v>Wina</v>
      </c>
      <c r="C581" s="192" t="str">
        <v>Daily content (newsletter, IG)</v>
      </c>
      <c r="D581" s="191" t="str">
        <v>Done</v>
      </c>
      <c r="E581" s="189"/>
    </row>
    <row r="582">
      <c r="A582" s="190"/>
      <c r="B582" s="179"/>
      <c r="C582" s="192" t="str">
        <v>Shooting Dokumenter</v>
      </c>
      <c r="D582" s="191" t="str">
        <v>Done</v>
      </c>
      <c r="E582" s="189"/>
    </row>
    <row r="583">
      <c r="A583" s="190"/>
      <c r="B583" s="179"/>
      <c r="C583" s="192"/>
      <c r="D583" s="191"/>
      <c r="E583" s="189"/>
    </row>
    <row r="584">
      <c r="A584" s="190"/>
      <c r="B584" s="179"/>
      <c r="C584" s="192"/>
      <c r="D584" s="191"/>
      <c r="E584" s="189"/>
    </row>
    <row r="585">
      <c r="A585" s="190"/>
      <c r="B585" s="191" t="str">
        <v>Annisa</v>
      </c>
      <c r="C585" s="192" t="str" xml:space="preserve">
        <v>syuting dokumenter </v>
      </c>
      <c r="D585" s="191"/>
      <c r="E585" s="189"/>
    </row>
    <row r="586">
      <c r="A586" s="190"/>
      <c r="B586" s="191"/>
      <c r="C586" s="192" t="str" xml:space="preserve">
        <v>lanjutan bikin ads </v>
      </c>
      <c r="D586" s="191" t="str">
        <v>Done</v>
      </c>
      <c r="E586" s="189"/>
    </row>
    <row r="587">
      <c r="A587" s="190"/>
      <c r="B587" s="191"/>
      <c r="C587" s="192" t="str" xml:space="preserve">
        <v>syuting lanjutan course lab </v>
      </c>
      <c r="D587" s="191"/>
      <c r="E587" s="189"/>
    </row>
    <row r="588">
      <c r="A588" s="190"/>
      <c r="B588" s="191"/>
      <c r="C588" s="192"/>
      <c r="D588" s="191"/>
      <c r="E588" s="189"/>
    </row>
    <row r="589">
      <c r="A589" s="190"/>
      <c r="B589" s="191"/>
      <c r="C589" s="192"/>
      <c r="D589" s="191"/>
      <c r="E589" s="189"/>
    </row>
    <row r="590">
      <c r="A590" s="190"/>
      <c r="B590" s="194" t="str">
        <v>Lossa</v>
      </c>
      <c r="C590" s="192" t="str">
        <v>diskusi &amp; adjustment deck nabati w/sales</v>
      </c>
      <c r="D590" s="191" t="str">
        <v>Done</v>
      </c>
      <c r="E590" s="189"/>
    </row>
    <row r="591">
      <c r="A591" s="190"/>
      <c r="B591" s="194"/>
      <c r="C591" s="192" t="str">
        <v>frd mr diy</v>
      </c>
      <c r="D591" s="191" t="str">
        <v>Done</v>
      </c>
      <c r="E591" s="189"/>
    </row>
    <row r="592">
      <c r="A592" s="190"/>
      <c r="B592" s="194"/>
      <c r="C592" s="192" t="str">
        <v>feasibility check meeting</v>
      </c>
      <c r="D592" s="191" t="str">
        <v>Done</v>
      </c>
      <c r="E592" s="189"/>
    </row>
    <row r="593">
      <c r="A593" s="190"/>
      <c r="B593" s="194"/>
      <c r="C593" s="192" t="str">
        <v>pelindo: fu bpo (data), fu impactto (legal)</v>
      </c>
      <c r="D593" s="191" t="str">
        <v>Done</v>
      </c>
      <c r="E593" s="189"/>
    </row>
    <row r="594">
      <c r="A594" s="190"/>
      <c r="B594" s="194"/>
      <c r="C594" s="192" t="str">
        <v>crm sync</v>
      </c>
      <c r="D594" s="191" t="str">
        <v>Done</v>
      </c>
      <c r="E594" s="189"/>
    </row>
    <row r="595">
      <c r="A595" s="190"/>
      <c r="B595" s="194" t="str">
        <v>Amel</v>
      </c>
      <c r="C595" s="192" t="str">
        <v>Proposal PT Solusi Gadai</v>
      </c>
      <c r="D595" s="191" t="str">
        <v>Done</v>
      </c>
      <c r="E595" s="189"/>
    </row>
    <row r="596">
      <c r="A596" s="190"/>
      <c r="B596" s="194"/>
      <c r="C596" s="192" t="str">
        <v>Timeline dan adjust pricing DSDA</v>
      </c>
      <c r="D596" s="191" t="str">
        <v>Done</v>
      </c>
      <c r="E596" s="189"/>
    </row>
    <row r="597">
      <c r="A597" s="190"/>
      <c r="B597" s="194"/>
      <c r="C597" s="192" t="str">
        <v>CRM Sync</v>
      </c>
      <c r="D597" s="191" t="str">
        <v>Done</v>
      </c>
      <c r="E597" s="189"/>
    </row>
    <row r="598">
      <c r="A598" s="190"/>
      <c r="B598" s="194"/>
      <c r="C598" s="192" t="str">
        <v>Meeting feasibility check</v>
      </c>
      <c r="D598" s="191" t="str">
        <v>Done</v>
      </c>
      <c r="E598" s="189"/>
    </row>
    <row r="599">
      <c r="A599" s="190"/>
      <c r="B599" s="194"/>
      <c r="C599" s="192" t="s">
        <v>339</v>
      </c>
      <c r="D599" s="191" t="str">
        <v>Done</v>
      </c>
      <c r="E599" s="189"/>
    </row>
    <row r="600">
      <c r="A600" s="190"/>
      <c r="B600" s="194" t="str">
        <v>Zhafran</v>
      </c>
      <c r="C600" s="192" t="str" xml:space="preserve">
        <v>Continue pemahaman program MAPID </v>
      </c>
      <c r="D600" s="191" t="str">
        <v>Done</v>
      </c>
      <c r="E600" s="189"/>
    </row>
    <row r="601">
      <c r="A601" s="190"/>
      <c r="B601" s="194"/>
      <c r="C601" s="192"/>
      <c r="D601" s="191"/>
      <c r="E601" s="189"/>
    </row>
    <row r="602">
      <c r="A602" s="190"/>
      <c r="B602" s="194"/>
      <c r="C602" s="192"/>
      <c r="D602" s="191"/>
      <c r="E602" s="189"/>
    </row>
    <row r="603">
      <c r="A603" s="190"/>
      <c r="B603" s="194"/>
      <c r="C603" s="192"/>
      <c r="D603" s="191"/>
      <c r="E603" s="189"/>
    </row>
    <row r="604">
      <c r="A604" s="190"/>
      <c r="B604" s="194"/>
      <c r="C604" s="192"/>
      <c r="D604" s="191"/>
      <c r="E604" s="189"/>
    </row>
    <row r="605">
      <c r="A605" s="190"/>
      <c r="B605" s="179" t="str">
        <v>Hadi</v>
      </c>
      <c r="C605" s="192" t="str">
        <v>Monitoring Business (Daily Standup, Film Dokumenter, B2 Report)</v>
      </c>
      <c r="D605" s="191" t="str">
        <v>Done</v>
      </c>
      <c r="E605" s="189"/>
    </row>
    <row r="606">
      <c r="A606" s="190"/>
      <c r="B606" s="179"/>
      <c r="C606" s="192" t="str">
        <v>CRM Sync</v>
      </c>
      <c r="D606" s="191" t="str">
        <v>Done</v>
      </c>
      <c r="E606" s="189"/>
    </row>
    <row r="607">
      <c r="A607" s="190"/>
      <c r="B607" s="179"/>
      <c r="C607" s="192" t="str">
        <v>FC Bluebird</v>
      </c>
      <c r="D607" s="191" t="str">
        <v>Done</v>
      </c>
      <c r="E607" s="189"/>
    </row>
    <row r="608">
      <c r="A608" s="190"/>
      <c r="B608" s="179"/>
      <c r="C608" s="192" t="str">
        <v>others : draft shareholders report, b2 report business</v>
      </c>
      <c r="D608" s="191" t="str">
        <v>Done</v>
      </c>
      <c r="E608" s="189"/>
    </row>
    <row r="609">
      <c r="A609" s="190"/>
      <c r="B609" s="179"/>
      <c r="C609" s="192"/>
      <c r="D609" s="191"/>
      <c r="E609" s="189"/>
    </row>
    <row r="610">
      <c r="A610" s="190">
        <v>46051</v>
      </c>
      <c r="B610" s="191" t="str">
        <v>Fariz</v>
      </c>
      <c r="C610" s="208" t="str">
        <v>[WGA] Operasional WebGIS</v>
      </c>
      <c r="D610" s="191" t="str">
        <v>Done</v>
      </c>
      <c r="E610" s="193"/>
    </row>
    <row r="611">
      <c r="A611" s="190"/>
      <c r="B611" s="191"/>
      <c r="C611" s="192" t="str">
        <v>[LMS] Shooting Video Terakhir</v>
      </c>
      <c r="D611" s="191" t="str">
        <v>Done</v>
      </c>
      <c r="E611" s="193" t="str">
        <v>17.00 - 17.30</v>
      </c>
    </row>
    <row r="612">
      <c r="A612" s="190"/>
      <c r="B612" s="191"/>
      <c r="C612" s="192" t="str">
        <v>[DLY] Meeting AksaraLab</v>
      </c>
      <c r="D612" s="198" t="str">
        <v>Done</v>
      </c>
      <c r="E612" s="193"/>
    </row>
    <row r="613">
      <c r="A613" s="190"/>
      <c r="B613" s="191"/>
      <c r="C613" s="192"/>
      <c r="D613" s="179"/>
      <c r="E613" s="193"/>
    </row>
    <row r="614">
      <c r="A614" s="190"/>
      <c r="B614" s="191"/>
      <c r="C614" s="133"/>
      <c r="D614" s="133"/>
      <c r="E614" s="193"/>
    </row>
    <row r="615">
      <c r="A615" s="190"/>
      <c r="B615" s="191" t="str">
        <v>Dwi</v>
      </c>
      <c r="C615" s="192" t="str">
        <v>Menyicil - Page Enterprise</v>
      </c>
      <c r="D615" s="203" t="str">
        <v>Done</v>
      </c>
      <c r="E615" s="193" t="s">
        <v>336</v>
      </c>
    </row>
    <row r="616">
      <c r="A616" s="190"/>
      <c r="B616" s="191"/>
      <c r="C616" s="192" t="str">
        <v>Setup Ads- Traffic- MA LA B15</v>
      </c>
      <c r="D616" s="191" t="str">
        <v>Done</v>
      </c>
      <c r="E616" s="193" t="str">
        <v>Traffic done</v>
      </c>
    </row>
    <row r="617">
      <c r="A617" s="190"/>
      <c r="B617" s="191"/>
      <c r="C617" s="192" t="str">
        <v>Tracking tag manager - Solution &amp; homepage</v>
      </c>
      <c r="D617" s="191"/>
      <c r="E617" s="193"/>
    </row>
    <row r="618">
      <c r="A618" s="190"/>
      <c r="B618" s="191"/>
      <c r="C618" s="192" t="str">
        <v>fix calendly</v>
      </c>
      <c r="D618" s="191" t="str">
        <v>Done</v>
      </c>
      <c r="E618" s="193" t="str">
        <v>Done</v>
      </c>
    </row>
    <row r="619">
      <c r="A619" s="190"/>
      <c r="B619" s="191"/>
      <c r="C619" s="192" t="str">
        <v>Discuss Website &amp; WAHA &amp; Tracking</v>
      </c>
      <c r="D619" s="191" t="str">
        <v>Done</v>
      </c>
      <c r="E619" s="193" t="str">
        <v>- untuk WAHA sudah bisa namun membutuhkan nomor HP baru yang isoke kalo ternyata ke block</v>
      </c>
    </row>
    <row r="620">
      <c r="A620" s="190"/>
      <c r="B620" s="191"/>
      <c r="C620" s="192"/>
      <c r="D620" s="191"/>
      <c r="E620" s="193"/>
    </row>
    <row r="621">
      <c r="A621" s="190"/>
      <c r="B621" s="179" t="str">
        <v>Wina</v>
      </c>
      <c r="C621" s="192" t="str">
        <v>Daily Content (IG &amp; WA)</v>
      </c>
      <c r="D621" s="191" t="str">
        <v>Done</v>
      </c>
      <c r="E621" s="193"/>
    </row>
    <row r="622">
      <c r="A622" s="190"/>
      <c r="B622" s="179"/>
      <c r="C622" s="192" t="str">
        <v>cicil editing video reels</v>
      </c>
      <c r="D622" s="191" t="str">
        <v>Done</v>
      </c>
      <c r="E622" s="193"/>
    </row>
    <row r="623">
      <c r="A623" s="190"/>
      <c r="B623" s="179"/>
      <c r="C623" s="192" t="str">
        <v>report bweekly</v>
      </c>
      <c r="D623" s="191" t="str">
        <v>Done</v>
      </c>
      <c r="E623" s="193"/>
    </row>
    <row r="624">
      <c r="A624" s="190"/>
      <c r="B624" s="179"/>
      <c r="C624" s="192"/>
      <c r="D624" s="191"/>
      <c r="E624" s="193"/>
    </row>
    <row r="625">
      <c r="A625" s="190"/>
      <c r="B625" s="191" t="str">
        <v>Annisa</v>
      </c>
      <c r="C625" s="192" t="str">
        <v>revisi proposal mapid catalyst 2026</v>
      </c>
      <c r="D625" s="191" t="str">
        <v>Done</v>
      </c>
      <c r="E625" s="193"/>
    </row>
    <row r="626">
      <c r="A626" s="190"/>
      <c r="B626" s="191"/>
      <c r="C626" s="192" t="str" xml:space="preserve">
        <v> Memahami Istilah Penting di Location Analytics konten</v>
      </c>
      <c r="D626" s="191" t="str">
        <v>Done</v>
      </c>
      <c r="E626" s="193"/>
    </row>
    <row r="627">
      <c r="A627" s="190"/>
      <c r="B627" s="191"/>
      <c r="C627" s="192" t="str">
        <v>syuting course lab fariz (revisi</v>
      </c>
      <c r="D627" s="191" t="str">
        <v>Done</v>
      </c>
      <c r="E627" s="193"/>
    </row>
    <row r="628">
      <c r="A628" s="190"/>
      <c r="B628" s="191"/>
      <c r="C628" s="192"/>
      <c r="D628" s="191"/>
      <c r="E628" s="193"/>
    </row>
    <row r="629">
      <c r="A629" s="190"/>
      <c r="B629" s="191"/>
      <c r="C629" s="192"/>
      <c r="D629" s="191"/>
      <c r="E629" s="193"/>
    </row>
    <row r="630">
      <c r="A630" s="190"/>
      <c r="B630" s="194" t="str">
        <v>Lossa</v>
      </c>
      <c r="C630" s="192" t="str">
        <v>proposal komersial pupuk</v>
      </c>
      <c r="D630" s="191" t="str">
        <v>Done</v>
      </c>
      <c r="E630" s="193"/>
    </row>
    <row r="631">
      <c r="A631" s="190"/>
      <c r="B631" s="194"/>
      <c r="C631" s="192" t="str">
        <v>adjust deck, dan bikin form demo nabati</v>
      </c>
      <c r="D631" s="191" t="str">
        <v>Done</v>
      </c>
      <c r="E631" s="193"/>
    </row>
    <row r="632">
      <c r="A632" s="190"/>
      <c r="B632" s="194"/>
      <c r="C632" s="192" t="str">
        <v>meeting nabati</v>
      </c>
      <c r="D632" s="191" t="str">
        <v>Done</v>
      </c>
      <c r="E632" s="193"/>
    </row>
    <row r="633">
      <c r="A633" s="190"/>
      <c r="B633" s="194"/>
      <c r="C633" s="192" t="str">
        <v>meeting aksara</v>
      </c>
      <c r="D633" s="191" t="str">
        <v>Done</v>
      </c>
      <c r="E633" s="193"/>
    </row>
    <row r="634">
      <c r="A634" s="190"/>
      <c r="B634" s="194"/>
      <c r="C634" s="192"/>
      <c r="D634" s="191"/>
      <c r="E634" s="193"/>
    </row>
    <row r="635">
      <c r="A635" s="190"/>
      <c r="B635" s="194" t="str">
        <v>Amel</v>
      </c>
      <c r="C635" s="192" t="str">
        <v>Meeting internal DSDA</v>
      </c>
      <c r="D635" s="191" t="str">
        <v>Done</v>
      </c>
      <c r="E635" s="193"/>
    </row>
    <row r="636">
      <c r="A636" s="190"/>
      <c r="B636" s="194"/>
      <c r="C636" s="192" t="str" xml:space="preserve">
        <v>Discuss n adjust deck MRT </v>
      </c>
      <c r="D636" s="191" t="str">
        <v>Done</v>
      </c>
      <c r="E636" s="193"/>
    </row>
    <row r="637">
      <c r="A637" s="190"/>
      <c r="B637" s="194"/>
      <c r="C637" s="192" t="str">
        <v>update manual book pengerukan</v>
      </c>
      <c r="D637" s="191" t="str">
        <v>Done</v>
      </c>
      <c r="E637" s="193"/>
    </row>
    <row r="638">
      <c r="A638" s="190"/>
      <c r="B638" s="194"/>
      <c r="C638" s="192" t="str">
        <v>adjust pricing DSDA</v>
      </c>
      <c r="D638" s="191" t="str">
        <v>Done</v>
      </c>
      <c r="E638" s="193"/>
    </row>
    <row r="639">
      <c r="A639" s="190"/>
      <c r="B639" s="194"/>
      <c r="C639" s="192"/>
      <c r="D639" s="191"/>
      <c r="E639" s="193"/>
    </row>
    <row r="640">
      <c r="A640" s="190"/>
      <c r="B640" s="194" t="str">
        <v>Zhafran</v>
      </c>
      <c r="C640" s="192" t="str" xml:space="preserve">
        <v>Continue pemahaman program MAPID </v>
      </c>
      <c r="D640" s="191" t="str">
        <v>Done</v>
      </c>
      <c r="E640" s="193"/>
    </row>
    <row r="641">
      <c r="A641" s="190"/>
      <c r="B641" s="194"/>
      <c r="C641" s="192"/>
      <c r="D641" s="191"/>
      <c r="E641" s="193"/>
    </row>
    <row r="642">
      <c r="A642" s="190"/>
      <c r="B642" s="194"/>
      <c r="C642" s="192"/>
      <c r="D642" s="191"/>
      <c r="E642" s="193"/>
    </row>
    <row r="643">
      <c r="A643" s="190"/>
      <c r="B643" s="194"/>
      <c r="C643" s="192"/>
      <c r="D643" s="191"/>
      <c r="E643" s="193"/>
    </row>
    <row r="644">
      <c r="A644" s="190"/>
      <c r="B644" s="194"/>
      <c r="C644" s="192"/>
      <c r="D644" s="191"/>
      <c r="E644" s="193"/>
    </row>
    <row r="645">
      <c r="A645" s="190"/>
      <c r="B645" s="179" t="str">
        <v>Hadi</v>
      </c>
      <c r="C645" s="192" t="str">
        <v>Monitoring Business</v>
      </c>
      <c r="D645" s="191" t="str">
        <v>Done</v>
      </c>
      <c r="E645" s="193"/>
    </row>
    <row r="646">
      <c r="A646" s="190"/>
      <c r="B646" s="179"/>
      <c r="C646" s="192" t="str">
        <v>Meeting Aksara Lab</v>
      </c>
      <c r="D646" s="191" t="str">
        <v>Done</v>
      </c>
      <c r="E646" s="193"/>
    </row>
    <row r="647">
      <c r="A647" s="190"/>
      <c r="B647" s="179"/>
      <c r="C647" s="192" t="str">
        <v>Drafting Deck Shareholders</v>
      </c>
      <c r="D647" s="191" t="str">
        <v>Done</v>
      </c>
      <c r="E647" s="193" t="str" xml:space="preserve">
        <v> </v>
      </c>
    </row>
    <row r="648">
      <c r="A648" s="190"/>
      <c r="B648" s="179"/>
      <c r="C648" s="192"/>
      <c r="D648" s="191"/>
      <c r="E648" s="193"/>
    </row>
    <row r="649">
      <c r="A649" s="190"/>
      <c r="B649" s="179"/>
      <c r="C649" s="192"/>
      <c r="D649" s="191"/>
      <c r="E649" s="193"/>
    </row>
    <row r="650">
      <c r="A650" s="190">
        <v>46052</v>
      </c>
      <c r="B650" s="191" t="str">
        <v>Fariz</v>
      </c>
      <c r="C650" s="192" t="str">
        <v>[DLY] Check and Recheck  1. Location Analytics 2. WebGIS 3. Corporate 4.Cert</v>
      </c>
      <c r="D650" s="191" t="str">
        <v>Done</v>
      </c>
      <c r="E650" s="193"/>
    </row>
    <row r="651">
      <c r="A651" s="190"/>
      <c r="B651" s="191"/>
      <c r="C651" s="192" t="str">
        <v>[LMS] Brief Konten CourseLab 2</v>
      </c>
      <c r="D651" s="191" t="str">
        <v>Done</v>
      </c>
      <c r="E651" s="193"/>
    </row>
    <row r="652">
      <c r="A652" s="190"/>
      <c r="B652" s="191"/>
      <c r="C652" s="192" t="str">
        <v>[LMS] Meeting LMS</v>
      </c>
      <c r="D652" s="191" t="str">
        <v>Done</v>
      </c>
      <c r="E652" s="193"/>
    </row>
    <row r="653">
      <c r="A653" s="190"/>
      <c r="B653" s="191"/>
      <c r="C653" s="192" t="str">
        <v>[LMS] Edit Masukin Video Survey (Mba Wina, Mas Egi)</v>
      </c>
      <c r="D653" s="191" t="str">
        <v>Done</v>
      </c>
      <c r="E653" s="193"/>
    </row>
    <row r="654">
      <c r="A654" s="190"/>
      <c r="B654" s="191"/>
      <c r="C654" s="192"/>
      <c r="D654" s="191"/>
      <c r="E654" s="193"/>
    </row>
    <row r="655">
      <c r="A655" s="190"/>
      <c r="B655" s="191" t="str">
        <v>Dwi</v>
      </c>
      <c r="C655" s="192" t="str">
        <v>Brief - Freelance Content Creator</v>
      </c>
      <c r="D655" s="191" t="str">
        <v>Done</v>
      </c>
      <c r="E655" s="193"/>
    </row>
    <row r="656">
      <c r="A656" s="190"/>
      <c r="B656" s="191"/>
      <c r="C656" s="192" t="str">
        <v>Fixing tracking - MA B15 , Solution, and Home page</v>
      </c>
      <c r="D656" s="191" t="str">
        <v>Done</v>
      </c>
      <c r="E656" s="193"/>
    </row>
    <row r="657">
      <c r="A657" s="190"/>
      <c r="B657" s="191"/>
      <c r="C657" s="192" t="str">
        <v>Request brief Ads traffic b 15</v>
      </c>
      <c r="D657" s="191"/>
      <c r="E657" s="193"/>
    </row>
    <row r="658">
      <c r="A658" s="190"/>
      <c r="B658" s="191"/>
      <c r="C658" s="192" t="str">
        <v>Report Biweekly 2 - Jan</v>
      </c>
      <c r="D658" s="191" t="str">
        <v>Done</v>
      </c>
      <c r="E658" s="193"/>
    </row>
    <row r="659">
      <c r="A659" s="190"/>
      <c r="B659" s="191"/>
      <c r="C659" s="192"/>
      <c r="D659" s="191"/>
      <c r="E659" s="193"/>
    </row>
    <row r="660">
      <c r="A660" s="190"/>
      <c r="B660" s="191"/>
      <c r="C660" s="192"/>
      <c r="D660" s="191"/>
      <c r="E660" s="193"/>
    </row>
    <row r="661">
      <c r="A661" s="190"/>
      <c r="B661" s="179" t="str">
        <v>Wina</v>
      </c>
      <c r="C661" s="192" t="str">
        <v>daily content (newsletter)</v>
      </c>
      <c r="D661" s="191" t="str">
        <v>Done</v>
      </c>
      <c r="E661" s="193" t="str">
        <v>Entertainment: Coba kebencanaan
LogisMAP, Geo Access</v>
      </c>
    </row>
    <row r="662">
      <c r="A662" s="190"/>
      <c r="B662" s="179"/>
      <c r="C662" s="192" t="str">
        <v>rekap + banking konten untuk Februari</v>
      </c>
      <c r="D662" s="191" t="str">
        <v>Done</v>
      </c>
      <c r="E662" s="193"/>
    </row>
    <row r="663">
      <c r="A663" s="190"/>
      <c r="B663" s="179"/>
      <c r="C663" s="192" t="str" xml:space="preserve">
        <v>Sales MAB15 </v>
      </c>
      <c r="D663" s="191" t="str">
        <v>Done</v>
      </c>
      <c r="E663" s="193" t="str">
        <v>Periode: 
- Opening Rush: 15 Pendaftar (GOALS) 27 - 30 Januari 2026
- Esensial: 27 Januari - 20 Februari 2026
- Umum: 30 Pendaftar
- Community: 4 Pendaftar</v>
      </c>
    </row>
    <row r="664">
      <c r="A664" s="190"/>
      <c r="B664" s="179"/>
      <c r="C664" s="192"/>
      <c r="D664" s="191"/>
      <c r="E664" s="193"/>
    </row>
    <row r="665">
      <c r="A665" s="190"/>
      <c r="B665" s="191" t="str">
        <v>Annisa</v>
      </c>
      <c r="C665" s="192" t="str" xml:space="preserve">
        <v>desain untuk internship </v>
      </c>
      <c r="D665" s="191" t="str">
        <v>Done</v>
      </c>
      <c r="E665" s="193"/>
    </row>
    <row r="666">
      <c r="A666" s="190"/>
      <c r="B666" s="191"/>
      <c r="C666" s="192" t="str" xml:space="preserve">
        <v>masih lanjut ngerjain proposal catalyst </v>
      </c>
      <c r="D666" s="191" t="str">
        <v>Done</v>
      </c>
      <c r="E666" s="193"/>
    </row>
    <row r="667">
      <c r="A667" s="190"/>
      <c r="B667" s="191"/>
      <c r="C667" s="192" t="str">
        <v>editing video untuk ads</v>
      </c>
      <c r="D667" s="191" t="str">
        <v>Done</v>
      </c>
      <c r="E667" s="193"/>
    </row>
    <row r="668">
      <c r="A668" s="190"/>
      <c r="B668" s="191"/>
      <c r="C668" s="192"/>
      <c r="D668" s="191"/>
      <c r="E668" s="193"/>
    </row>
    <row r="669">
      <c r="A669" s="190"/>
      <c r="B669" s="191"/>
      <c r="C669" s="192"/>
      <c r="D669" s="191"/>
      <c r="E669" s="193"/>
    </row>
    <row r="670">
      <c r="A670" s="190"/>
      <c r="B670" s="194" t="str">
        <v>Lossa</v>
      </c>
      <c r="C670" s="192" t="str">
        <v>proposal nabati (adjust pricing &amp; teknis)</v>
      </c>
      <c r="D670" s="191" t="str">
        <v>Done</v>
      </c>
      <c r="E670" s="193"/>
    </row>
    <row r="671">
      <c r="A671" s="190"/>
      <c r="B671" s="194"/>
      <c r="C671" s="192" t="str">
        <v>preparation teknis pilot pupuq</v>
      </c>
      <c r="D671" s="191" t="str">
        <v>Done</v>
      </c>
      <c r="E671" s="193"/>
    </row>
    <row r="672">
      <c r="A672" s="190"/>
      <c r="B672" s="194"/>
      <c r="C672" s="192" t="str">
        <v>fu pelindooooooo, hubungin prodia</v>
      </c>
      <c r="D672" s="191" t="str">
        <v>Done</v>
      </c>
      <c r="E672" s="193"/>
    </row>
    <row r="673">
      <c r="A673" s="190"/>
      <c r="B673" s="194"/>
      <c r="C673" s="192" t="str">
        <v>frd btid</v>
      </c>
      <c r="D673" s="191" t="str">
        <v>Done</v>
      </c>
      <c r="E673" s="193"/>
    </row>
    <row r="674">
      <c r="A674" s="190"/>
      <c r="B674" s="194"/>
      <c r="C674" s="192"/>
      <c r="D674" s="191"/>
      <c r="E674" s="193"/>
    </row>
    <row r="675">
      <c r="A675" s="190"/>
      <c r="B675" s="194" t="str">
        <v>Amel</v>
      </c>
      <c r="C675" s="192" t="str">
        <v>proposal SNJ</v>
      </c>
      <c r="D675" s="191" t="str">
        <v>Done</v>
      </c>
      <c r="E675" s="193"/>
    </row>
    <row r="676">
      <c r="A676" s="190"/>
      <c r="B676" s="194"/>
      <c r="C676" s="192" t="str">
        <v>deck MRT</v>
      </c>
      <c r="D676" s="191" t="str">
        <v>Done</v>
      </c>
      <c r="E676" s="193"/>
    </row>
    <row r="677">
      <c r="A677" s="190"/>
      <c r="B677" s="194"/>
      <c r="C677" s="192" t="str" xml:space="preserve">
        <v>Testing dashboard pengerukan </v>
      </c>
      <c r="D677" s="191" t="str">
        <v>Done</v>
      </c>
      <c r="E677" s="193"/>
    </row>
    <row r="678">
      <c r="A678" s="190"/>
      <c r="B678" s="194"/>
      <c r="C678" s="192"/>
      <c r="D678" s="191"/>
      <c r="E678" s="193"/>
    </row>
    <row r="679">
      <c r="A679" s="190"/>
      <c r="B679" s="194"/>
      <c r="C679" s="192"/>
      <c r="D679" s="191"/>
      <c r="E679" s="193"/>
    </row>
    <row r="680">
      <c r="A680" s="190"/>
      <c r="B680" s="194" t="str">
        <v>Zhafran</v>
      </c>
      <c r="C680" s="192" t="str">
        <v>FRD Kattegat AI</v>
      </c>
      <c r="D680" s="191"/>
      <c r="E680" s="193"/>
    </row>
    <row r="681">
      <c r="A681" s="190"/>
      <c r="B681" s="194"/>
      <c r="C681" s="192"/>
      <c r="D681" s="191"/>
      <c r="E681" s="193"/>
    </row>
    <row r="682">
      <c r="A682" s="190"/>
      <c r="B682" s="194"/>
      <c r="C682" s="192"/>
      <c r="D682" s="191"/>
      <c r="E682" s="193"/>
    </row>
    <row r="683">
      <c r="A683" s="190"/>
      <c r="B683" s="194"/>
      <c r="C683" s="192"/>
      <c r="D683" s="191"/>
      <c r="E683" s="193"/>
    </row>
    <row r="684">
      <c r="A684" s="190"/>
      <c r="B684" s="194"/>
      <c r="C684" s="192"/>
      <c r="D684" s="191"/>
      <c r="E684" s="193"/>
    </row>
    <row r="685">
      <c r="A685" s="190"/>
      <c r="B685" s="179" t="str">
        <v>Hadi</v>
      </c>
      <c r="C685" s="192" t="str">
        <v>Monitoring Business (Alignment, Performance, Reporting)</v>
      </c>
      <c r="D685" s="191" t="str">
        <v>Done</v>
      </c>
      <c r="E685" s="193"/>
    </row>
    <row r="686">
      <c r="A686" s="190"/>
      <c r="B686" s="179"/>
      <c r="C686" s="192" t="str">
        <v>PSE Sync</v>
      </c>
      <c r="D686" s="191" t="str">
        <v>Done</v>
      </c>
      <c r="E686" s="193"/>
    </row>
    <row r="687">
      <c r="A687" s="190"/>
      <c r="B687" s="179"/>
      <c r="C687" s="192" t="str">
        <v>Others : proposal catalyst, FC project</v>
      </c>
      <c r="D687" s="191" t="str">
        <v>Done</v>
      </c>
      <c r="E687" s="193"/>
    </row>
    <row r="688">
      <c r="A688" s="190"/>
      <c r="B688" s="179"/>
      <c r="C688" s="192"/>
      <c r="D688" s="191"/>
      <c r="E688" s="193"/>
    </row>
    <row r="689">
      <c r="A689" s="190"/>
      <c r="B689" s="179"/>
      <c r="C689" s="192"/>
      <c r="D689" s="191"/>
      <c r="E689" s="193"/>
    </row>
    <row r="690">
      <c r="A690" s="190">
        <v>46056</v>
      </c>
      <c r="B690" s="191" t="str">
        <v>Fariz</v>
      </c>
      <c r="C690" s="192"/>
      <c r="D690" s="191"/>
      <c r="E690" s="193"/>
    </row>
    <row r="691">
      <c r="A691" s="190"/>
      <c r="B691" s="191"/>
      <c r="C691" s="192"/>
      <c r="D691" s="191"/>
      <c r="E691" s="193"/>
    </row>
    <row r="692">
      <c r="A692" s="190"/>
      <c r="B692" s="191"/>
      <c r="C692" s="192"/>
      <c r="D692" s="191"/>
      <c r="E692" s="193"/>
    </row>
    <row r="693">
      <c r="A693" s="190"/>
      <c r="B693" s="191"/>
      <c r="C693" s="192"/>
      <c r="D693" s="191"/>
      <c r="E693" s="193"/>
    </row>
    <row r="694">
      <c r="A694" s="190"/>
      <c r="B694" s="191"/>
      <c r="C694" s="192"/>
      <c r="D694" s="191"/>
      <c r="E694" s="193"/>
    </row>
    <row r="695">
      <c r="A695" s="190"/>
      <c r="B695" s="191" t="str">
        <v>Dwi</v>
      </c>
      <c r="C695" s="192" t="str">
        <v>Koordinasi OIKN &amp; Operasional MAPID Academy</v>
      </c>
      <c r="D695" s="191" t="str">
        <v>Done</v>
      </c>
      <c r="E695" s="193"/>
    </row>
    <row r="696">
      <c r="A696" s="190"/>
      <c r="B696" s="191"/>
      <c r="C696" s="192" t="str">
        <v>report biweekly 2 - Januari</v>
      </c>
      <c r="D696" s="191" t="str">
        <v>Done</v>
      </c>
      <c r="E696" s="193"/>
    </row>
    <row r="697">
      <c r="A697" s="190"/>
      <c r="B697" s="191"/>
      <c r="C697" s="192" t="str">
        <v>Update Revenue each product</v>
      </c>
      <c r="D697" s="191" t="str">
        <v>Done</v>
      </c>
      <c r="E697" s="193"/>
    </row>
    <row r="698">
      <c r="A698" s="190"/>
      <c r="B698" s="191"/>
      <c r="C698" s="192" t="str">
        <v>B2C Allignment: Team, product, &amp; Socmed</v>
      </c>
      <c r="D698" s="191" t="str">
        <v>Done</v>
      </c>
      <c r="E698" s="193"/>
    </row>
    <row r="699">
      <c r="A699" s="190"/>
      <c r="B699" s="191"/>
      <c r="C699" s="192" t="str">
        <v>Continue copywriting Enterprise Page</v>
      </c>
      <c r="D699" s="191"/>
      <c r="E699" s="193"/>
    </row>
    <row r="700">
      <c r="A700" s="190"/>
      <c r="B700" s="191"/>
      <c r="C700" s="192"/>
      <c r="D700" s="191"/>
      <c r="E700" s="193"/>
    </row>
    <row r="701">
      <c r="A701" s="190"/>
      <c r="B701" s="179" t="str">
        <v>Wina</v>
      </c>
      <c r="C701" s="192" t="str">
        <v>Edit Documenter</v>
      </c>
      <c r="D701" s="191" t="str">
        <v>Done</v>
      </c>
      <c r="E701" s="193" t="str">
        <v>(hari ini tidak ada konten)
Lanjut besok</v>
      </c>
    </row>
    <row r="702">
      <c r="A702" s="190"/>
      <c r="B702" s="179"/>
      <c r="C702" s="192" t="str">
        <v>Recap Bweekly</v>
      </c>
      <c r="D702" s="191" t="str">
        <v>Done</v>
      </c>
      <c r="E702" s="193"/>
    </row>
    <row r="703">
      <c r="A703" s="190"/>
      <c r="B703" s="179"/>
      <c r="C703" s="2" t="str">
        <v>Sales MAB15</v>
      </c>
      <c r="D703" s="191" t="str">
        <v>Done</v>
      </c>
      <c r="E703" s="193" t="str">
        <v>Pendaftar: 
&gt; Reguler: 40
&gt; Community: 4</v>
      </c>
    </row>
    <row r="704">
      <c r="A704" s="190"/>
      <c r="B704" s="179"/>
      <c r="C704" s="192"/>
      <c r="D704" s="191"/>
      <c r="E704" s="193"/>
    </row>
    <row r="705">
      <c r="A705" s="190"/>
      <c r="B705" s="191" t="str">
        <v>Annisa</v>
      </c>
      <c r="C705" s="192" t="str" xml:space="preserve">
        <v> MAPID Academy - Learning Journey Batch 15 KONTEN </v>
      </c>
      <c r="D705" s="191" t="str">
        <v>Done</v>
      </c>
      <c r="E705" s="193"/>
    </row>
    <row r="706">
      <c r="A706" s="190"/>
      <c r="B706" s="191"/>
      <c r="C706" s="192" t="str" xml:space="preserve">
        <v> GRWM AYO AYO - Need Talent (&gt;3 orang) ads</v>
      </c>
      <c r="D706" s="191" t="str">
        <v>Done</v>
      </c>
      <c r="E706" s="193"/>
    </row>
    <row r="707">
      <c r="A707" s="190"/>
      <c r="B707" s="191"/>
      <c r="C707" s="192" t="str">
        <v>KONTEN CETAK - atleast (REELS)</v>
      </c>
      <c r="D707" s="191" t="str">
        <v>Done</v>
      </c>
      <c r="E707" s="193" t="str">
        <v>lanjutin besok</v>
      </c>
    </row>
    <row r="708">
      <c r="A708" s="190"/>
      <c r="B708" s="191"/>
      <c r="C708" s="192"/>
      <c r="D708" s="191"/>
      <c r="E708" s="193"/>
    </row>
    <row r="709">
      <c r="A709" s="190"/>
      <c r="B709" s="191"/>
      <c r="C709" s="192"/>
      <c r="D709" s="191"/>
      <c r="E709" s="193"/>
    </row>
    <row r="710">
      <c r="A710" s="190"/>
      <c r="B710" s="194" t="str">
        <v>Lossa</v>
      </c>
      <c r="C710" s="192" t="str">
        <v>requirement surveyor &amp; koordinator pupuk</v>
      </c>
      <c r="D710" s="191" t="str">
        <v>Done</v>
      </c>
      <c r="E710" s="193"/>
    </row>
    <row r="711">
      <c r="A711" s="190"/>
      <c r="B711" s="194"/>
      <c r="C711" s="192" t="str">
        <v>demo call Abdul Rahmat Hamdi</v>
      </c>
      <c r="D711" s="191" t="str">
        <v>Done</v>
      </c>
      <c r="E711" s="193"/>
    </row>
    <row r="712">
      <c r="A712" s="190"/>
      <c r="B712" s="194"/>
      <c r="C712" s="192" t="str">
        <v>meeting nego nabati w sales &amp; data</v>
      </c>
      <c r="D712" s="191" t="str">
        <v>Done</v>
      </c>
      <c r="E712" s="193"/>
    </row>
    <row r="713">
      <c r="A713" s="190"/>
      <c r="B713" s="194"/>
      <c r="C713" s="192" t="str">
        <v>deck pertamina patra niaga</v>
      </c>
      <c r="D713" s="191" t="str">
        <v>Done</v>
      </c>
      <c r="E713" s="193"/>
    </row>
    <row r="714">
      <c r="A714" s="190"/>
      <c r="B714" s="194"/>
      <c r="C714" s="192" t="str">
        <v>meeting astra infra</v>
      </c>
      <c r="D714" s="191" t="str">
        <v>Done</v>
      </c>
      <c r="E714" s="193"/>
    </row>
    <row r="715">
      <c r="A715" s="190"/>
      <c r="B715" s="194" t="str">
        <v>Amel</v>
      </c>
      <c r="C715" s="192" t="str">
        <v>Training dashboard pengerukan</v>
      </c>
      <c r="D715" s="191" t="str">
        <v>Done</v>
      </c>
      <c r="E715" s="193"/>
    </row>
    <row r="716">
      <c r="A716" s="190"/>
      <c r="B716" s="194"/>
      <c r="C716" s="192" t="str">
        <v>Deck MRT</v>
      </c>
      <c r="D716" s="191" t="str">
        <v>Done</v>
      </c>
      <c r="E716" s="193"/>
    </row>
    <row r="717">
      <c r="A717" s="190"/>
      <c r="B717" s="194"/>
      <c r="C717" s="192"/>
      <c r="D717" s="191"/>
      <c r="E717" s="193"/>
    </row>
    <row r="718">
      <c r="A718" s="190"/>
      <c r="B718" s="194"/>
      <c r="C718" s="192"/>
      <c r="D718" s="191"/>
      <c r="E718" s="193"/>
    </row>
    <row r="719">
      <c r="A719" s="190"/>
      <c r="B719" s="194"/>
      <c r="C719" s="192"/>
      <c r="D719" s="191"/>
      <c r="E719" s="193"/>
    </row>
    <row r="720">
      <c r="A720" s="190"/>
      <c r="B720" s="194" t="str">
        <v>Zhafran</v>
      </c>
      <c r="C720" s="192" t="str">
        <v>demo call Abdul Rahmat Hamdi</v>
      </c>
      <c r="D720" s="191" t="str">
        <v>Done</v>
      </c>
      <c r="E720" s="193"/>
    </row>
    <row r="721">
      <c r="A721" s="190"/>
      <c r="B721" s="194"/>
      <c r="C721" s="192" t="str">
        <v>meeting astra infra</v>
      </c>
      <c r="D721" s="191" t="str">
        <v>Done</v>
      </c>
      <c r="E721" s="193"/>
    </row>
    <row r="722">
      <c r="A722" s="190"/>
      <c r="B722" s="194"/>
      <c r="C722" s="192" t="str">
        <v>meeting nego nabati w sales &amp; data</v>
      </c>
      <c r="D722" s="191" t="str">
        <v>Done</v>
      </c>
      <c r="E722" s="193"/>
    </row>
    <row r="723">
      <c r="A723" s="190"/>
      <c r="B723" s="194"/>
      <c r="C723" s="192"/>
      <c r="D723" s="191"/>
      <c r="E723" s="193"/>
    </row>
    <row r="724">
      <c r="A724" s="190"/>
      <c r="B724" s="194"/>
      <c r="C724" s="192"/>
      <c r="D724" s="191"/>
      <c r="E724" s="193"/>
    </row>
    <row r="725">
      <c r="A725" s="190"/>
      <c r="B725" s="179" t="str">
        <v>Hadi</v>
      </c>
      <c r="C725" s="192" t="str">
        <v>CUTI</v>
      </c>
      <c r="D725" s="191" t="str">
        <v>Done</v>
      </c>
      <c r="E725" s="193"/>
    </row>
    <row r="726">
      <c r="A726" s="190"/>
      <c r="B726" s="179"/>
      <c r="C726" s="192"/>
      <c r="D726" s="191"/>
      <c r="E726" s="193"/>
    </row>
    <row r="727">
      <c r="A727" s="190"/>
      <c r="B727" s="179"/>
      <c r="C727" s="192"/>
      <c r="D727" s="191"/>
      <c r="E727" s="193"/>
    </row>
    <row r="728">
      <c r="A728" s="190"/>
      <c r="B728" s="179"/>
      <c r="C728" s="192"/>
      <c r="D728" s="191"/>
      <c r="E728" s="193"/>
    </row>
    <row r="729">
      <c r="A729" s="190"/>
      <c r="B729" s="179"/>
      <c r="C729" s="192"/>
      <c r="D729" s="191"/>
      <c r="E729" s="193"/>
    </row>
    <row r="730">
      <c r="A730" s="190">
        <v>46057</v>
      </c>
      <c r="B730" s="191" t="str">
        <v>Fariz</v>
      </c>
      <c r="C730" s="192"/>
      <c r="D730" s="191"/>
      <c r="E730" s="193"/>
    </row>
    <row r="731">
      <c r="A731" s="190"/>
      <c r="B731" s="191"/>
      <c r="C731" s="192"/>
      <c r="D731" s="191"/>
      <c r="E731" s="193"/>
    </row>
    <row r="732">
      <c r="A732" s="190"/>
      <c r="B732" s="191"/>
      <c r="C732" s="192"/>
      <c r="D732" s="191"/>
      <c r="E732" s="193"/>
    </row>
    <row r="733">
      <c r="A733" s="190"/>
      <c r="B733" s="191"/>
      <c r="C733" s="192"/>
      <c r="D733" s="191"/>
      <c r="E733" s="193"/>
    </row>
    <row r="734">
      <c r="A734" s="190"/>
      <c r="B734" s="191"/>
      <c r="C734" s="192"/>
      <c r="D734" s="191"/>
      <c r="E734" s="193"/>
    </row>
    <row r="735">
      <c r="A735" s="190"/>
      <c r="B735" s="191" t="str">
        <v>Dwi</v>
      </c>
      <c r="C735" s="192" t="str">
        <v>Sync Freelance Learning Ops - MAPID Academy</v>
      </c>
      <c r="D735" s="191" t="str">
        <v>Done</v>
      </c>
      <c r="E735" s="193"/>
    </row>
    <row r="736">
      <c r="A736" s="190"/>
      <c r="B736" s="191"/>
      <c r="C736" s="192" t="str">
        <v>Copywriting Enterprise</v>
      </c>
      <c r="D736" s="191"/>
      <c r="E736" s="193"/>
    </row>
    <row r="737">
      <c r="A737" s="190"/>
      <c r="B737" s="191"/>
      <c r="C737" s="192"/>
      <c r="D737" s="191"/>
      <c r="E737" s="193"/>
    </row>
    <row r="738">
      <c r="A738" s="190"/>
      <c r="B738" s="191"/>
      <c r="C738" s="192"/>
      <c r="D738" s="191"/>
      <c r="E738" s="193"/>
    </row>
    <row r="739">
      <c r="A739" s="190"/>
      <c r="B739" s="191"/>
      <c r="C739" s="192"/>
      <c r="D739" s="191"/>
      <c r="E739" s="193"/>
    </row>
    <row r="740">
      <c r="A740" s="190"/>
      <c r="B740" s="191"/>
      <c r="C740" s="192"/>
      <c r="D740" s="191"/>
      <c r="E740" s="193"/>
    </row>
    <row r="741">
      <c r="A741" s="190"/>
      <c r="B741" s="179" t="str">
        <v>Wina</v>
      </c>
      <c r="C741" s="192" t="str">
        <v>Daily Content (newsletter, IG, WAG)</v>
      </c>
      <c r="D741" s="191" t="str">
        <v>Done</v>
      </c>
      <c r="E741" s="193"/>
    </row>
    <row r="742">
      <c r="A742" s="190"/>
      <c r="B742" s="179"/>
      <c r="C742" s="192" t="str">
        <v>Bweekly report</v>
      </c>
      <c r="D742" s="191" t="str">
        <v>Done</v>
      </c>
      <c r="E742" s="193"/>
    </row>
    <row r="743">
      <c r="A743" s="190"/>
      <c r="B743" s="179"/>
      <c r="C743" s="192" t="str">
        <v>Dokumenter</v>
      </c>
      <c r="D743" s="191" t="str">
        <v>Done</v>
      </c>
      <c r="E743" s="193"/>
    </row>
    <row r="744">
      <c r="A744" s="190"/>
      <c r="B744" s="179"/>
      <c r="C744" s="192" t="str">
        <v>Sales Academy</v>
      </c>
      <c r="D744" s="191" t="str">
        <v>Done</v>
      </c>
      <c r="E744" s="193"/>
    </row>
    <row customHeight="true" ht="19" r="745">
      <c r="A745" s="190"/>
      <c r="B745" s="179"/>
      <c r="C745" s="192" t="str">
        <v>Update Community</v>
      </c>
      <c r="D745" s="191" t="str">
        <v>Done</v>
      </c>
      <c r="E745" s="193"/>
    </row>
    <row r="746">
      <c r="A746" s="190"/>
      <c r="B746" s="191" t="str">
        <v>Annisa</v>
      </c>
      <c r="C746" s="192" t="str">
        <v>KONTEN CETAK - atleast (REELS)</v>
      </c>
      <c r="D746" s="191" t="str">
        <v>Done</v>
      </c>
      <c r="E746" s="193" t="str" xml:space="preserve">
        <v>lanjutin kemarin </v>
      </c>
    </row>
    <row r="747">
      <c r="A747" s="190"/>
      <c r="B747" s="191"/>
      <c r="C747" s="192" t="str">
        <v>video course lab Fariz editing</v>
      </c>
      <c r="D747" s="191" t="str">
        <v>Done</v>
      </c>
      <c r="E747" s="193"/>
    </row>
    <row r="748">
      <c r="A748" s="190"/>
      <c r="B748" s="191"/>
      <c r="C748" s="192" t="str">
        <v>Facebook - 2004</v>
      </c>
      <c r="D748" s="191" t="str">
        <v>Done</v>
      </c>
      <c r="E748" s="193"/>
    </row>
    <row r="749">
      <c r="A749" s="190"/>
      <c r="B749" s="191"/>
      <c r="C749" s="192" t="str">
        <v>mockup merchandise</v>
      </c>
      <c r="D749" s="191" t="str">
        <v>Done</v>
      </c>
      <c r="E749" s="193"/>
    </row>
    <row r="750">
      <c r="A750" s="190"/>
      <c r="B750" s="191"/>
      <c r="C750" s="192"/>
      <c r="D750" s="191"/>
      <c r="E750" s="193"/>
    </row>
    <row r="751">
      <c r="A751" s="190"/>
      <c r="B751" s="194" t="str">
        <v>Lossa</v>
      </c>
      <c r="C751" s="192" t="str">
        <v>meeting MRT</v>
      </c>
      <c r="D751" s="191" t="str">
        <v>Done</v>
      </c>
      <c r="E751" s="193" t="str">
        <v>10.00 - present teknis, mau poc</v>
      </c>
    </row>
    <row r="752">
      <c r="A752" s="190"/>
      <c r="B752" s="194"/>
      <c r="C752" s="192" t="str">
        <v>demo call toko baju</v>
      </c>
      <c r="D752" s="191" t="str">
        <v>Done</v>
      </c>
      <c r="E752" s="193" t="str">
        <v>11.30 (minta undur) - either personal/umkm, unconfirmed, diskusi dgn internal dulu</v>
      </c>
    </row>
    <row r="753">
      <c r="A753" s="190"/>
      <c r="B753" s="194"/>
      <c r="C753" s="192" t="str">
        <v>form rekrutmen surveyor&amp;koordinator pupuk</v>
      </c>
      <c r="D753" s="191" t="str">
        <v>Done</v>
      </c>
      <c r="E753" s="193" t="s">
        <v>373</v>
      </c>
    </row>
    <row r="754">
      <c r="A754" s="190"/>
      <c r="B754" s="194"/>
      <c r="C754" s="192" t="str">
        <v>(pelindo) konfirm data internal, finalisasi project charter</v>
      </c>
      <c r="D754" s="191" t="str">
        <v>Done</v>
      </c>
      <c r="E754" s="193" t="str">
        <v>udh terhubung dan confirmed ke semua stakeholders data internal pelindo, tinggal nunggu legal dr impactto dan cawww kick off</v>
      </c>
    </row>
    <row r="755">
      <c r="A755" s="190"/>
      <c r="B755" s="194"/>
      <c r="C755" s="192"/>
      <c r="D755" s="191"/>
      <c r="E755" s="193"/>
    </row>
    <row r="756">
      <c r="A756" s="190"/>
      <c r="B756" s="194" t="str">
        <v>Amel</v>
      </c>
      <c r="C756" s="192" t="str">
        <v>Training Dashboard Pengerukan</v>
      </c>
      <c r="D756" s="191" t="str">
        <v>Done</v>
      </c>
      <c r="E756" s="193"/>
    </row>
    <row r="757">
      <c r="A757" s="190"/>
      <c r="B757" s="194"/>
      <c r="C757" s="192"/>
      <c r="D757" s="191"/>
      <c r="E757" s="193"/>
    </row>
    <row r="758">
      <c r="A758" s="190"/>
      <c r="B758" s="194"/>
      <c r="C758" s="192"/>
      <c r="D758" s="191"/>
      <c r="E758" s="193"/>
    </row>
    <row r="759">
      <c r="A759" s="190"/>
      <c r="B759" s="194"/>
      <c r="C759" s="192"/>
      <c r="D759" s="191"/>
      <c r="E759" s="193"/>
    </row>
    <row r="760">
      <c r="A760" s="190"/>
      <c r="B760" s="194"/>
      <c r="C760" s="192"/>
      <c r="D760" s="191"/>
      <c r="E760" s="193"/>
    </row>
    <row r="761">
      <c r="A761" s="190"/>
      <c r="B761" s="194" t="str">
        <v>Zhafran</v>
      </c>
      <c r="C761" s="192" t="str">
        <v>Demo call Kopi Calf (Aksa)</v>
      </c>
      <c r="D761" s="191" t="str">
        <v>Done</v>
      </c>
      <c r="E761" s="193"/>
    </row>
    <row r="762">
      <c r="A762" s="190"/>
      <c r="B762" s="194"/>
      <c r="C762" s="192"/>
      <c r="D762" s="191"/>
      <c r="E762" s="193"/>
    </row>
    <row r="763">
      <c r="A763" s="190"/>
      <c r="B763" s="194"/>
      <c r="C763" s="192"/>
      <c r="D763" s="191"/>
      <c r="E763" s="193"/>
    </row>
    <row r="764">
      <c r="A764" s="190"/>
      <c r="B764" s="194"/>
      <c r="C764" s="192"/>
      <c r="D764" s="191"/>
      <c r="E764" s="193"/>
    </row>
    <row r="765">
      <c r="A765" s="190"/>
      <c r="B765" s="194"/>
      <c r="C765" s="192"/>
      <c r="D765" s="191"/>
      <c r="E765" s="193"/>
    </row>
    <row r="766">
      <c r="A766" s="190"/>
      <c r="B766" s="179" t="str">
        <v>Hadi</v>
      </c>
      <c r="C766" s="192" t="str">
        <v>Monitoring Business</v>
      </c>
      <c r="D766" s="191" t="str">
        <v>Done</v>
      </c>
      <c r="E766" s="193"/>
    </row>
    <row r="767">
      <c r="A767" s="190"/>
      <c r="B767" s="179"/>
      <c r="C767" s="192" t="str">
        <v>Meeting Head</v>
      </c>
      <c r="D767" s="191" t="str">
        <v>Done</v>
      </c>
      <c r="E767" s="193"/>
    </row>
    <row r="768">
      <c r="A768" s="190"/>
      <c r="B768" s="179"/>
      <c r="C768" s="192" t="str">
        <v>Others : Report</v>
      </c>
      <c r="D768" s="191" t="str">
        <v>Done</v>
      </c>
      <c r="E768" s="193"/>
    </row>
    <row r="769">
      <c r="A769" s="190"/>
      <c r="B769" s="179"/>
      <c r="C769" s="192"/>
      <c r="D769" s="191"/>
      <c r="E769" s="193"/>
    </row>
    <row r="770">
      <c r="A770" s="190"/>
      <c r="B770" s="179"/>
      <c r="C770" s="192"/>
      <c r="D770" s="191"/>
      <c r="E770" s="193"/>
    </row>
    <row r="771">
      <c r="A771" s="190">
        <v>46058</v>
      </c>
      <c r="B771" s="191" t="str">
        <v>Fariz</v>
      </c>
      <c r="C771" s="192"/>
      <c r="D771" s="191"/>
      <c r="E771" s="193"/>
    </row>
    <row r="772">
      <c r="A772" s="190"/>
      <c r="B772" s="191"/>
      <c r="C772" s="192"/>
      <c r="D772" s="191"/>
      <c r="E772" s="193"/>
    </row>
    <row r="773">
      <c r="A773" s="190"/>
      <c r="B773" s="191"/>
      <c r="C773" s="192"/>
      <c r="D773" s="191"/>
      <c r="E773" s="193"/>
    </row>
    <row r="774">
      <c r="A774" s="190"/>
      <c r="B774" s="191"/>
      <c r="C774" s="192"/>
      <c r="D774" s="191"/>
      <c r="E774" s="193"/>
    </row>
    <row r="775">
      <c r="A775" s="190"/>
      <c r="B775" s="191"/>
      <c r="C775" s="192"/>
      <c r="D775" s="191"/>
      <c r="E775" s="193"/>
    </row>
    <row r="776">
      <c r="A776" s="190"/>
      <c r="B776" s="191" t="str">
        <v>Dwi</v>
      </c>
      <c r="C776" s="192" t="str">
        <v>Copywriting Enterprise</v>
      </c>
      <c r="D776" s="191" t="str">
        <v>Done</v>
      </c>
      <c r="E776" s="193"/>
    </row>
    <row r="777">
      <c r="A777" s="190"/>
      <c r="B777" s="191"/>
      <c r="C777" s="192" t="str">
        <v>Setup ads Business Expansion</v>
      </c>
      <c r="D777" s="191"/>
      <c r="E777" s="193"/>
    </row>
    <row r="778">
      <c r="A778" s="190"/>
      <c r="B778" s="191"/>
      <c r="C778" s="192" t="str">
        <v>Meeting Website</v>
      </c>
      <c r="D778" s="191" t="str">
        <v>Done</v>
      </c>
      <c r="E778" s="193"/>
    </row>
    <row r="779">
      <c r="A779" s="190"/>
      <c r="B779" s="191"/>
      <c r="C779" s="192"/>
      <c r="D779" s="191"/>
      <c r="E779" s="193"/>
    </row>
    <row r="780">
      <c r="A780" s="190"/>
      <c r="B780" s="191"/>
      <c r="C780" s="192"/>
      <c r="D780" s="191"/>
      <c r="E780" s="193"/>
    </row>
    <row r="781">
      <c r="A781" s="190"/>
      <c r="B781" s="191"/>
      <c r="C781" s="192"/>
      <c r="D781" s="191"/>
      <c r="E781" s="193"/>
    </row>
    <row r="782">
      <c r="A782" s="190"/>
      <c r="B782" s="179" t="str">
        <v>Wina</v>
      </c>
      <c r="C782" s="192" t="str">
        <v>Daily Content (IG MA)</v>
      </c>
      <c r="D782" s="191" t="str">
        <v>Done</v>
      </c>
      <c r="E782" s="193"/>
    </row>
    <row r="783">
      <c r="A783" s="190"/>
      <c r="B783" s="179"/>
      <c r="C783" s="192" t="str">
        <v>Bweekly</v>
      </c>
      <c r="D783" s="191" t="str">
        <v>Done</v>
      </c>
      <c r="E783" s="193"/>
    </row>
    <row r="784">
      <c r="A784" s="190"/>
      <c r="B784" s="179"/>
      <c r="C784" s="192" t="str">
        <v>Dokumenter (handover)</v>
      </c>
      <c r="D784" s="191" t="str">
        <v>Done</v>
      </c>
      <c r="E784" s="193"/>
    </row>
    <row r="785">
      <c r="A785" s="190"/>
      <c r="B785" s="179"/>
      <c r="C785" s="192" t="str">
        <v>Meeting budget apps</v>
      </c>
      <c r="D785" s="191" t="str">
        <v>Done</v>
      </c>
      <c r="E785" s="193"/>
    </row>
    <row r="786">
      <c r="A786" s="190"/>
      <c r="B786" s="179"/>
      <c r="C786" s="192"/>
      <c r="D786" s="191"/>
      <c r="E786" s="193"/>
    </row>
    <row r="787">
      <c r="A787" s="190"/>
      <c r="B787" s="191" t="str">
        <v>Annisa</v>
      </c>
      <c r="C787" s="192" t="str">
        <v>video course lab Fariz editing (Finalisasi)</v>
      </c>
      <c r="D787" s="191" t="str">
        <v>Done</v>
      </c>
      <c r="E787" s="193"/>
    </row>
    <row r="788">
      <c r="A788" s="190"/>
      <c r="B788" s="191"/>
      <c r="C788" s="192" t="str">
        <v>mockup merchandise (1/4)</v>
      </c>
      <c r="D788" s="191" t="str">
        <v>Done</v>
      </c>
      <c r="E788" s="193"/>
    </row>
    <row r="789">
      <c r="A789" s="190"/>
      <c r="B789" s="191"/>
      <c r="C789" s="192" t="str">
        <v>From MAPS to Decision KONTEN</v>
      </c>
      <c r="D789" s="191" t="str">
        <v>Done</v>
      </c>
      <c r="E789" s="193" t="str">
        <v>lanjut besok</v>
      </c>
    </row>
    <row r="790">
      <c r="A790" s="190"/>
      <c r="B790" s="191"/>
      <c r="C790" s="192"/>
      <c r="D790" s="191"/>
      <c r="E790" s="193"/>
    </row>
    <row r="791">
      <c r="A791" s="190"/>
      <c r="B791" s="191"/>
      <c r="C791" s="192"/>
      <c r="D791" s="191"/>
      <c r="E791" s="193"/>
    </row>
    <row r="792">
      <c r="A792" s="190"/>
      <c r="B792" s="194" t="str">
        <v>Lossa</v>
      </c>
      <c r="C792" s="192" t="str">
        <v>deck teknis &amp; mockup bluebird</v>
      </c>
      <c r="D792" s="191" t="str">
        <v>Done</v>
      </c>
      <c r="E792" s="193"/>
    </row>
    <row r="793">
      <c r="A793" s="190"/>
      <c r="B793" s="194"/>
      <c r="C793" s="192" t="str">
        <v>TOR dan sow pupuk</v>
      </c>
      <c r="D793" s="191" t="str">
        <v>Done</v>
      </c>
      <c r="E793" s="193"/>
    </row>
    <row r="794">
      <c r="A794" s="190"/>
      <c r="B794" s="194"/>
      <c r="C794" s="192"/>
      <c r="D794" s="191"/>
      <c r="E794" s="193"/>
    </row>
    <row r="795">
      <c r="A795" s="190"/>
      <c r="B795" s="194"/>
      <c r="C795" s="192"/>
      <c r="D795" s="191"/>
      <c r="E795" s="193"/>
    </row>
    <row r="796">
      <c r="A796" s="190"/>
      <c r="B796" s="194"/>
      <c r="C796" s="192"/>
      <c r="D796" s="191"/>
      <c r="E796" s="193"/>
    </row>
    <row r="797">
      <c r="A797" s="190"/>
      <c r="B797" s="194" t="str">
        <v>Amel</v>
      </c>
      <c r="C797" s="192" t="str">
        <v>Training Dashboard pengerukan</v>
      </c>
      <c r="D797" s="191" t="str">
        <v>Done</v>
      </c>
      <c r="E797" s="193"/>
    </row>
    <row r="798">
      <c r="A798" s="190"/>
      <c r="B798" s="194"/>
      <c r="C798" s="192"/>
      <c r="D798" s="191"/>
      <c r="E798" s="193"/>
    </row>
    <row r="799">
      <c r="A799" s="190"/>
      <c r="B799" s="194"/>
      <c r="C799" s="192"/>
      <c r="D799" s="191"/>
      <c r="E799" s="193"/>
    </row>
    <row r="800">
      <c r="A800" s="190"/>
      <c r="B800" s="194"/>
      <c r="C800" s="192"/>
      <c r="D800" s="191"/>
      <c r="E800" s="193"/>
    </row>
    <row r="801">
      <c r="A801" s="190"/>
      <c r="B801" s="194"/>
      <c r="C801" s="192"/>
      <c r="D801" s="191"/>
      <c r="E801" s="193"/>
    </row>
    <row r="802">
      <c r="A802" s="190"/>
      <c r="B802" s="194" t="str">
        <v>Zhafran</v>
      </c>
      <c r="C802" s="192" t="str">
        <v>Proposal KAI</v>
      </c>
      <c r="D802" s="191" t="str">
        <v>Done</v>
      </c>
      <c r="E802" s="193"/>
    </row>
    <row r="803">
      <c r="A803" s="190"/>
      <c r="B803" s="194"/>
      <c r="C803" s="192" t="str">
        <v>Deck IABP</v>
      </c>
      <c r="D803" s="191" t="str">
        <v>Done</v>
      </c>
      <c r="E803" s="193"/>
    </row>
    <row r="804">
      <c r="A804" s="190"/>
      <c r="B804" s="194"/>
      <c r="C804" s="192"/>
      <c r="D804" s="191"/>
      <c r="E804" s="193"/>
    </row>
    <row r="805">
      <c r="A805" s="190"/>
      <c r="B805" s="194"/>
      <c r="C805" s="192"/>
      <c r="D805" s="191"/>
      <c r="E805" s="193"/>
    </row>
    <row r="806">
      <c r="A806" s="190"/>
      <c r="B806" s="194"/>
      <c r="C806" s="192"/>
      <c r="D806" s="191"/>
      <c r="E806" s="193"/>
    </row>
    <row r="807">
      <c r="A807" s="190"/>
      <c r="B807" s="179" t="str">
        <v>Hadi</v>
      </c>
      <c r="C807" s="192" t="str">
        <v>Monitoring Business (Performance, Daily Standup, Alignment, etc)</v>
      </c>
      <c r="D807" s="191" t="str">
        <v>Done</v>
      </c>
      <c r="E807" s="193"/>
    </row>
    <row r="808">
      <c r="A808" s="190"/>
      <c r="B808" s="179"/>
      <c r="C808" s="192" t="str">
        <v>Meeting Budget Apps</v>
      </c>
      <c r="D808" s="191" t="str">
        <v>Done</v>
      </c>
      <c r="E808" s="193"/>
    </row>
    <row r="809">
      <c r="A809" s="190"/>
      <c r="B809" s="179"/>
      <c r="C809" s="192"/>
      <c r="D809" s="191"/>
      <c r="E809" s="193"/>
    </row>
    <row r="810">
      <c r="A810" s="190"/>
      <c r="B810" s="179"/>
      <c r="C810" s="192"/>
      <c r="D810" s="191"/>
      <c r="E810" s="193"/>
    </row>
    <row r="811">
      <c r="A811" s="190"/>
      <c r="B811" s="179"/>
      <c r="C811" s="192"/>
      <c r="D811" s="191"/>
      <c r="E811" s="193"/>
    </row>
    <row r="812">
      <c r="A812" s="190">
        <v>46059</v>
      </c>
      <c r="B812" s="191" t="str">
        <v>Fariz</v>
      </c>
      <c r="C812" s="192"/>
      <c r="D812" s="191"/>
      <c r="E812" s="193"/>
    </row>
    <row r="813">
      <c r="A813" s="190"/>
      <c r="B813" s="191"/>
      <c r="C813" s="192"/>
      <c r="D813" s="191"/>
      <c r="E813" s="193"/>
    </row>
    <row r="814">
      <c r="A814" s="190"/>
      <c r="B814" s="191"/>
      <c r="C814" s="192"/>
      <c r="D814" s="191"/>
      <c r="E814" s="193"/>
    </row>
    <row r="815">
      <c r="A815" s="190"/>
      <c r="B815" s="191"/>
      <c r="C815" s="192"/>
      <c r="D815" s="191"/>
      <c r="E815" s="193"/>
    </row>
    <row r="816">
      <c r="A816" s="190"/>
      <c r="B816" s="191"/>
      <c r="C816" s="192"/>
      <c r="D816" s="191"/>
      <c r="E816" s="193"/>
    </row>
    <row r="817">
      <c r="A817" s="190"/>
      <c r="B817" s="191" t="str">
        <v>Dwi</v>
      </c>
      <c r="C817" s="192" t="str">
        <v>Cek pekerjaan learning operation</v>
      </c>
      <c r="D817" s="191" t="str">
        <v>Done</v>
      </c>
      <c r="E817" s="193"/>
    </row>
    <row r="818">
      <c r="A818" s="190"/>
      <c r="B818" s="191"/>
      <c r="C818" s="192" t="str">
        <v>Meeting Community &amp; enterprise page</v>
      </c>
      <c r="D818" s="191" t="str">
        <v>Done</v>
      </c>
      <c r="E818" s="193"/>
    </row>
    <row r="819">
      <c r="A819" s="190"/>
      <c r="B819" s="191"/>
      <c r="C819" s="192" t="str">
        <v>Setup Business page</v>
      </c>
      <c r="D819" s="191"/>
      <c r="E819" s="193"/>
    </row>
    <row r="820">
      <c r="A820" s="190"/>
      <c r="B820" s="191"/>
      <c r="C820" s="192" t="str">
        <v>Asset review &amp; brief edit</v>
      </c>
      <c r="D820" s="191" t="str">
        <v>Done</v>
      </c>
      <c r="E820" s="193"/>
    </row>
    <row r="821">
      <c r="A821" s="190"/>
      <c r="B821" s="191"/>
      <c r="C821" s="192"/>
      <c r="D821" s="191"/>
      <c r="E821" s="193"/>
    </row>
    <row r="822">
      <c r="A822" s="190"/>
      <c r="B822" s="191"/>
      <c r="C822" s="192"/>
      <c r="D822" s="191"/>
      <c r="E822" s="193"/>
    </row>
    <row r="823">
      <c r="A823" s="190"/>
      <c r="B823" s="179" t="str">
        <v>Wina</v>
      </c>
      <c r="C823" s="192" t="str">
        <v>Daily Content (IG &amp; WAG)</v>
      </c>
      <c r="D823" s="191" t="str">
        <v>Done</v>
      </c>
      <c r="E823" s="193"/>
    </row>
    <row r="824">
      <c r="A824" s="190"/>
      <c r="B824" s="179"/>
      <c r="C824" s="216" t="str">
        <v>Aktivasi MAPID Academy:
1. Free Class - 13 Februari 2026
2. Talkshow by Chat &gt;&gt; Chat Show - 10 Februari 2026
Aktivasi MAPID Apps:
1. Survey Event di MAPID Community (Khusus survey mengikuti kebutuhan Tim Data) - 11 Februari 2026
2. Ramadhan Connect di Connected Future (Fun Data Collection) - 18 Februari 2026 ??</v>
      </c>
      <c r="D824" s="191" t="str">
        <v>Done</v>
      </c>
      <c r="E824" s="193" t="str">
        <v>Kebutuhan Marketing:
1. Free Class:
- Speakers: Kang Dzikri &amp; Candra
- Fasilitator &amp; Operator: Fabiola &amp; Aulia
- Form Pendaftaran
- Poster Utama
- Background Zoom (Peserta, speakers, fasilitator)
- Frame Live Report
- Banner GEO (?)
- Link Canva (materi sampai promosi)
2. Talkshow by Chat
- Speaker: Ferel
- MC/Host: Fabiola &amp; Aul
- Poster</v>
      </c>
    </row>
    <row r="825">
      <c r="A825" s="190"/>
      <c r="B825" s="179"/>
      <c r="C825" s="192" t="str">
        <v>Meeting MoU Community (harus sudah clear karna harus roadshow to campus bulan ini)</v>
      </c>
      <c r="D825" s="191" t="str">
        <v>Done</v>
      </c>
      <c r="E825" s="193"/>
    </row>
    <row r="826">
      <c r="A826" s="190"/>
      <c r="B826" s="179"/>
      <c r="C826" s="192" t="str">
        <v>Draft Sosmed MAPID dan MAPID Academy</v>
      </c>
      <c r="D826" s="191" t="str">
        <v>Done</v>
      </c>
      <c r="E826" s="193"/>
    </row>
    <row r="827">
      <c r="A827" s="190"/>
      <c r="B827" s="179"/>
      <c r="C827" s="192"/>
      <c r="D827" s="191"/>
      <c r="E827" s="193"/>
    </row>
    <row r="828">
      <c r="A828" s="190"/>
      <c r="B828" s="191" t="str">
        <v>Annisa</v>
      </c>
      <c r="C828" s="192" t="str">
        <v>Free class desain</v>
      </c>
      <c r="D828" s="191" t="str">
        <v>Done</v>
      </c>
      <c r="E828" s="193"/>
    </row>
    <row r="829">
      <c r="A829" s="190"/>
      <c r="B829" s="191"/>
      <c r="C829" s="192" t="str">
        <v>Poster Life After MAPID Academy: Alumni Success Story &amp; Career Insights</v>
      </c>
      <c r="D829" s="191" t="str">
        <v>Done</v>
      </c>
      <c r="E829" s="193"/>
    </row>
    <row r="830">
      <c r="A830" s="190"/>
      <c r="B830" s="191"/>
      <c r="C830" s="192" t="str">
        <v>background free class</v>
      </c>
      <c r="D830" s="191" t="str">
        <v>Done</v>
      </c>
      <c r="E830" s="193"/>
    </row>
    <row r="831">
      <c r="A831" s="190"/>
      <c r="B831" s="191"/>
      <c r="C831" s="192" t="str">
        <v>From MAPS to Decision KONTEN lanjutan</v>
      </c>
      <c r="D831" s="191" t="str">
        <v>Done</v>
      </c>
      <c r="E831" s="193"/>
    </row>
    <row r="832">
      <c r="A832" s="190"/>
      <c r="B832" s="191"/>
      <c r="C832" s="192" t="str" xml:space="preserve">
        <v>masih finalisasi video fariz &amp; edit video untuk aset website </v>
      </c>
      <c r="D832" s="191" t="str">
        <v>Done</v>
      </c>
      <c r="E832" s="193"/>
    </row>
    <row r="833">
      <c r="A833" s="190"/>
      <c r="B833" s="194" t="str">
        <v>Lossa</v>
      </c>
      <c r="C833" s="192" t="str">
        <v>koordinasi pelindo</v>
      </c>
      <c r="D833" s="191" t="str">
        <v>Done</v>
      </c>
      <c r="E833" s="193"/>
    </row>
    <row r="834">
      <c r="A834" s="190"/>
      <c r="B834" s="194"/>
      <c r="C834" s="192" t="str">
        <v>preparation kick off internal pupuk</v>
      </c>
      <c r="D834" s="191" t="str">
        <v>Done</v>
      </c>
      <c r="E834" s="193"/>
    </row>
    <row r="835">
      <c r="A835" s="190"/>
      <c r="B835" s="194"/>
      <c r="C835" s="192" t="str">
        <v>kick off internal pupuk</v>
      </c>
      <c r="D835" s="191" t="str">
        <v>Done</v>
      </c>
      <c r="E835" s="193"/>
    </row>
    <row r="836">
      <c r="A836" s="190"/>
      <c r="B836" s="194"/>
      <c r="C836" s="192"/>
      <c r="D836" s="191"/>
      <c r="E836" s="193"/>
    </row>
    <row r="837">
      <c r="A837" s="190"/>
      <c r="B837" s="194"/>
      <c r="C837" s="192"/>
      <c r="D837" s="191"/>
      <c r="E837" s="193"/>
    </row>
    <row r="838">
      <c r="A838" s="190"/>
      <c r="B838" s="194" t="str">
        <v>Amel</v>
      </c>
      <c r="C838" s="192" t="str">
        <v>FRD MRT</v>
      </c>
      <c r="D838" s="191" t="str">
        <v>Done</v>
      </c>
      <c r="E838" s="193"/>
    </row>
    <row r="839">
      <c r="A839" s="190"/>
      <c r="B839" s="194"/>
      <c r="C839" s="192" t="str">
        <v>BAST KAI dan surat perpanjang lisensi</v>
      </c>
      <c r="D839" s="191" t="str">
        <v>Done</v>
      </c>
      <c r="E839" s="193"/>
    </row>
    <row r="840">
      <c r="A840" s="190"/>
      <c r="B840" s="194"/>
      <c r="C840" s="192"/>
      <c r="D840" s="191"/>
      <c r="E840" s="193"/>
    </row>
    <row r="841">
      <c r="A841" s="190"/>
      <c r="B841" s="194"/>
      <c r="C841" s="192"/>
      <c r="D841" s="191"/>
      <c r="E841" s="193"/>
    </row>
    <row r="842">
      <c r="A842" s="190"/>
      <c r="B842" s="194"/>
      <c r="C842" s="192"/>
      <c r="D842" s="191"/>
      <c r="E842" s="193"/>
    </row>
    <row r="843">
      <c r="A843" s="190"/>
      <c r="B843" s="194" t="str">
        <v>Zhafran</v>
      </c>
      <c r="C843" s="192" t="str">
        <v>Proposal KAI</v>
      </c>
      <c r="D843" s="191" t="str">
        <v>Done</v>
      </c>
      <c r="E843" s="193"/>
    </row>
    <row r="844">
      <c r="A844" s="190"/>
      <c r="B844" s="194"/>
      <c r="C844" s="192" t="str">
        <v>Deck IABP</v>
      </c>
      <c r="D844" s="191" t="str">
        <v>Done</v>
      </c>
      <c r="E844" s="193"/>
    </row>
    <row r="845">
      <c r="A845" s="190"/>
      <c r="B845" s="194"/>
      <c r="C845" s="192"/>
      <c r="D845" s="191"/>
      <c r="E845" s="193"/>
    </row>
    <row r="846">
      <c r="A846" s="190"/>
      <c r="B846" s="194"/>
      <c r="C846" s="192"/>
      <c r="D846" s="191"/>
      <c r="E846" s="193"/>
    </row>
    <row r="847">
      <c r="A847" s="190"/>
      <c r="B847" s="194"/>
      <c r="C847" s="192"/>
      <c r="D847" s="191"/>
      <c r="E847" s="193"/>
    </row>
    <row r="848">
      <c r="A848" s="190"/>
      <c r="B848" s="179" t="str">
        <v>Hadi</v>
      </c>
      <c r="C848" s="192" t="str">
        <v>Monitoring Business (Performance, Daily Standup, Alignment, etc)</v>
      </c>
      <c r="D848" s="191" t="str">
        <v>Done</v>
      </c>
      <c r="E848" s="193"/>
    </row>
    <row r="849">
      <c r="A849" s="190"/>
      <c r="B849" s="179"/>
      <c r="C849" s="192" t="str">
        <v>Meeting Budget Apps</v>
      </c>
      <c r="D849" s="191" t="str">
        <v>Done</v>
      </c>
      <c r="E849" s="193"/>
    </row>
    <row r="850">
      <c r="A850" s="190"/>
      <c r="B850" s="179"/>
      <c r="C850" s="192" t="str">
        <v>Kunjungan Leave a Nest</v>
      </c>
      <c r="D850" s="191" t="str">
        <v>Done</v>
      </c>
      <c r="E850" s="193"/>
    </row>
    <row r="851">
      <c r="A851" s="190"/>
      <c r="B851" s="179"/>
      <c r="C851" s="192" t="str">
        <v>Kick-off internal pupuk indonesia</v>
      </c>
      <c r="D851" s="191" t="str">
        <v>Done</v>
      </c>
      <c r="E851" s="193"/>
    </row>
    <row r="852">
      <c r="A852" s="190"/>
      <c r="B852" s="179"/>
      <c r="C852" s="192"/>
      <c r="D852" s="191"/>
      <c r="E852" s="193"/>
    </row>
    <row r="853">
      <c r="A853" s="190">
        <v>46062</v>
      </c>
      <c r="B853" s="191" t="str">
        <v>Fariz</v>
      </c>
      <c r="C853" s="192"/>
      <c r="D853" s="191"/>
      <c r="E853" s="193"/>
    </row>
    <row r="854">
      <c r="A854" s="190"/>
      <c r="B854" s="191"/>
      <c r="C854" s="192"/>
      <c r="D854" s="191"/>
      <c r="E854" s="193"/>
    </row>
    <row r="855">
      <c r="A855" s="190"/>
      <c r="B855" s="191"/>
      <c r="C855" s="192"/>
      <c r="D855" s="191"/>
      <c r="E855" s="193"/>
    </row>
    <row r="856">
      <c r="A856" s="190"/>
      <c r="B856" s="191"/>
      <c r="C856" s="192"/>
      <c r="D856" s="191"/>
      <c r="E856" s="193"/>
    </row>
    <row r="857">
      <c r="A857" s="190"/>
      <c r="B857" s="191"/>
      <c r="C857" s="192"/>
      <c r="D857" s="191"/>
      <c r="E857" s="193"/>
    </row>
    <row r="858">
      <c r="A858" s="190"/>
      <c r="B858" s="191" t="str">
        <v>Dwi</v>
      </c>
      <c r="C858" s="192" t="str">
        <v>learning operationg sync</v>
      </c>
      <c r="D858" s="191" t="str">
        <v>Done</v>
      </c>
      <c r="E858" s="193"/>
    </row>
    <row r="859">
      <c r="A859" s="190"/>
      <c r="B859" s="191"/>
      <c r="C859" s="192" t="str">
        <v>setup business expansion ads</v>
      </c>
      <c r="D859" s="191" t="str">
        <v>Done</v>
      </c>
      <c r="E859" s="193"/>
    </row>
    <row r="860">
      <c r="A860" s="190"/>
      <c r="B860" s="191"/>
      <c r="C860" s="192" t="str">
        <v>setup free class ads</v>
      </c>
      <c r="D860" s="191" t="str">
        <v>Done</v>
      </c>
      <c r="E860" s="193"/>
    </row>
    <row r="861">
      <c r="A861" s="190"/>
      <c r="B861" s="191"/>
      <c r="C861" s="192"/>
      <c r="D861" s="191"/>
      <c r="E861" s="193"/>
    </row>
    <row r="862">
      <c r="A862" s="190"/>
      <c r="B862" s="191"/>
      <c r="C862" s="192"/>
      <c r="D862" s="191"/>
      <c r="E862" s="193"/>
    </row>
    <row r="863">
      <c r="A863" s="190"/>
      <c r="B863" s="191"/>
      <c r="C863" s="192"/>
      <c r="D863" s="191"/>
      <c r="E863" s="193"/>
    </row>
    <row r="864">
      <c r="A864" s="190"/>
      <c r="B864" s="179" t="str">
        <v>Wina</v>
      </c>
      <c r="C864" s="192" t="str">
        <v>Daily Content (IG)</v>
      </c>
      <c r="D864" s="191" t="str">
        <v>Done</v>
      </c>
      <c r="E864" s="193"/>
    </row>
    <row r="865">
      <c r="A865" s="190"/>
      <c r="B865" s="179"/>
      <c r="C865" s="216" t="str">
        <v>Community:
- Survey Pupuk (belum ada pendaftar)
- Chatshow bareng Alumni MAPID Academy
- 7 Days Property Challenge
- Free Class (19 Pendaftar)</v>
      </c>
      <c r="D865" s="191" t="str">
        <v>Done</v>
      </c>
      <c r="E865" s="193" t="str">
        <v>- Survey Pupuk: Sudah di share ke Grup Hima &amp; Personal (khusus di Gorontalo) tapi belum ada yang daftar, saat ditanya apakah ada kendala (no respon), kesimpulan pertama: karna di form harus upload sertifikat &gt; nonton dulu LMS
</v>
      </c>
    </row>
    <row r="866">
      <c r="A866" s="190"/>
      <c r="B866" s="179"/>
      <c r="C866" s="192"/>
      <c r="D866" s="191"/>
      <c r="E866" s="193"/>
    </row>
    <row r="867">
      <c r="A867" s="190"/>
      <c r="B867" s="179"/>
      <c r="C867" s="192"/>
      <c r="D867" s="191"/>
      <c r="E867" s="193"/>
    </row>
    <row r="868">
      <c r="A868" s="190"/>
      <c r="B868" s="179"/>
      <c r="C868" s="192"/>
      <c r="D868" s="191"/>
      <c r="E868" s="193"/>
    </row>
    <row r="869">
      <c r="A869" s="190"/>
      <c r="B869" s="191" t="str">
        <v>Annisa</v>
      </c>
      <c r="C869" s="192" t="str">
        <v>desain notebook &amp; totebag</v>
      </c>
      <c r="D869" s="191" t="str">
        <v>Done</v>
      </c>
      <c r="E869" s="193"/>
    </row>
    <row r="870">
      <c r="A870" s="190"/>
      <c r="B870" s="191"/>
      <c r="C870" s="192" t="str">
        <v>revisi sedikit aset video website</v>
      </c>
      <c r="D870" s="191" t="str">
        <v>Done</v>
      </c>
      <c r="E870" s="193"/>
    </row>
    <row r="871">
      <c r="A871" s="190"/>
      <c r="B871" s="191"/>
      <c r="C871" s="192" t="str">
        <v>revisi konten FROM MAPS 
to Decisions</v>
      </c>
      <c r="D871" s="191" t="str">
        <v>Done</v>
      </c>
      <c r="E871" s="193"/>
    </row>
    <row r="872">
      <c r="A872" s="190"/>
      <c r="B872" s="191"/>
      <c r="C872" s="192"/>
      <c r="D872" s="191"/>
      <c r="E872" s="193"/>
    </row>
    <row r="873">
      <c r="A873" s="190"/>
      <c r="B873" s="191"/>
      <c r="C873" s="192"/>
      <c r="D873" s="191"/>
      <c r="E873" s="193"/>
    </row>
    <row r="874">
      <c r="A874" s="190"/>
      <c r="B874" s="194" t="str">
        <v>Lossa</v>
      </c>
      <c r="C874" s="192" t="str">
        <v>frd astra infra, btid</v>
      </c>
      <c r="D874" s="191" t="str">
        <v>Done</v>
      </c>
      <c r="E874" s="193"/>
    </row>
    <row r="875">
      <c r="A875" s="190"/>
      <c r="B875" s="194"/>
      <c r="C875" s="192" t="str">
        <v>meeting apps pupuk</v>
      </c>
      <c r="D875" s="191" t="str">
        <v>Done</v>
      </c>
      <c r="E875" s="193"/>
    </row>
    <row r="876">
      <c r="A876" s="190"/>
      <c r="B876" s="194"/>
      <c r="C876" s="192"/>
      <c r="D876" s="191"/>
      <c r="E876" s="193"/>
    </row>
    <row r="877">
      <c r="A877" s="190"/>
      <c r="B877" s="194"/>
      <c r="C877" s="192"/>
      <c r="D877" s="191"/>
      <c r="E877" s="193"/>
    </row>
    <row r="878">
      <c r="A878" s="190"/>
      <c r="B878" s="194"/>
      <c r="C878" s="192"/>
      <c r="D878" s="191"/>
      <c r="E878" s="193"/>
    </row>
    <row r="879">
      <c r="A879" s="190"/>
      <c r="B879" s="194" t="str">
        <v>Amel</v>
      </c>
      <c r="C879" s="192" t="str">
        <v>Training dashboard pengerukan DSDA</v>
      </c>
      <c r="D879" s="191" t="str">
        <v>Done</v>
      </c>
      <c r="E879" s="193" t="str">
        <v>on</v>
      </c>
    </row>
    <row r="880">
      <c r="A880" s="190"/>
      <c r="B880" s="194"/>
      <c r="C880" s="192" t="str">
        <v>quick meeting koordinasi datascript</v>
      </c>
      <c r="D880" s="191" t="str">
        <v>Done</v>
      </c>
      <c r="E880" s="193"/>
    </row>
    <row r="881">
      <c r="A881" s="190"/>
      <c r="B881" s="194"/>
      <c r="C881" s="192"/>
      <c r="D881" s="191"/>
      <c r="E881" s="193"/>
    </row>
    <row r="882">
      <c r="A882" s="190"/>
      <c r="B882" s="194"/>
      <c r="C882" s="192"/>
      <c r="D882" s="191"/>
      <c r="E882" s="193"/>
    </row>
    <row r="883">
      <c r="A883" s="190"/>
      <c r="B883" s="194"/>
      <c r="C883" s="192"/>
      <c r="D883" s="191"/>
      <c r="E883" s="193"/>
    </row>
    <row r="884">
      <c r="A884" s="190"/>
      <c r="B884" s="194" t="str">
        <v>Zhafran</v>
      </c>
      <c r="C884" s="192" t="str">
        <v>Proposal AIBP</v>
      </c>
      <c r="D884" s="191" t="str">
        <v>Done</v>
      </c>
      <c r="E884" s="193" t="str">
        <v>Menunggu RFP</v>
      </c>
    </row>
    <row r="885">
      <c r="A885" s="190"/>
      <c r="B885" s="194"/>
      <c r="C885" s="192"/>
      <c r="D885" s="191"/>
      <c r="E885" s="193"/>
    </row>
    <row r="886">
      <c r="A886" s="190"/>
      <c r="B886" s="194"/>
      <c r="C886" s="192"/>
      <c r="D886" s="191"/>
      <c r="E886" s="193"/>
    </row>
    <row r="887">
      <c r="A887" s="190"/>
      <c r="B887" s="194"/>
      <c r="C887" s="192"/>
      <c r="D887" s="191"/>
      <c r="E887" s="193"/>
    </row>
    <row r="888">
      <c r="A888" s="190"/>
      <c r="B888" s="194"/>
      <c r="C888" s="192"/>
      <c r="D888" s="191"/>
      <c r="E888" s="193"/>
    </row>
    <row r="889">
      <c r="A889" s="190"/>
      <c r="B889" s="179" t="str">
        <v>Hadi</v>
      </c>
      <c r="C889" s="192" t="str">
        <v>Monitoring Business</v>
      </c>
      <c r="D889" s="191" t="str">
        <v>Done</v>
      </c>
      <c r="E889" s="193"/>
    </row>
    <row r="890">
      <c r="A890" s="190"/>
      <c r="B890" s="179"/>
      <c r="C890" s="192" t="str">
        <v>Meeting Internal Survey Pupuk</v>
      </c>
      <c r="D890" s="191" t="str">
        <v>Done</v>
      </c>
      <c r="E890" s="193"/>
    </row>
    <row r="891">
      <c r="A891" s="190"/>
      <c r="B891" s="179"/>
      <c r="C891" s="192" t="str">
        <v>Weekly Business</v>
      </c>
      <c r="D891" s="191" t="str">
        <v>Done</v>
      </c>
      <c r="E891" s="193"/>
    </row>
    <row r="892">
      <c r="A892" s="190"/>
      <c r="B892" s="179"/>
      <c r="C892" s="192" t="str">
        <v>Others : cicil report shareholders</v>
      </c>
      <c r="D892" s="191" t="str">
        <v>Done</v>
      </c>
      <c r="E892" s="193"/>
    </row>
    <row r="893">
      <c r="A893" s="190"/>
      <c r="B893" s="179"/>
      <c r="C893" s="192"/>
      <c r="D893" s="191"/>
      <c r="E893" s="193"/>
    </row>
    <row r="894">
      <c r="A894" s="190">
        <v>46063</v>
      </c>
      <c r="B894" s="191" t="str">
        <v>Fariz</v>
      </c>
      <c r="C894" s="192"/>
      <c r="D894" s="191"/>
      <c r="E894" s="193"/>
    </row>
    <row r="895">
      <c r="A895" s="190"/>
      <c r="B895" s="191"/>
      <c r="C895" s="192"/>
      <c r="D895" s="191"/>
      <c r="E895" s="193"/>
    </row>
    <row r="896">
      <c r="A896" s="190"/>
      <c r="B896" s="191"/>
      <c r="C896" s="192"/>
      <c r="D896" s="191"/>
      <c r="E896" s="193"/>
    </row>
    <row r="897">
      <c r="A897" s="190"/>
      <c r="B897" s="191"/>
      <c r="C897" s="192"/>
      <c r="D897" s="191"/>
      <c r="E897" s="193"/>
    </row>
    <row r="898">
      <c r="A898" s="190"/>
      <c r="B898" s="191"/>
      <c r="C898" s="192"/>
      <c r="D898" s="191"/>
      <c r="E898" s="193"/>
    </row>
    <row r="899">
      <c r="A899" s="190"/>
      <c r="B899" s="191" t="str">
        <v>Dwi</v>
      </c>
      <c r="C899" s="192" t="str">
        <v>Tracking Business Expansion</v>
      </c>
      <c r="D899" s="191" t="str">
        <v>Done</v>
      </c>
      <c r="E899" s="193"/>
    </row>
    <row r="900">
      <c r="A900" s="190"/>
      <c r="B900" s="191"/>
      <c r="C900" s="192" t="str">
        <v>Launching Ads</v>
      </c>
      <c r="D900" s="191" t="str">
        <v>Done</v>
      </c>
      <c r="E900" s="193"/>
    </row>
    <row r="901">
      <c r="A901" s="190"/>
      <c r="B901" s="191"/>
      <c r="C901" s="192" t="str">
        <v>Setup ads personal license</v>
      </c>
      <c r="D901" s="191" t="str">
        <v>Done</v>
      </c>
      <c r="E901" s="193"/>
    </row>
    <row r="902">
      <c r="A902" s="190"/>
      <c r="B902" s="191"/>
      <c r="C902" s="192" t="str">
        <v>Brief Business Expansion Ads</v>
      </c>
      <c r="D902" s="191"/>
      <c r="E902" s="193"/>
    </row>
    <row r="903">
      <c r="A903" s="190"/>
      <c r="B903" s="191"/>
      <c r="C903" s="192" t="str" xml:space="preserve">
        <v>Asset editiing brief </v>
      </c>
      <c r="D903" s="191" t="str">
        <v>Done</v>
      </c>
      <c r="E903" s="193"/>
    </row>
    <row r="904">
      <c r="A904" s="190"/>
      <c r="B904" s="191"/>
      <c r="C904" s="192"/>
      <c r="D904" s="191"/>
      <c r="E904" s="193"/>
    </row>
    <row r="905">
      <c r="A905" s="190"/>
      <c r="B905" s="179" t="str">
        <v>Wina</v>
      </c>
      <c r="C905" s="192" t="str">
        <v>daily content</v>
      </c>
      <c r="D905" s="191" t="str">
        <v>Done</v>
      </c>
      <c r="E905" s="193"/>
    </row>
    <row r="906">
      <c r="A906" s="190"/>
      <c r="B906" s="179"/>
      <c r="C906" s="192" t="str">
        <v>community
- Opening Survey MAPID Apps ✅
- free class</v>
      </c>
      <c r="D906" s="191" t="str">
        <v>Done</v>
      </c>
      <c r="E906" s="193"/>
    </row>
    <row r="907">
      <c r="A907" s="190"/>
      <c r="B907" s="179"/>
      <c r="C907" s="192"/>
      <c r="D907" s="191"/>
      <c r="E907" s="193"/>
    </row>
    <row r="908">
      <c r="A908" s="190"/>
      <c r="B908" s="179"/>
      <c r="C908" s="192"/>
      <c r="D908" s="191"/>
      <c r="E908" s="193"/>
    </row>
    <row r="909">
      <c r="A909" s="190"/>
      <c r="B909" s="179"/>
      <c r="C909" s="192"/>
      <c r="D909" s="191"/>
      <c r="E909" s="193"/>
    </row>
    <row r="910">
      <c r="A910" s="190"/>
      <c r="B910" s="191" t="str">
        <v>Annisa</v>
      </c>
      <c r="C910" s="192" t="str">
        <v>lanjutin desain notebook &amp; tote bag</v>
      </c>
      <c r="D910" s="191" t="str">
        <v>Done</v>
      </c>
      <c r="E910" s="193"/>
    </row>
    <row r="911">
      <c r="A911" s="190"/>
      <c r="B911" s="191"/>
      <c r="C911" s="192" t="str">
        <v>tambahan editing video asset website</v>
      </c>
      <c r="D911" s="191" t="str">
        <v>Done</v>
      </c>
      <c r="E911" s="193"/>
    </row>
    <row r="912">
      <c r="A912" s="190"/>
      <c r="B912" s="191"/>
      <c r="C912" s="192"/>
      <c r="D912" s="191"/>
      <c r="E912" s="193"/>
    </row>
    <row r="913">
      <c r="A913" s="190"/>
      <c r="B913" s="191"/>
      <c r="C913" s="192"/>
      <c r="D913" s="191"/>
      <c r="E913" s="193"/>
    </row>
    <row r="914">
      <c r="A914" s="190"/>
      <c r="B914" s="191"/>
      <c r="C914" s="192"/>
      <c r="D914" s="191"/>
      <c r="E914" s="193"/>
    </row>
    <row r="915">
      <c r="A915" s="190"/>
      <c r="B915" s="194" t="str">
        <v>Lossa</v>
      </c>
      <c r="C915" s="192" t="str">
        <v>deck &amp; mockup smart tbk</v>
      </c>
      <c r="D915" s="191" t="str">
        <v>Done</v>
      </c>
      <c r="E915" s="193"/>
    </row>
    <row r="916">
      <c r="A916" s="190"/>
      <c r="B916" s="194"/>
      <c r="C916" s="192" t="str">
        <v>tor pupuk</v>
      </c>
      <c r="D916" s="191" t="str">
        <v>Done</v>
      </c>
      <c r="E916" s="193"/>
    </row>
    <row r="917">
      <c r="A917" s="190"/>
      <c r="B917" s="194"/>
      <c r="C917" s="192" t="str">
        <v>feasibility check</v>
      </c>
      <c r="D917" s="191" t="str">
        <v>Done</v>
      </c>
      <c r="E917" s="193"/>
    </row>
    <row r="918">
      <c r="A918" s="190"/>
      <c r="B918" s="194"/>
      <c r="C918" s="192" t="str">
        <v>materi onboard gis pelindo</v>
      </c>
      <c r="D918" s="191" t="str">
        <v>Done</v>
      </c>
      <c r="E918" s="193"/>
    </row>
    <row r="919">
      <c r="A919" s="190"/>
      <c r="B919" s="194"/>
      <c r="C919" s="192"/>
      <c r="D919" s="191"/>
      <c r="E919" s="193"/>
    </row>
    <row r="920">
      <c r="A920" s="190"/>
      <c r="B920" s="194" t="str">
        <v>Amel</v>
      </c>
      <c r="C920" s="192" t="str">
        <v>meeting Datascript</v>
      </c>
      <c r="D920" s="191" t="str">
        <v>Done</v>
      </c>
      <c r="E920" s="193">
        <v>10</v>
      </c>
    </row>
    <row r="921">
      <c r="A921" s="190"/>
      <c r="B921" s="194"/>
      <c r="C921" s="192" t="str">
        <v>Meeting feasibility check</v>
      </c>
      <c r="D921" s="191" t="str">
        <v>Done</v>
      </c>
      <c r="E921" s="193"/>
    </row>
    <row r="922">
      <c r="A922" s="190"/>
      <c r="B922" s="194"/>
      <c r="C922" s="192" t="str">
        <v>Meeting lanjutan bapperida madiun</v>
      </c>
      <c r="D922" s="191" t="str">
        <v>Done</v>
      </c>
      <c r="E922" s="193"/>
    </row>
    <row r="923">
      <c r="A923" s="190"/>
      <c r="B923" s="194"/>
      <c r="C923" s="192"/>
      <c r="D923" s="191"/>
      <c r="E923" s="193"/>
    </row>
    <row r="924">
      <c r="A924" s="190"/>
      <c r="B924" s="194"/>
      <c r="C924" s="192"/>
      <c r="D924" s="191"/>
      <c r="E924" s="193"/>
    </row>
    <row r="925">
      <c r="A925" s="190"/>
      <c r="B925" s="194" t="str">
        <v>Zhafran</v>
      </c>
      <c r="C925" s="192" t="str">
        <v>Follow Up Demo Call</v>
      </c>
      <c r="D925" s="191" t="str">
        <v>Done</v>
      </c>
      <c r="E925" s="193" t="str">
        <v>- Aksa Kopi bales, Bakal di info jika ada update
- Mba natha tidak di respon</v>
      </c>
    </row>
    <row r="926">
      <c r="A926" s="190"/>
      <c r="B926" s="194"/>
      <c r="C926" s="192" t="str">
        <v>Meeting Feasibility Check</v>
      </c>
      <c r="D926" s="191" t="str">
        <v>Done</v>
      </c>
      <c r="E926" s="193"/>
    </row>
    <row r="927">
      <c r="A927" s="190"/>
      <c r="B927" s="194"/>
      <c r="C927" s="192" t="str">
        <v>Deck SMART TBK</v>
      </c>
      <c r="D927" s="191" t="str">
        <v>Done</v>
      </c>
      <c r="E927" s="193"/>
    </row>
    <row r="928">
      <c r="A928" s="190"/>
      <c r="B928" s="194"/>
      <c r="C928" s="192"/>
      <c r="D928" s="191"/>
      <c r="E928" s="193"/>
    </row>
    <row r="929">
      <c r="A929" s="190"/>
      <c r="B929" s="194"/>
      <c r="C929" s="192"/>
      <c r="D929" s="191"/>
      <c r="E929" s="193"/>
    </row>
    <row r="930">
      <c r="A930" s="190"/>
      <c r="B930" s="179" t="str">
        <v>Hadi</v>
      </c>
      <c r="C930" s="192" t="str">
        <v>Monitoring Business</v>
      </c>
      <c r="D930" s="191" t="str">
        <v>Done</v>
      </c>
      <c r="E930" s="193"/>
    </row>
    <row r="931">
      <c r="A931" s="190"/>
      <c r="B931" s="179"/>
      <c r="C931" s="192" t="str">
        <v>Meeting Admin Dashboard</v>
      </c>
      <c r="D931" s="191" t="str">
        <v>Done</v>
      </c>
      <c r="E931" s="193" t="str" xml:space="preserve">
        <v> </v>
      </c>
    </row>
    <row r="932">
      <c r="A932" s="190"/>
      <c r="B932" s="179"/>
      <c r="C932" s="192" t="str">
        <v>Meeting Feasibility Check</v>
      </c>
      <c r="D932" s="191" t="str">
        <v>Done</v>
      </c>
      <c r="E932" s="193"/>
    </row>
    <row r="933">
      <c r="A933" s="190"/>
      <c r="B933" s="179"/>
      <c r="C933" s="192" t="str">
        <v>Meeting Lanjutan Baperida Madiun</v>
      </c>
      <c r="D933" s="191" t="str">
        <v>Done</v>
      </c>
      <c r="E933" s="193"/>
    </row>
    <row r="934">
      <c r="A934" s="190"/>
      <c r="B934" s="179"/>
      <c r="C934" s="192"/>
      <c r="D934" s="191"/>
      <c r="E934" s="193"/>
    </row>
    <row r="935">
      <c r="A935" s="190">
        <v>46064</v>
      </c>
      <c r="B935" s="191" t="str">
        <v>Fariz</v>
      </c>
      <c r="C935" s="192"/>
      <c r="D935" s="191"/>
      <c r="E935" s="193"/>
    </row>
    <row r="936">
      <c r="A936" s="190"/>
      <c r="B936" s="191"/>
      <c r="C936" s="192"/>
      <c r="D936" s="191"/>
      <c r="E936" s="193"/>
    </row>
    <row r="937">
      <c r="A937" s="190"/>
      <c r="B937" s="191"/>
      <c r="C937" s="192"/>
      <c r="D937" s="191"/>
      <c r="E937" s="193"/>
    </row>
    <row r="938">
      <c r="A938" s="190"/>
      <c r="B938" s="191"/>
      <c r="C938" s="192"/>
      <c r="D938" s="191"/>
      <c r="E938" s="193"/>
    </row>
    <row r="939">
      <c r="A939" s="190"/>
      <c r="B939" s="191"/>
      <c r="C939" s="192"/>
      <c r="D939" s="191"/>
      <c r="E939" s="193"/>
    </row>
    <row r="940">
      <c r="A940" s="190"/>
      <c r="B940" s="191" t="str">
        <v>Dwi</v>
      </c>
      <c r="C940" s="192" t="str">
        <v>Setup tracking personal license</v>
      </c>
      <c r="D940" s="191" t="str">
        <v>Done</v>
      </c>
      <c r="E940" s="193"/>
    </row>
    <row r="941">
      <c r="A941" s="190"/>
      <c r="B941" s="191"/>
      <c r="C941" s="192" t="str">
        <v>Setup ads personal license</v>
      </c>
      <c r="D941" s="191" t="str">
        <v>Done</v>
      </c>
      <c r="E941" s="193"/>
    </row>
    <row r="942">
      <c r="A942" s="190"/>
      <c r="B942" s="191"/>
      <c r="C942" s="192" t="str">
        <v>sync learning operation</v>
      </c>
      <c r="D942" s="191" t="str">
        <v>Done</v>
      </c>
      <c r="E942" s="193"/>
    </row>
    <row r="943">
      <c r="A943" s="190"/>
      <c r="B943" s="191"/>
      <c r="C943" s="192" t="str">
        <v>Fikasasi website copywriting for Enterprise</v>
      </c>
      <c r="D943" s="191"/>
      <c r="E943" s="193"/>
    </row>
    <row r="944">
      <c r="A944" s="190"/>
      <c r="B944" s="191"/>
      <c r="C944" s="192"/>
      <c r="D944" s="191"/>
      <c r="E944" s="193"/>
    </row>
    <row r="945">
      <c r="A945" s="190"/>
      <c r="B945" s="191"/>
      <c r="C945" s="192"/>
      <c r="D945" s="191"/>
      <c r="E945" s="193"/>
    </row>
    <row r="946">
      <c r="A946" s="190"/>
      <c r="B946" s="179" t="str">
        <v>Wina</v>
      </c>
      <c r="C946" s="192" t="s">
        <v>369</v>
      </c>
      <c r="D946" s="191" t="str">
        <v>Done</v>
      </c>
      <c r="E946" s="193" t="str">
        <v>Free Class:
27 Pendaftar
MAPID Academy:
44 Pendaftar</v>
      </c>
    </row>
    <row r="947">
      <c r="A947" s="190"/>
      <c r="B947" s="179"/>
      <c r="C947" s="192"/>
      <c r="D947" s="191"/>
      <c r="E947" s="193"/>
    </row>
    <row r="948">
      <c r="A948" s="190"/>
      <c r="B948" s="179"/>
      <c r="C948" s="192"/>
      <c r="D948" s="191"/>
      <c r="E948" s="193"/>
    </row>
    <row r="949">
      <c r="A949" s="190"/>
      <c r="B949" s="179"/>
      <c r="C949" s="192"/>
      <c r="D949" s="191"/>
      <c r="E949" s="193"/>
    </row>
    <row r="950">
      <c r="A950" s="190"/>
      <c r="B950" s="179"/>
      <c r="C950" s="192"/>
      <c r="D950" s="191"/>
      <c r="E950" s="193"/>
    </row>
    <row r="951">
      <c r="A951" s="190"/>
      <c r="B951" s="191" t="str">
        <v>Annisa</v>
      </c>
      <c r="C951" s="192" t="str" xml:space="preserve">
        <v>layouting untuk proposal catalyst 2026 </v>
      </c>
      <c r="D951" s="191" t="str">
        <v>Done</v>
      </c>
      <c r="E951" s="193"/>
    </row>
    <row r="952">
      <c r="A952" s="190"/>
      <c r="B952" s="191"/>
      <c r="C952" s="192" t="str">
        <v>lanjutin mockup notebook &amp; totebag</v>
      </c>
      <c r="D952" s="191" t="str">
        <v>Done</v>
      </c>
      <c r="E952" s="193"/>
    </row>
    <row r="953">
      <c r="A953" s="190"/>
      <c r="B953" s="191"/>
      <c r="C953" s="192" t="str" xml:space="preserve">
        <v>Brand guideline sheet </v>
      </c>
      <c r="D953" s="191" t="str">
        <v>Done</v>
      </c>
      <c r="E953" s="193"/>
    </row>
    <row r="954">
      <c r="A954" s="190"/>
      <c r="B954" s="191"/>
      <c r="C954" s="192"/>
      <c r="D954" s="191"/>
      <c r="E954" s="193"/>
    </row>
    <row r="955">
      <c r="A955" s="190"/>
      <c r="B955" s="191"/>
      <c r="C955" s="192"/>
      <c r="D955" s="191"/>
      <c r="E955" s="193"/>
    </row>
    <row r="956">
      <c r="A956" s="190"/>
      <c r="B956" s="194" t="str">
        <v>Lossa</v>
      </c>
      <c r="C956" s="192" t="str">
        <v>kurasi koordinator pupuk</v>
      </c>
      <c r="D956" s="191" t="str">
        <v>Done</v>
      </c>
      <c r="E956" s="193" t="str">
        <v>1.30 &amp; 3.00</v>
      </c>
    </row>
    <row r="957">
      <c r="A957" s="190"/>
      <c r="B957" s="194"/>
      <c r="C957" s="192" t="str">
        <v>meeting smart tbk</v>
      </c>
      <c r="D957" s="191" t="str">
        <v>Done</v>
      </c>
      <c r="E957" s="193">
        <v>2</v>
      </c>
    </row>
    <row r="958">
      <c r="A958" s="190"/>
      <c r="B958" s="194"/>
      <c r="C958" s="192" t="str">
        <v>fu pelindo prodia bbwscc</v>
      </c>
      <c r="D958" s="191" t="str">
        <v>Done</v>
      </c>
      <c r="E958" s="193"/>
    </row>
    <row r="959">
      <c r="A959" s="190"/>
      <c r="B959" s="194"/>
      <c r="C959" s="192"/>
      <c r="D959" s="191"/>
      <c r="E959" s="193"/>
    </row>
    <row r="960">
      <c r="A960" s="190"/>
      <c r="B960" s="194"/>
      <c r="C960" s="192"/>
      <c r="D960" s="191"/>
      <c r="E960" s="193"/>
    </row>
    <row r="961">
      <c r="A961" s="190"/>
      <c r="B961" s="194" t="str">
        <v>Amel</v>
      </c>
      <c r="C961" s="192" t="str">
        <v>Proposal POC MRT</v>
      </c>
      <c r="D961" s="191" t="str">
        <v>Done</v>
      </c>
      <c r="E961" s="193"/>
    </row>
    <row r="962">
      <c r="A962" s="190"/>
      <c r="B962" s="194"/>
      <c r="C962" s="192" t="str">
        <v>Deck HKI (perbandingan esri dan mapid)</v>
      </c>
      <c r="D962" s="191" t="str">
        <v>Done</v>
      </c>
      <c r="E962" s="193"/>
    </row>
    <row r="963">
      <c r="A963" s="190"/>
      <c r="B963" s="194"/>
      <c r="C963" s="192" t="str">
        <v>Siapin doc onboarding project DSDA</v>
      </c>
      <c r="D963" s="191" t="str">
        <v>Done</v>
      </c>
      <c r="E963" s="193"/>
    </row>
    <row r="964">
      <c r="A964" s="190"/>
      <c r="B964" s="194"/>
      <c r="C964" s="192"/>
      <c r="D964" s="191"/>
      <c r="E964" s="193"/>
    </row>
    <row r="965">
      <c r="A965" s="190"/>
      <c r="B965" s="194"/>
      <c r="C965" s="192"/>
      <c r="D965" s="191"/>
      <c r="E965" s="193"/>
    </row>
    <row r="966">
      <c r="A966" s="190"/>
      <c r="B966" s="194" t="str">
        <v>Zhafran</v>
      </c>
      <c r="C966" s="192" t="str">
        <v>Continue Pmebuatan Deck Perbedaan ESRI &amp; MAPID</v>
      </c>
      <c r="D966" s="191" t="str">
        <v>Done</v>
      </c>
      <c r="E966" s="193" t="str">
        <v>DI Update oleh TIM Sales dan Mas Bagus</v>
      </c>
    </row>
    <row r="967">
      <c r="A967" s="190"/>
      <c r="B967" s="194"/>
      <c r="C967" s="192" t="str">
        <v>Meeting SMART TBK</v>
      </c>
      <c r="D967" s="191" t="str">
        <v>Done</v>
      </c>
      <c r="E967" s="193" t="str">
        <v>Kemungkinan menuju ke Corporate Training</v>
      </c>
    </row>
    <row r="968">
      <c r="A968" s="190"/>
      <c r="B968" s="194"/>
      <c r="C968" s="192"/>
      <c r="D968" s="191"/>
      <c r="E968" s="193"/>
    </row>
    <row r="969">
      <c r="A969" s="190"/>
      <c r="B969" s="194"/>
      <c r="C969" s="192"/>
      <c r="D969" s="191"/>
      <c r="E969" s="193"/>
    </row>
    <row r="970">
      <c r="A970" s="190"/>
      <c r="B970" s="194"/>
      <c r="C970" s="192"/>
      <c r="D970" s="191"/>
      <c r="E970" s="193"/>
    </row>
    <row r="971">
      <c r="A971" s="190"/>
      <c r="B971" s="179" t="str">
        <v>Hadi</v>
      </c>
      <c r="C971" s="192" t="str">
        <v>Monitoring Business</v>
      </c>
      <c r="D971" s="191" t="str">
        <v>Done</v>
      </c>
      <c r="E971" s="193"/>
    </row>
    <row r="972">
      <c r="A972" s="190"/>
      <c r="B972" s="179"/>
      <c r="C972" s="192" t="str">
        <v>Drafting Shareholders Report</v>
      </c>
      <c r="D972" s="191" t="str">
        <v>Done</v>
      </c>
      <c r="E972" s="193"/>
    </row>
    <row r="973">
      <c r="A973" s="190"/>
      <c r="B973" s="179"/>
      <c r="C973" s="192" t="str">
        <v>cicil b2b project list tahun2 sebelumnya</v>
      </c>
      <c r="D973" s="191" t="str">
        <v>Done</v>
      </c>
      <c r="E973" s="193"/>
    </row>
    <row r="974">
      <c r="A974" s="190"/>
      <c r="B974" s="179"/>
      <c r="C974" s="209" t="str">
        <v>update dashboard revenue</v>
      </c>
      <c r="D974" s="191" t="str">
        <v>Done</v>
      </c>
      <c r="E974" s="193"/>
    </row>
    <row r="975">
      <c r="A975" s="190"/>
      <c r="B975" s="179"/>
      <c r="C975" s="192" t="str">
        <v>Riset n8n whatsapp &amp; pricing data api services</v>
      </c>
      <c r="D975" s="191" t="str">
        <v>Done</v>
      </c>
      <c r="E975" s="193"/>
    </row>
    <row r="976">
      <c r="A976" s="190">
        <v>46065</v>
      </c>
      <c r="B976" s="191" t="str">
        <v>Fariz</v>
      </c>
      <c r="C976" s="192"/>
      <c r="D976" s="191"/>
      <c r="E976" s="193"/>
    </row>
    <row r="977">
      <c r="A977" s="190"/>
      <c r="B977" s="191"/>
      <c r="C977" s="192"/>
      <c r="D977" s="191"/>
      <c r="E977" s="193"/>
    </row>
    <row r="978">
      <c r="A978" s="190"/>
      <c r="B978" s="191"/>
      <c r="C978" s="192"/>
      <c r="D978" s="191"/>
      <c r="E978" s="193"/>
    </row>
    <row r="979">
      <c r="A979" s="190"/>
      <c r="B979" s="191"/>
      <c r="C979" s="192"/>
      <c r="D979" s="191"/>
      <c r="E979" s="193"/>
    </row>
    <row r="980">
      <c r="A980" s="190"/>
      <c r="B980" s="191"/>
      <c r="C980" s="192"/>
      <c r="D980" s="191"/>
      <c r="E980" s="193"/>
    </row>
    <row r="981">
      <c r="A981" s="190"/>
      <c r="B981" s="191" t="str">
        <v>Dwi</v>
      </c>
      <c r="C981" s="192" t="str">
        <v>Location Analytics Batch 15 - CRM &amp; Last push</v>
      </c>
      <c r="D981" s="191"/>
      <c r="E981" s="193"/>
    </row>
    <row r="982">
      <c r="A982" s="190"/>
      <c r="B982" s="191"/>
      <c r="C982" s="192" t="str">
        <v>enterprise page- copywriting</v>
      </c>
      <c r="D982" s="191" t="str">
        <v>Done</v>
      </c>
      <c r="E982" s="193"/>
    </row>
    <row r="983">
      <c r="A983" s="190"/>
      <c r="B983" s="191"/>
      <c r="C983" s="192" t="str">
        <v>Interview intern</v>
      </c>
      <c r="D983" s="191" t="str">
        <v>Done</v>
      </c>
      <c r="E983" s="193"/>
    </row>
    <row r="984">
      <c r="A984" s="190"/>
      <c r="B984" s="191"/>
      <c r="C984" s="192"/>
      <c r="D984" s="191"/>
      <c r="E984" s="193"/>
    </row>
    <row r="985">
      <c r="A985" s="190"/>
      <c r="B985" s="191"/>
      <c r="C985" s="192"/>
      <c r="D985" s="191"/>
      <c r="E985" s="193"/>
    </row>
    <row r="986">
      <c r="A986" s="190"/>
      <c r="B986" s="191"/>
      <c r="C986" s="192"/>
      <c r="D986" s="191"/>
      <c r="E986" s="193"/>
    </row>
    <row r="987">
      <c r="A987" s="190"/>
      <c r="B987" s="179" t="str">
        <v>Wina</v>
      </c>
      <c r="C987" s="192" t="str">
        <v>Daily Content (newsletter, WA Community, IGs)</v>
      </c>
      <c r="D987" s="191" t="str">
        <v>Done</v>
      </c>
      <c r="E987" s="193" t="str">
        <v>reminder freeclass &amp; last 10 peserta untuk MAPID Academy B15</v>
      </c>
    </row>
    <row r="988">
      <c r="A988" s="190"/>
      <c r="B988" s="179"/>
      <c r="C988" s="192" t="str">
        <v>Persiapan Free Class (background zoom, template live report, tutup link form, reminder grup peserta, materi)</v>
      </c>
      <c r="D988" s="191" t="str">
        <v>Done</v>
      </c>
      <c r="E988" s="193"/>
    </row>
    <row r="989">
      <c r="A989" s="190"/>
      <c r="B989" s="179"/>
      <c r="C989" s="192" t="str">
        <v>Interview GIS Solution &amp; Content Intern</v>
      </c>
      <c r="D989" s="191" t="str">
        <v>Done</v>
      </c>
      <c r="E989" s="193" t="str">
        <v>- Dafa: 8/10
&gt; menjawab pertanyaan dengan baik (nyambung)
&gt; di Bandung, freshgrad, tidak terikat dengan internship/kegiatan apapun (jobseeker)
&gt; belum terbiasa nge handle sosmed secara langsung, tapi hasil risetnya menarik
&gt; platfrom yang dipake QGIS &amp; ArcGIS
- Phalosa 7/10
&gt; terlihat gugup, jadi jawaban yang aku tanyakan dijawab "sesingkatnya" 
&gt; Mahasiswa akhir yang baru mau ambil skripsi
- Kyla 8/10
&gt; semua pernyanyaanku dijawab diatas ekspektasi, mengeluarkan 2 ide menarik konten tanpa aku minta
&gt; kenal dengan sosmed tapi ga fasih
&gt; aktif, pernah berpengalaman dalam interview, inisiatif
&gt; sedang jadi asdos (wajib datang ke kampus setiap hari) dan anggota aktif di rohis
&gt; lebih paham ArcGIS daripada QGIS</v>
      </c>
    </row>
    <row r="990">
      <c r="A990" s="190"/>
      <c r="B990" s="179"/>
      <c r="C990" s="192"/>
      <c r="D990" s="191"/>
      <c r="E990" s="193"/>
    </row>
    <row r="991">
      <c r="A991" s="190"/>
      <c r="B991" s="179"/>
      <c r="C991" s="192"/>
      <c r="D991" s="191"/>
      <c r="E991" s="193"/>
    </row>
    <row r="992">
      <c r="A992" s="190"/>
      <c r="B992" s="191" t="str">
        <v>Annisa</v>
      </c>
      <c r="C992" s="192" t="str">
        <v>ngelengkapin draft guidelines, masukkin ke guidelines sheet (untuk general), menyambungkan dengan link2 asset nya</v>
      </c>
      <c r="D992" s="191" t="str">
        <v>Done</v>
      </c>
      <c r="E992" s="193"/>
    </row>
    <row r="993">
      <c r="A993" s="190"/>
      <c r="B993" s="191"/>
      <c r="C993" s="192" t="str">
        <v>MAPID CORPORATE TRAINING standard design (yang terlewatkan)</v>
      </c>
      <c r="D993" s="191" t="str">
        <v>Done</v>
      </c>
      <c r="E993" s="193"/>
    </row>
    <row r="994">
      <c r="A994" s="190"/>
      <c r="B994" s="191"/>
      <c r="C994" s="192" t="str" xml:space="preserve">
        <v>ngelanjutin totebag soalnya kemarin cuma selesai di notebook </v>
      </c>
      <c r="D994" s="191" t="str">
        <v>Done</v>
      </c>
      <c r="E994" s="193"/>
    </row>
    <row r="995">
      <c r="A995" s="190"/>
      <c r="B995" s="191"/>
      <c r="C995" s="192" t="str" xml:space="preserve">
        <v>edit video asset website - Device FORM </v>
      </c>
      <c r="D995" s="191" t="str">
        <v>Done</v>
      </c>
      <c r="E995" s="193"/>
    </row>
    <row r="996">
      <c r="A996" s="190"/>
      <c r="B996" s="191"/>
      <c r="C996" s="192"/>
      <c r="D996" s="191"/>
      <c r="E996" s="193"/>
    </row>
    <row r="997">
      <c r="A997" s="190"/>
      <c r="B997" s="194" t="str">
        <v>Lossa</v>
      </c>
      <c r="C997" s="192" t="str">
        <v>onboard gis pelindo</v>
      </c>
      <c r="D997" s="191" t="str">
        <v>Done</v>
      </c>
      <c r="E997" s="193"/>
    </row>
    <row r="998">
      <c r="A998" s="190"/>
      <c r="B998" s="194"/>
      <c r="C998" s="192" t="str">
        <v>kurasi koordinator pupuk</v>
      </c>
      <c r="D998" s="191" t="str">
        <v>Done</v>
      </c>
      <c r="E998" s="193"/>
    </row>
    <row r="999">
      <c r="A999" s="190"/>
      <c r="B999" s="194"/>
      <c r="C999" s="192" t="str">
        <v>harga modal pilot nabati</v>
      </c>
      <c r="D999" s="191" t="str">
        <v>Done</v>
      </c>
      <c r="E999" s="193"/>
    </row>
    <row r="1000">
      <c r="A1000" s="190"/>
      <c r="B1000" s="194"/>
      <c r="C1000" s="192"/>
      <c r="D1000" s="191"/>
      <c r="E1000" s="193"/>
    </row>
    <row r="1001">
      <c r="A1001" s="190"/>
      <c r="B1001" s="194"/>
      <c r="C1001" s="192"/>
      <c r="D1001" s="191"/>
      <c r="E1001" s="193"/>
    </row>
    <row r="1002">
      <c r="A1002" s="190"/>
      <c r="B1002" s="194" t="str">
        <v>Amel</v>
      </c>
      <c r="C1002" s="192" t="str">
        <v>Training Pengerukan</v>
      </c>
      <c r="D1002" s="191" t="str">
        <v>Done</v>
      </c>
      <c r="E1002" s="193"/>
    </row>
    <row r="1003">
      <c r="A1003" s="190"/>
      <c r="B1003" s="194"/>
      <c r="C1003" s="192"/>
      <c r="D1003" s="191"/>
      <c r="E1003" s="193"/>
    </row>
    <row r="1004">
      <c r="A1004" s="190"/>
      <c r="B1004" s="194"/>
      <c r="C1004" s="192"/>
      <c r="D1004" s="191"/>
      <c r="E1004" s="193"/>
    </row>
    <row r="1005">
      <c r="A1005" s="190"/>
      <c r="B1005" s="194"/>
      <c r="C1005" s="192"/>
      <c r="D1005" s="191"/>
      <c r="E1005" s="193"/>
    </row>
    <row r="1006">
      <c r="A1006" s="190"/>
      <c r="B1006" s="194"/>
      <c r="C1006" s="192"/>
      <c r="D1006" s="191"/>
      <c r="E1006" s="193"/>
    </row>
    <row r="1007">
      <c r="A1007" s="190"/>
      <c r="B1007" s="194" t="str">
        <v>Zhafran</v>
      </c>
      <c r="C1007" s="192" t="str">
        <v>Monitoring Demo Call</v>
      </c>
      <c r="D1007" s="191"/>
      <c r="E1007" s="193"/>
    </row>
    <row r="1008">
      <c r="A1008" s="190"/>
      <c r="B1008" s="194"/>
      <c r="C1008" s="192"/>
      <c r="D1008" s="191"/>
      <c r="E1008" s="193"/>
    </row>
    <row r="1009">
      <c r="A1009" s="190"/>
      <c r="B1009" s="194"/>
      <c r="C1009" s="192"/>
      <c r="D1009" s="191"/>
      <c r="E1009" s="193"/>
    </row>
    <row r="1010">
      <c r="A1010" s="190"/>
      <c r="B1010" s="194"/>
      <c r="C1010" s="192"/>
      <c r="D1010" s="191"/>
      <c r="E1010" s="193"/>
    </row>
    <row r="1011">
      <c r="A1011" s="190"/>
      <c r="B1011" s="194"/>
      <c r="C1011" s="192"/>
      <c r="D1011" s="191"/>
      <c r="E1011" s="193"/>
    </row>
    <row r="1012">
      <c r="A1012" s="190"/>
      <c r="B1012" s="179" t="str">
        <v>Hadi</v>
      </c>
      <c r="C1012" s="192" t="str">
        <v>Monitoring Business</v>
      </c>
      <c r="D1012" s="191" t="str">
        <v>Done</v>
      </c>
      <c r="E1012" s="193"/>
    </row>
    <row r="1013">
      <c r="A1013" s="190"/>
      <c r="B1013" s="179"/>
      <c r="C1013" s="192" t="str">
        <v>cicil b2b project list tahun2 sebelumnya</v>
      </c>
      <c r="D1013" s="191" t="str">
        <v>Done</v>
      </c>
      <c r="E1013" s="193"/>
    </row>
    <row r="1014">
      <c r="A1014" s="190"/>
      <c r="B1014" s="179"/>
      <c r="C1014" s="192" t="str">
        <v>Riset n8n whatsapp for automation sales</v>
      </c>
      <c r="D1014" s="191" t="str">
        <v>Done</v>
      </c>
      <c r="E1014" s="193"/>
    </row>
    <row r="1015">
      <c r="A1015" s="190"/>
      <c r="B1015" s="179"/>
      <c r="C1015" s="209" t="str">
        <v>Drafting Community Roadshow</v>
      </c>
      <c r="D1015" s="191" t="str">
        <v>Done</v>
      </c>
      <c r="E1015" s="193"/>
    </row>
    <row r="1016">
      <c r="A1016" s="190"/>
      <c r="B1016" s="179"/>
      <c r="C1016" s="192"/>
      <c r="D1016" s="191"/>
      <c r="E1016" s="193"/>
    </row>
    <row r="1017">
      <c r="A1017" s="190">
        <v>46066</v>
      </c>
      <c r="B1017" s="191" t="str">
        <v>Fariz</v>
      </c>
      <c r="C1017" s="192" t="str">
        <v>All Task Coordination</v>
      </c>
      <c r="D1017" s="191" t="str">
        <v>Done</v>
      </c>
      <c r="E1017" s="193"/>
    </row>
    <row r="1018">
      <c r="A1018" s="190"/>
      <c r="B1018" s="191"/>
      <c r="C1018" s="192" t="str">
        <v>Koordinasi Freelancer</v>
      </c>
      <c r="D1018" s="191" t="str">
        <v>Done</v>
      </c>
      <c r="E1018" s="193"/>
    </row>
    <row r="1019">
      <c r="A1019" s="190"/>
      <c r="B1019" s="191"/>
      <c r="C1019" s="192" t="str">
        <v>Materi Location Analytics</v>
      </c>
      <c r="D1019" s="191" t="str">
        <v>Done</v>
      </c>
      <c r="E1019" s="193"/>
    </row>
    <row r="1020">
      <c r="A1020" s="190"/>
      <c r="B1020" s="191"/>
      <c r="C1020" s="192"/>
      <c r="D1020" s="191"/>
      <c r="E1020" s="193"/>
    </row>
    <row r="1021">
      <c r="A1021" s="190"/>
      <c r="B1021" s="191"/>
      <c r="C1021" s="192"/>
      <c r="D1021" s="191"/>
      <c r="E1021" s="193"/>
    </row>
    <row r="1022">
      <c r="A1022" s="190"/>
      <c r="B1022" s="191" t="str">
        <v>Dwi</v>
      </c>
      <c r="C1022" s="192" t="str">
        <v>Wawancara</v>
      </c>
      <c r="D1022" s="191" t="str">
        <v>Done</v>
      </c>
      <c r="E1022" s="193"/>
    </row>
    <row r="1023">
      <c r="A1023" s="190"/>
      <c r="B1023" s="191"/>
      <c r="C1023" s="192" t="str">
        <v>Learning Operation</v>
      </c>
      <c r="D1023" s="191" t="str">
        <v>Done</v>
      </c>
      <c r="E1023" s="193"/>
    </row>
    <row r="1024">
      <c r="A1024" s="190"/>
      <c r="B1024" s="191"/>
      <c r="C1024" s="192"/>
      <c r="D1024" s="191"/>
      <c r="E1024" s="193"/>
    </row>
    <row r="1025">
      <c r="A1025" s="190"/>
      <c r="B1025" s="191"/>
      <c r="C1025" s="192"/>
      <c r="D1025" s="191"/>
      <c r="E1025" s="193"/>
    </row>
    <row r="1026">
      <c r="A1026" s="190"/>
      <c r="B1026" s="191"/>
      <c r="C1026" s="192"/>
      <c r="D1026" s="191"/>
      <c r="E1026" s="193"/>
    </row>
    <row r="1027">
      <c r="A1027" s="190"/>
      <c r="B1027" s="191"/>
      <c r="C1027" s="192"/>
      <c r="D1027" s="191"/>
      <c r="E1027" s="193"/>
    </row>
    <row r="1028">
      <c r="A1028" s="190"/>
      <c r="B1028" s="179" t="str">
        <v>Wina</v>
      </c>
      <c r="C1028" s="192" t="str">
        <v>Daily Content (newsletter, live report free class &amp; webgis)</v>
      </c>
      <c r="D1028" s="191" t="str">
        <v>Done</v>
      </c>
      <c r="E1028" s="193"/>
    </row>
    <row r="1029">
      <c r="A1029" s="190"/>
      <c r="B1029" s="179"/>
      <c r="C1029" s="192" t="str">
        <v>Event:
- Free Class (peak 52 peserta, 3/10 closing di waktu yang sama)
- MAPID Apps 
</v>
      </c>
      <c r="D1029" s="191" t="str">
        <v>Done</v>
      </c>
      <c r="E1029" s="193"/>
    </row>
    <row r="1030">
      <c r="A1030" s="190"/>
      <c r="B1030" s="179"/>
      <c r="C1030" s="192" t="str">
        <v>listing konten w3-w4 februari</v>
      </c>
      <c r="D1030" s="191" t="str">
        <v>Done</v>
      </c>
      <c r="E1030" s="193"/>
    </row>
    <row r="1031">
      <c r="A1031" s="190"/>
      <c r="B1031" s="179"/>
      <c r="C1031" s="192" t="str">
        <v>Interview GIS Solution &amp; creator intern</v>
      </c>
      <c r="D1031" s="191" t="str">
        <v>Done</v>
      </c>
      <c r="E1031" s="193" t="str">
        <v>best choice: Aisha 8/10
- penuh persiapan, santai tapi tetep kerasa tegangnya
- tanpa harus ditanya, dia ngejelasin apa yang aku mau tau
- pengalaman sedikit tentang sosmed, benari tampil di kamera
- tau gimana hal trend bisa dihubungkan dengan ilmu spasial
- terbiasa pake ArcGIS baru mau mulai GQIS
- lagi intern juga</v>
      </c>
    </row>
    <row r="1032">
      <c r="A1032" s="190"/>
      <c r="B1032" s="179"/>
      <c r="C1032" s="192" t="str">
        <v>Wa Sales &amp; Community</v>
      </c>
      <c r="D1032" s="191" t="str">
        <v>Done</v>
      </c>
      <c r="E1032" s="193" t="str">
        <v>Sales:
- Rendy Abdul: Masukin katalog GEO MAPID - Personal License (699000) (belum ada update)
- Ammarrosheed: MAPID Academy
- Joe Saputra Cafe Sukka: mau demo call, make sure kebutuhannya apa tapi belum ada feedback
- Galih Ndoro Reflexology: mau demo call juga, tapi pas ditanya kapan, belum ada respon
Community:
- Fiqhi: Kendala lokasi yang tidak akurat di FORM
- Selebihnya bertanya tentang personal license &amp; MAPID Academy</v>
      </c>
    </row>
    <row r="1033">
      <c r="A1033" s="190"/>
      <c r="B1033" s="191" t="str">
        <v>Annisa</v>
      </c>
      <c r="C1033" s="192" t="str">
        <v>LC MAPID ACADEMY LA</v>
      </c>
      <c r="D1033" s="191" t="str">
        <v>Done</v>
      </c>
      <c r="E1033" s="193"/>
    </row>
    <row r="1034">
      <c r="A1034" s="190"/>
      <c r="B1034" s="191"/>
      <c r="C1034" s="192"/>
      <c r="D1034" s="191"/>
      <c r="E1034" s="193"/>
    </row>
    <row r="1035">
      <c r="A1035" s="190"/>
      <c r="B1035" s="191"/>
      <c r="C1035" s="192"/>
      <c r="D1035" s="191"/>
      <c r="E1035" s="193"/>
    </row>
    <row r="1036">
      <c r="A1036" s="190"/>
      <c r="B1036" s="191"/>
      <c r="C1036" s="192"/>
      <c r="D1036" s="191"/>
      <c r="E1036" s="193"/>
    </row>
    <row r="1037">
      <c r="A1037" s="190"/>
      <c r="B1037" s="191"/>
      <c r="C1037" s="192"/>
      <c r="D1037" s="191"/>
      <c r="E1037" s="193"/>
    </row>
    <row r="1038">
      <c r="A1038" s="190"/>
      <c r="B1038" s="194" t="str">
        <v>Lossa</v>
      </c>
      <c r="C1038" s="192" t="str">
        <v>demo call PT Subagai Survei</v>
      </c>
      <c r="D1038" s="191" t="str">
        <v>Done</v>
      </c>
      <c r="E1038" s="193">
        <v>9.3</v>
      </c>
    </row>
    <row r="1039">
      <c r="A1039" s="190"/>
      <c r="B1039" s="194"/>
      <c r="C1039" s="192" t="str">
        <v>adjustment penawaran cimory</v>
      </c>
      <c r="D1039" s="191" t="str">
        <v>Done</v>
      </c>
      <c r="E1039" s="193"/>
    </row>
    <row r="1040">
      <c r="A1040" s="190"/>
      <c r="B1040" s="194"/>
      <c r="C1040" s="192"/>
      <c r="D1040" s="191"/>
      <c r="E1040" s="193"/>
    </row>
    <row r="1041">
      <c r="A1041" s="190"/>
      <c r="B1041" s="194"/>
      <c r="C1041" s="192"/>
      <c r="D1041" s="191"/>
      <c r="E1041" s="193"/>
    </row>
    <row r="1042">
      <c r="A1042" s="190"/>
      <c r="B1042" s="194"/>
      <c r="C1042" s="192"/>
      <c r="D1042" s="191"/>
      <c r="E1042" s="193"/>
    </row>
    <row r="1043">
      <c r="A1043" s="190"/>
      <c r="B1043" s="194" t="str">
        <v>Amel</v>
      </c>
      <c r="C1043" s="192" t="str">
        <v>deck astra world</v>
      </c>
      <c r="D1043" s="191" t="str">
        <v>Done</v>
      </c>
      <c r="E1043" s="193"/>
    </row>
    <row r="1044">
      <c r="A1044" s="190"/>
      <c r="B1044" s="194"/>
      <c r="C1044" s="192" t="str">
        <v>onboarding freelancer DSDA</v>
      </c>
      <c r="D1044" s="191" t="str">
        <v>Done</v>
      </c>
      <c r="E1044" s="193"/>
    </row>
    <row r="1045">
      <c r="A1045" s="190"/>
      <c r="B1045" s="194"/>
      <c r="C1045" s="192" t="str">
        <v>Discuss pricing Mandiri w/ tim data</v>
      </c>
      <c r="D1045" s="191" t="str">
        <v>Done</v>
      </c>
      <c r="E1045" s="193"/>
    </row>
    <row r="1046">
      <c r="A1046" s="190"/>
      <c r="B1046" s="194"/>
      <c r="C1046" s="192" t="str">
        <v>demo call Bagi Kopi</v>
      </c>
      <c r="D1046" s="191" t="str">
        <v>Done</v>
      </c>
      <c r="E1046" s="193"/>
    </row>
    <row r="1047">
      <c r="A1047" s="190"/>
      <c r="B1047" s="194"/>
      <c r="C1047" s="192"/>
      <c r="D1047" s="191"/>
      <c r="E1047" s="193"/>
    </row>
    <row r="1048">
      <c r="A1048" s="190"/>
      <c r="B1048" s="194" t="str">
        <v>Zhafran</v>
      </c>
      <c r="C1048" s="192" t="str">
        <v>Deck Astra World</v>
      </c>
      <c r="D1048" s="191" t="str">
        <v>Done</v>
      </c>
      <c r="E1048" s="193"/>
    </row>
    <row r="1049">
      <c r="A1049" s="190"/>
      <c r="B1049" s="194"/>
      <c r="C1049" s="192" t="str">
        <v>Demo Call Mba Nathania</v>
      </c>
      <c r="D1049" s="191" t="str">
        <v>Done</v>
      </c>
      <c r="E1049" s="193"/>
    </row>
    <row r="1050">
      <c r="A1050" s="190"/>
      <c r="B1050" s="194"/>
      <c r="C1050" s="192"/>
      <c r="D1050" s="191"/>
      <c r="E1050" s="193"/>
    </row>
    <row r="1051">
      <c r="A1051" s="190"/>
      <c r="B1051" s="194"/>
      <c r="C1051" s="192"/>
      <c r="D1051" s="191"/>
      <c r="E1051" s="193"/>
    </row>
    <row r="1052">
      <c r="A1052" s="190"/>
      <c r="B1052" s="194"/>
      <c r="C1052" s="192"/>
      <c r="D1052" s="191"/>
      <c r="E1052" s="193"/>
    </row>
    <row r="1053">
      <c r="A1053" s="190"/>
      <c r="B1053" s="179" t="str">
        <v>Hadi</v>
      </c>
      <c r="C1053" s="192" t="str">
        <v>Partnership SAIG UPI</v>
      </c>
      <c r="D1053" s="191" t="str">
        <v>Done</v>
      </c>
      <c r="E1053" s="193"/>
    </row>
    <row r="1054">
      <c r="A1054" s="190"/>
      <c r="B1054" s="179"/>
      <c r="C1054" s="192" t="str">
        <v>Weekly CRM + Dealership Aggreement</v>
      </c>
      <c r="D1054" s="191" t="str">
        <v>Done</v>
      </c>
      <c r="E1054" s="193"/>
    </row>
    <row r="1055">
      <c r="A1055" s="190"/>
      <c r="B1055" s="179"/>
      <c r="C1055" s="192"/>
      <c r="D1055" s="191"/>
      <c r="E1055" s="193"/>
    </row>
    <row r="1056">
      <c r="A1056" s="190"/>
      <c r="B1056" s="179"/>
      <c r="C1056" s="192"/>
      <c r="D1056" s="191"/>
      <c r="E1056" s="193"/>
    </row>
    <row r="1057">
      <c r="A1057" s="190"/>
      <c r="B1057" s="179"/>
      <c r="C1057" s="192"/>
      <c r="D1057" s="191"/>
      <c r="E1057" s="193"/>
    </row>
    <row r="1058">
      <c r="A1058" s="190">
        <v>46069</v>
      </c>
      <c r="B1058" s="191" t="str">
        <v>Fariz</v>
      </c>
      <c r="C1058" s="192" t="str">
        <v>[LOC] Evaluasi Materi Location Analytics</v>
      </c>
      <c r="D1058" s="191" t="str">
        <v>Done</v>
      </c>
      <c r="E1058" s="193" t="str">
        <v>10.30 - 12.00 | 12.30 - 14.00</v>
      </c>
    </row>
    <row r="1059">
      <c r="A1059" s="190"/>
      <c r="B1059" s="191"/>
      <c r="C1059" s="192" t="str">
        <v>[DLY] Koordinasi Freelance</v>
      </c>
      <c r="D1059" s="191" t="str">
        <v>Done</v>
      </c>
      <c r="E1059" s="193" t="str" xml:space="preserve">
        <v>14.00 -15.30 </v>
      </c>
    </row>
    <row r="1060">
      <c r="A1060" s="190"/>
      <c r="B1060" s="191"/>
      <c r="C1060" s="192"/>
      <c r="D1060" s="191"/>
      <c r="E1060" s="193"/>
    </row>
    <row r="1061">
      <c r="A1061" s="190"/>
      <c r="B1061" s="191"/>
      <c r="C1061" s="192"/>
      <c r="D1061" s="191"/>
      <c r="E1061" s="193"/>
    </row>
    <row r="1062">
      <c r="A1062" s="190"/>
      <c r="B1062" s="191"/>
      <c r="C1062" s="192"/>
      <c r="D1062" s="191"/>
      <c r="E1062" s="193"/>
    </row>
    <row r="1063">
      <c r="A1063" s="190"/>
      <c r="B1063" s="191" t="str">
        <v>Dwi</v>
      </c>
      <c r="C1063" s="192" t="str">
        <v>Setup ads - Location Analytics Batch 15</v>
      </c>
      <c r="D1063" s="191" t="str">
        <v>Done</v>
      </c>
      <c r="E1063" s="193"/>
    </row>
    <row r="1064">
      <c r="A1064" s="190"/>
      <c r="B1064" s="191"/>
      <c r="C1064" s="192" t="str" xml:space="preserve">
        <v>Konten ads sales - Location Analytics </v>
      </c>
      <c r="D1064" s="191" t="str">
        <v>Done</v>
      </c>
      <c r="E1064" s="193"/>
    </row>
    <row r="1065">
      <c r="A1065" s="190"/>
      <c r="B1065" s="191"/>
      <c r="C1065" s="192" t="str">
        <v>Update operasional growth</v>
      </c>
      <c r="D1065" s="191" t="str">
        <v>Done</v>
      </c>
      <c r="E1065" s="193"/>
    </row>
    <row r="1066">
      <c r="A1066" s="190"/>
      <c r="B1066" s="191"/>
      <c r="C1066" s="192"/>
      <c r="D1066" s="191"/>
      <c r="E1066" s="193"/>
    </row>
    <row r="1067">
      <c r="A1067" s="190"/>
      <c r="B1067" s="191"/>
      <c r="C1067" s="192"/>
      <c r="D1067" s="191"/>
      <c r="E1067" s="193"/>
    </row>
    <row r="1068">
      <c r="A1068" s="190"/>
      <c r="B1068" s="191"/>
      <c r="C1068" s="192"/>
      <c r="D1068" s="191"/>
      <c r="E1068" s="193"/>
    </row>
    <row r="1069">
      <c r="A1069" s="190"/>
      <c r="B1069" s="179" t="str">
        <v>Wina</v>
      </c>
      <c r="C1069" s="192" t="str">
        <v>content daily (WA Community)</v>
      </c>
      <c r="D1069" s="191" t="str">
        <v>Done</v>
      </c>
      <c r="E1069" s="193"/>
    </row>
    <row r="1070">
      <c r="A1070" s="190"/>
      <c r="B1070" s="179"/>
      <c r="C1070" s="192" t="str">
        <v>listing content week 3-4</v>
      </c>
      <c r="D1070" s="191" t="str">
        <v>Done</v>
      </c>
      <c r="E1070" s="193"/>
    </row>
    <row r="1071">
      <c r="A1071" s="190"/>
      <c r="B1071" s="179"/>
      <c r="C1071" s="192"/>
      <c r="D1071" s="191"/>
      <c r="E1071" s="193"/>
    </row>
    <row r="1072">
      <c r="A1072" s="190"/>
      <c r="B1072" s="179"/>
      <c r="C1072" s="192"/>
      <c r="D1072" s="191"/>
      <c r="E1072" s="193"/>
    </row>
    <row r="1073">
      <c r="A1073" s="190"/>
      <c r="B1073" s="179"/>
      <c r="C1073" s="192"/>
      <c r="D1073" s="191"/>
      <c r="E1073" s="193"/>
    </row>
    <row r="1074">
      <c r="A1074" s="190"/>
      <c r="B1074" s="191" t="str">
        <v>Annisa</v>
      </c>
      <c r="C1074" s="192"/>
      <c r="D1074" s="191"/>
      <c r="E1074" s="193"/>
    </row>
    <row r="1075">
      <c r="A1075" s="190"/>
      <c r="B1075" s="191"/>
      <c r="C1075" s="192" t="str">
        <v>CUTI</v>
      </c>
      <c r="D1075" s="191"/>
      <c r="E1075" s="193"/>
    </row>
    <row r="1076">
      <c r="A1076" s="190"/>
      <c r="B1076" s="191"/>
      <c r="C1076" s="192"/>
      <c r="D1076" s="191"/>
      <c r="E1076" s="193"/>
    </row>
    <row r="1077">
      <c r="A1077" s="190"/>
      <c r="B1077" s="191"/>
      <c r="C1077" s="192"/>
      <c r="D1077" s="191"/>
      <c r="E1077" s="193"/>
    </row>
    <row r="1078">
      <c r="A1078" s="190"/>
      <c r="B1078" s="191"/>
      <c r="C1078" s="192"/>
      <c r="D1078" s="191"/>
      <c r="E1078" s="193"/>
    </row>
    <row r="1079">
      <c r="A1079" s="190"/>
      <c r="B1079" s="194" t="str">
        <v>Lossa</v>
      </c>
      <c r="C1079" s="192" t="str">
        <v>define details hpp project pelindo</v>
      </c>
      <c r="D1079" s="191" t="str">
        <v>Done</v>
      </c>
      <c r="E1079" s="189" t="s">
        <v>375</v>
      </c>
    </row>
    <row r="1080">
      <c r="A1080" s="190"/>
      <c r="B1080" s="194"/>
      <c r="C1080" s="192" t="str">
        <v>fu pembayaran pupuk, adjust timeline</v>
      </c>
      <c r="D1080" s="191" t="str">
        <v>Done</v>
      </c>
      <c r="E1080" s="193"/>
    </row>
    <row r="1081">
      <c r="A1081" s="190"/>
      <c r="B1081" s="194"/>
      <c r="C1081" s="192" t="str">
        <v>testing form mapid apps survey pupuk</v>
      </c>
      <c r="D1081" s="191" t="str">
        <v>Done</v>
      </c>
      <c r="E1081" s="193"/>
    </row>
    <row r="1082">
      <c r="A1082" s="190"/>
      <c r="B1082" s="194"/>
      <c r="C1082" s="192"/>
      <c r="D1082" s="191"/>
      <c r="E1082" s="193"/>
    </row>
    <row r="1083">
      <c r="A1083" s="190"/>
      <c r="B1083" s="194"/>
      <c r="C1083" s="192"/>
      <c r="D1083" s="191"/>
      <c r="E1083" s="193"/>
    </row>
    <row r="1084">
      <c r="A1084" s="190"/>
      <c r="B1084" s="194" t="str">
        <v>Amel</v>
      </c>
      <c r="C1084" s="192" t="str">
        <v>update pricing survey Mandiri</v>
      </c>
      <c r="D1084" s="191" t="str">
        <v>Done</v>
      </c>
      <c r="E1084" s="189" t="s">
        <v>360</v>
      </c>
    </row>
    <row r="1085">
      <c r="A1085" s="190"/>
      <c r="B1085" s="194"/>
      <c r="C1085" s="192" t="str">
        <v>proposal Business Expansion Bagi Kopi</v>
      </c>
      <c r="D1085" s="191" t="str">
        <v>Done</v>
      </c>
      <c r="E1085" s="193"/>
    </row>
    <row r="1086">
      <c r="A1086" s="190"/>
      <c r="B1086" s="194"/>
      <c r="C1086" s="192" t="str">
        <v>update frd TAM</v>
      </c>
      <c r="D1086" s="191" t="str">
        <v>Done</v>
      </c>
      <c r="E1086" s="189" t="s">
        <v>358</v>
      </c>
    </row>
    <row r="1087">
      <c r="A1087" s="190"/>
      <c r="B1087" s="194"/>
      <c r="C1087" s="192"/>
      <c r="D1087" s="191"/>
      <c r="E1087" s="193"/>
    </row>
    <row r="1088">
      <c r="A1088" s="190"/>
      <c r="B1088" s="194"/>
      <c r="C1088" s="192"/>
      <c r="D1088" s="191"/>
      <c r="E1088" s="193"/>
    </row>
    <row r="1089">
      <c r="A1089" s="190"/>
      <c r="B1089" s="194" t="str">
        <v>Zhafran</v>
      </c>
      <c r="C1089" s="192" t="str">
        <v>Demo Call Bisnis Bengkel Novian</v>
      </c>
      <c r="D1089" s="191" t="str">
        <v>Done</v>
      </c>
      <c r="E1089" s="193" t="str">
        <v>Canceled. Reschedule</v>
      </c>
    </row>
    <row r="1090">
      <c r="A1090" s="190"/>
      <c r="B1090" s="194"/>
      <c r="C1090" s="192" t="str">
        <v>Weekly Status Report (01 - 14 Februari 2026)</v>
      </c>
      <c r="D1090" s="191" t="str">
        <v>Done</v>
      </c>
      <c r="E1090" s="193"/>
    </row>
    <row r="1091">
      <c r="A1091" s="190"/>
      <c r="B1091" s="194"/>
      <c r="C1091" s="192" t="str" xml:space="preserve">
        <v>Demo Call Ayu Ahmat </v>
      </c>
      <c r="D1091" s="191" t="str">
        <v>Done</v>
      </c>
      <c r="E1091" s="193"/>
    </row>
    <row r="1092">
      <c r="A1092" s="190"/>
      <c r="B1092" s="194"/>
      <c r="C1092" s="192"/>
      <c r="D1092" s="191"/>
      <c r="E1092" s="193"/>
    </row>
    <row r="1093">
      <c r="A1093" s="190"/>
      <c r="B1093" s="194"/>
      <c r="C1093" s="192"/>
      <c r="D1093" s="191"/>
      <c r="E1093" s="193"/>
    </row>
    <row r="1094">
      <c r="A1094" s="190"/>
      <c r="B1094" s="179" t="str">
        <v>Hadi</v>
      </c>
      <c r="C1094" s="192" t="str">
        <v>Monitoring Business (performance w2 feb 2026)</v>
      </c>
      <c r="D1094" s="191" t="str">
        <v>Done</v>
      </c>
      <c r="E1094" s="193"/>
    </row>
    <row r="1095">
      <c r="A1095" s="190"/>
      <c r="B1095" s="179"/>
      <c r="C1095" s="192" t="str">
        <v>set prioritas + koordinasi admin dashboard</v>
      </c>
      <c r="D1095" s="191" t="str">
        <v>Done</v>
      </c>
      <c r="E1095" s="193"/>
    </row>
    <row r="1096">
      <c r="A1096" s="190"/>
      <c r="B1096" s="179"/>
      <c r="C1096" s="192" t="str">
        <v>reporting b1 feb 2026</v>
      </c>
      <c r="D1096" s="191" t="str">
        <v>Done</v>
      </c>
      <c r="E1096" s="193"/>
    </row>
    <row r="1097">
      <c r="A1097" s="190"/>
      <c r="B1097" s="179"/>
      <c r="C1097" s="192" t="str">
        <v>Diskusi Dealership Agreement w/ sales &amp; legal</v>
      </c>
      <c r="D1097" s="191" t="str">
        <v>Done</v>
      </c>
      <c r="E1097" s="193"/>
    </row>
    <row r="1098">
      <c r="A1098" s="190"/>
      <c r="B1098" s="179"/>
      <c r="C1098" s="192"/>
      <c r="D1098" s="191"/>
      <c r="E1098" s="193"/>
    </row>
    <row r="1099">
      <c r="A1099" s="190">
        <v>46071</v>
      </c>
      <c r="B1099" s="191" t="str">
        <v>Fariz</v>
      </c>
      <c r="C1099" s="192" t="str">
        <v>[LOC] QC Materi Location Analytics</v>
      </c>
      <c r="D1099" s="191" t="str">
        <v>Done</v>
      </c>
      <c r="E1099" s="193"/>
    </row>
    <row r="1100">
      <c r="A1100" s="190"/>
      <c r="B1100" s="191"/>
      <c r="C1100" s="192" t="str">
        <v>[DLY] Interview Dafa - Learning Operation Intern</v>
      </c>
      <c r="D1100" s="191" t="str">
        <v>Done</v>
      </c>
      <c r="E1100" s="193"/>
    </row>
    <row r="1101">
      <c r="A1101" s="190"/>
      <c r="B1101" s="191"/>
      <c r="C1101" s="192" t="str">
        <v>[LMS] Nyicil Dokumen Laporan LMS Jumat</v>
      </c>
      <c r="D1101" s="191" t="str">
        <v>Done</v>
      </c>
      <c r="E1101" s="193"/>
    </row>
    <row r="1102">
      <c r="A1102" s="190"/>
      <c r="B1102" s="191"/>
      <c r="C1102" s="192"/>
      <c r="D1102" s="191"/>
      <c r="E1102" s="193"/>
    </row>
    <row r="1103">
      <c r="A1103" s="190"/>
      <c r="B1103" s="191"/>
      <c r="C1103" s="192"/>
      <c r="D1103" s="191"/>
      <c r="E1103" s="193"/>
    </row>
    <row r="1104">
      <c r="A1104" s="190"/>
      <c r="B1104" s="191" t="str">
        <v>Dwi</v>
      </c>
      <c r="C1104" s="192" t="str">
        <v>Flow Business Expansion</v>
      </c>
      <c r="D1104" s="191" t="str">
        <v>Done</v>
      </c>
      <c r="E1104" s="193"/>
    </row>
    <row r="1105">
      <c r="A1105" s="190"/>
      <c r="B1105" s="191"/>
      <c r="C1105" s="192" t="str">
        <v>Template Sales Business Expansion</v>
      </c>
      <c r="D1105" s="191" t="str">
        <v>Done</v>
      </c>
      <c r="E1105" s="193"/>
    </row>
    <row r="1106">
      <c r="A1106" s="190"/>
      <c r="B1106" s="191"/>
      <c r="C1106" s="192" t="str">
        <v>Playbook Freelance Business Expansion</v>
      </c>
      <c r="D1106" s="191" t="str">
        <v>Done</v>
      </c>
      <c r="E1106" s="193"/>
    </row>
    <row r="1107">
      <c r="A1107" s="190"/>
      <c r="B1107" s="191"/>
      <c r="C1107" s="192"/>
      <c r="D1107" s="191"/>
      <c r="E1107" s="193"/>
    </row>
    <row r="1108">
      <c r="A1108" s="190"/>
      <c r="B1108" s="191"/>
      <c r="C1108" s="192"/>
      <c r="D1108" s="191"/>
      <c r="E1108" s="193"/>
    </row>
    <row r="1109">
      <c r="A1109" s="190"/>
      <c r="B1109" s="191"/>
      <c r="C1109" s="192"/>
      <c r="D1109" s="191"/>
      <c r="E1109" s="193"/>
    </row>
    <row r="1110">
      <c r="A1110" s="190"/>
      <c r="B1110" s="179" t="str">
        <v>Wina</v>
      </c>
      <c r="C1110" s="192" t="str">
        <v>daily content (IG &amp; LinkedIn)</v>
      </c>
      <c r="D1110" s="191" t="str">
        <v>Done</v>
      </c>
      <c r="E1110" s="193"/>
    </row>
    <row r="1111">
      <c r="A1111" s="190"/>
      <c r="B1111" s="179"/>
      <c r="C1111" s="192" t="str" xml:space="preserve">
        <v>Pengumuman event fun data collection </v>
      </c>
      <c r="D1111" s="191" t="str">
        <v>Done</v>
      </c>
      <c r="E1111" s="193"/>
    </row>
    <row r="1112">
      <c r="A1112" s="190"/>
      <c r="B1112" s="179"/>
      <c r="C1112" s="192" t="str">
        <v>brief konten w3-w4</v>
      </c>
      <c r="D1112" s="191" t="str">
        <v>Done</v>
      </c>
      <c r="E1112" s="193"/>
    </row>
    <row r="1113">
      <c r="A1113" s="190"/>
      <c r="B1113" s="179"/>
      <c r="C1113" s="192" t="str">
        <v>sales produk</v>
      </c>
      <c r="D1113" s="191" t="str">
        <v>Done</v>
      </c>
      <c r="E1113" s="193"/>
    </row>
    <row r="1114">
      <c r="A1114" s="190"/>
      <c r="B1114" s="179"/>
      <c r="C1114" s="192"/>
      <c r="D1114" s="191"/>
      <c r="E1114" s="193"/>
    </row>
    <row r="1115">
      <c r="A1115" s="190"/>
      <c r="B1115" s="191" t="str">
        <v>Annisa</v>
      </c>
      <c r="C1115" s="192" t="str" xml:space="preserve">
        <v>Revisi Tote bag, Notebook </v>
      </c>
      <c r="D1115" s="191" t="str">
        <v>Done</v>
      </c>
      <c r="E1115" s="193" t="str">
        <v>karena menurutku kurang menarik jadi aku bikin ulang</v>
      </c>
    </row>
    <row r="1116">
      <c r="A1116" s="190"/>
      <c r="B1116" s="191"/>
      <c r="C1116" s="192" t="str" xml:space="preserve">
        <v>Marhaban ya Ramadhan konten </v>
      </c>
      <c r="D1116" s="191" t="str">
        <v>Done</v>
      </c>
      <c r="E1116" s="193"/>
    </row>
    <row r="1117">
      <c r="A1117" s="190"/>
      <c r="B1117" s="191"/>
      <c r="C1117" s="192" t="str">
        <v>Ngerapihin dokumen MAPID BRAND GUIDELINES</v>
      </c>
      <c r="D1117" s="191" t="str">
        <v>Done</v>
      </c>
      <c r="E1117" s="193"/>
    </row>
    <row r="1118">
      <c r="A1118" s="190"/>
      <c r="B1118" s="191"/>
      <c r="C1118" s="192"/>
      <c r="D1118" s="191"/>
      <c r="E1118" s="193"/>
    </row>
    <row r="1119">
      <c r="A1119" s="190"/>
      <c r="B1119" s="191"/>
      <c r="C1119" s="192"/>
      <c r="D1119" s="191"/>
      <c r="E1119" s="193"/>
    </row>
    <row r="1120">
      <c r="A1120" s="190"/>
      <c r="B1120" s="194" t="str">
        <v>Lossa</v>
      </c>
      <c r="C1120" s="192" t="str">
        <v>deck for mapid maps API services</v>
      </c>
      <c r="D1120" s="191" t="str">
        <v>Done</v>
      </c>
      <c r="E1120" s="193"/>
    </row>
    <row r="1121">
      <c r="A1121" s="190"/>
      <c r="B1121" s="194"/>
      <c r="C1121" s="192" t="str">
        <v>monitoring pelindo</v>
      </c>
      <c r="D1121" s="191" t="str">
        <v>Done</v>
      </c>
      <c r="E1121" s="189" t="s">
        <v>338</v>
      </c>
    </row>
    <row r="1122">
      <c r="A1122" s="190"/>
      <c r="B1122" s="194"/>
      <c r="C1122" s="192" t="str">
        <v>proposal teknis karlo</v>
      </c>
      <c r="D1122" s="191" t="str">
        <v>Done</v>
      </c>
      <c r="E1122" s="193"/>
    </row>
    <row r="1123">
      <c r="A1123" s="190"/>
      <c r="B1123" s="194"/>
      <c r="C1123" s="192" t="str">
        <v>fu prodia, nabati, pupuk, swc</v>
      </c>
      <c r="D1123" s="191" t="str">
        <v>Done</v>
      </c>
      <c r="E1123" s="189"/>
    </row>
    <row r="1124">
      <c r="A1124" s="190"/>
      <c r="B1124" s="194"/>
      <c r="C1124" s="192"/>
      <c r="D1124" s="191"/>
      <c r="E1124" s="193"/>
    </row>
    <row r="1125">
      <c r="A1125" s="190"/>
      <c r="B1125" s="194" t="str">
        <v>Amel</v>
      </c>
      <c r="C1125" s="192" t="str">
        <v>FRD Mandiri Survey</v>
      </c>
      <c r="D1125" s="191" t="str">
        <v>Done</v>
      </c>
      <c r="E1125" s="193"/>
    </row>
    <row r="1126">
      <c r="A1126" s="190"/>
      <c r="B1126" s="194"/>
      <c r="C1126" s="192" t="str">
        <v>Meeting DSDA dengan SA</v>
      </c>
      <c r="D1126" s="191" t="str">
        <v>Done</v>
      </c>
      <c r="E1126" s="193"/>
    </row>
    <row r="1127">
      <c r="A1127" s="190"/>
      <c r="B1127" s="194"/>
      <c r="C1127" s="192" t="str">
        <v>follow up API curah hujan &amp; kontrak (DSDA)</v>
      </c>
      <c r="D1127" s="191" t="str">
        <v>Done</v>
      </c>
      <c r="E1127" s="193"/>
    </row>
    <row r="1128">
      <c r="A1128" s="190"/>
      <c r="B1128" s="194"/>
      <c r="C1128" s="192"/>
      <c r="D1128" s="191"/>
      <c r="E1128" s="193"/>
    </row>
    <row r="1129">
      <c r="A1129" s="190"/>
      <c r="B1129" s="194"/>
      <c r="C1129" s="192"/>
      <c r="D1129" s="191"/>
      <c r="E1129" s="193"/>
    </row>
    <row r="1130">
      <c r="A1130" s="190"/>
      <c r="B1130" s="194" t="str">
        <v>Zhafran</v>
      </c>
      <c r="C1130" s="192" t="str">
        <v>FRD + Proposal Remala</v>
      </c>
      <c r="D1130" s="191" t="str">
        <v>Done</v>
      </c>
      <c r="E1130" s="193" t="str">
        <v>Pembuatan FRD dan Proposal Setelah dilaksanakannya meeting lanjuntan terkait kebutuhan</v>
      </c>
    </row>
    <row r="1131">
      <c r="A1131" s="190"/>
      <c r="B1131" s="194"/>
      <c r="C1131" s="192" t="str">
        <v>Demo Call jam 10</v>
      </c>
      <c r="D1131" s="191" t="str">
        <v>Done</v>
      </c>
      <c r="E1131" s="193" t="str" xml:space="preserve">
        <v>Personal </v>
      </c>
    </row>
    <row r="1132">
      <c r="A1132" s="190"/>
      <c r="B1132" s="194"/>
      <c r="C1132" s="192" t="str">
        <v>FU Hatta Putra Borneo</v>
      </c>
      <c r="D1132" s="191" t="str">
        <v>Done</v>
      </c>
      <c r="E1132" s="193"/>
    </row>
    <row r="1133">
      <c r="A1133" s="190"/>
      <c r="B1133" s="194"/>
      <c r="C1133" s="192"/>
      <c r="D1133" s="191"/>
      <c r="E1133" s="193"/>
    </row>
    <row r="1134">
      <c r="A1134" s="190"/>
      <c r="B1134" s="194"/>
      <c r="C1134" s="192"/>
      <c r="D1134" s="191"/>
      <c r="E1134" s="193"/>
    </row>
    <row r="1135">
      <c r="A1135" s="190"/>
      <c r="B1135" s="179" t="str">
        <v>Hadi</v>
      </c>
      <c r="C1135" s="192" t="str">
        <v>Monitoring Business</v>
      </c>
      <c r="D1135" s="191" t="str">
        <v>Done</v>
      </c>
      <c r="E1135" s="193"/>
    </row>
    <row r="1136">
      <c r="A1136" s="190"/>
      <c r="B1136" s="179"/>
      <c r="C1136" s="192" t="str">
        <v>Meeting Admin Dashboard</v>
      </c>
      <c r="D1136" s="191" t="str">
        <v>Done</v>
      </c>
      <c r="E1136" s="193"/>
    </row>
    <row r="1137">
      <c r="A1137" s="190"/>
      <c r="B1137" s="179"/>
      <c r="C1137" s="192" t="str">
        <v>Meeting DSDA Project</v>
      </c>
      <c r="D1137" s="191" t="str">
        <v>Done</v>
      </c>
      <c r="E1137" s="193"/>
    </row>
    <row r="1138">
      <c r="A1138" s="190"/>
      <c r="B1138" s="179"/>
      <c r="C1138" s="192" t="str">
        <v>others : reminder deck shareholders, cicil b2b project list, rnd automation</v>
      </c>
      <c r="D1138" s="191" t="str">
        <v>Done</v>
      </c>
      <c r="E1138" s="193"/>
    </row>
    <row r="1139">
      <c r="A1139" s="190"/>
      <c r="B1139" s="179"/>
      <c r="C1139" s="192"/>
      <c r="D1139" s="191"/>
      <c r="E1139" s="193"/>
    </row>
    <row r="1140">
      <c r="A1140" s="190">
        <v>46072</v>
      </c>
      <c r="B1140" s="191" t="str">
        <v>Fariz</v>
      </c>
      <c r="C1140" s="192" t="str">
        <v>[LMS] Update Dokumen untuk LMS</v>
      </c>
      <c r="D1140" s="191" t="str">
        <v>Done</v>
      </c>
      <c r="E1140" s="193"/>
    </row>
    <row r="1141">
      <c r="A1141" s="190"/>
      <c r="B1141" s="191"/>
      <c r="C1141" s="192" t="str">
        <v>[LOC] Persiapan H-2 Location Analytics</v>
      </c>
      <c r="D1141" s="191" t="str">
        <v>Done</v>
      </c>
      <c r="E1141" s="193"/>
    </row>
    <row r="1142">
      <c r="A1142" s="190"/>
      <c r="B1142" s="191"/>
      <c r="C1142" s="192" t="str">
        <v>[WGA] Operasional WebGIS</v>
      </c>
      <c r="D1142" s="191"/>
      <c r="E1142" s="193"/>
    </row>
    <row r="1143">
      <c r="A1143" s="190"/>
      <c r="B1143" s="191"/>
      <c r="C1143" s="192"/>
      <c r="D1143" s="191"/>
      <c r="E1143" s="193"/>
    </row>
    <row r="1144">
      <c r="A1144" s="190"/>
      <c r="B1144" s="191"/>
      <c r="C1144" s="192"/>
      <c r="D1144" s="191"/>
      <c r="E1144" s="193"/>
    </row>
    <row r="1145">
      <c r="A1145" s="190"/>
      <c r="B1145" s="191" t="str">
        <v>Dwi</v>
      </c>
      <c r="C1145" s="192" t="str">
        <v>Template Sales Business Expansion</v>
      </c>
      <c r="D1145" s="191" t="str">
        <v>Done</v>
      </c>
      <c r="E1145" s="193"/>
    </row>
    <row r="1146">
      <c r="A1146" s="190"/>
      <c r="B1146" s="191"/>
      <c r="C1146" s="192" t="str">
        <v>Playbook Freelance Business Expansion</v>
      </c>
      <c r="D1146" s="191" t="str">
        <v>Done</v>
      </c>
      <c r="E1146" s="193"/>
    </row>
    <row r="1147">
      <c r="A1147" s="190"/>
      <c r="B1147" s="191"/>
      <c r="C1147" s="192" t="str">
        <v>Report biweekly</v>
      </c>
      <c r="D1147" s="191"/>
      <c r="E1147" s="193"/>
    </row>
    <row r="1148">
      <c r="A1148" s="190"/>
      <c r="B1148" s="191"/>
      <c r="C1148" s="192" t="str">
        <v>Report Website</v>
      </c>
      <c r="D1148" s="191"/>
      <c r="E1148" s="193"/>
    </row>
    <row r="1149">
      <c r="A1149" s="190"/>
      <c r="B1149" s="191"/>
      <c r="C1149" s="192"/>
      <c r="D1149" s="191"/>
      <c r="E1149" s="193"/>
    </row>
    <row r="1150">
      <c r="A1150" s="190"/>
      <c r="B1150" s="191"/>
      <c r="C1150" s="192"/>
      <c r="D1150" s="191"/>
      <c r="E1150" s="193"/>
    </row>
    <row r="1151">
      <c r="A1151" s="190"/>
      <c r="B1151" s="179" t="str">
        <v>Wina</v>
      </c>
      <c r="C1151" s="192"/>
      <c r="D1151" s="191"/>
      <c r="E1151" s="193"/>
    </row>
    <row r="1152">
      <c r="A1152" s="190"/>
      <c r="B1152" s="179"/>
      <c r="C1152" s="192"/>
      <c r="D1152" s="191"/>
      <c r="E1152" s="193"/>
    </row>
    <row r="1153">
      <c r="A1153" s="190"/>
      <c r="B1153" s="179"/>
      <c r="C1153" s="192"/>
      <c r="D1153" s="191"/>
      <c r="E1153" s="193"/>
    </row>
    <row r="1154">
      <c r="A1154" s="190"/>
      <c r="B1154" s="179"/>
      <c r="C1154" s="192"/>
      <c r="D1154" s="191"/>
      <c r="E1154" s="193"/>
    </row>
    <row r="1155">
      <c r="A1155" s="190"/>
      <c r="B1155" s="179"/>
      <c r="C1155" s="192"/>
      <c r="D1155" s="191"/>
      <c r="E1155" s="193"/>
    </row>
    <row r="1156">
      <c r="A1156" s="190"/>
      <c r="B1156" s="191" t="str">
        <v>Annisa</v>
      </c>
      <c r="C1156" s="192"/>
      <c r="D1156" s="191"/>
      <c r="E1156" s="193"/>
    </row>
    <row r="1157">
      <c r="A1157" s="190"/>
      <c r="B1157" s="191"/>
      <c r="C1157" s="192"/>
      <c r="D1157" s="191"/>
      <c r="E1157" s="193"/>
    </row>
    <row r="1158">
      <c r="A1158" s="190"/>
      <c r="B1158" s="191"/>
      <c r="C1158" s="192"/>
      <c r="D1158" s="191"/>
      <c r="E1158" s="193"/>
    </row>
    <row r="1159">
      <c r="A1159" s="190"/>
      <c r="B1159" s="191"/>
      <c r="C1159" s="192"/>
      <c r="D1159" s="191"/>
      <c r="E1159" s="193"/>
    </row>
    <row r="1160">
      <c r="A1160" s="190"/>
      <c r="B1160" s="191"/>
      <c r="C1160" s="192"/>
      <c r="D1160" s="191"/>
      <c r="E1160" s="193"/>
    </row>
    <row r="1161">
      <c r="A1161" s="190"/>
      <c r="B1161" s="194" t="str">
        <v>Lossa</v>
      </c>
      <c r="C1161" s="192" t="str">
        <v>democall monopana (bakery sourdough surabaya)</v>
      </c>
      <c r="D1161" s="191" t="str">
        <v>Done</v>
      </c>
      <c r="E1161" s="193" t="str">
        <v>9.00 - 15 menit kg join (dh dichat dan di email)</v>
      </c>
    </row>
    <row r="1162">
      <c r="A1162" s="190"/>
      <c r="B1162" s="194"/>
      <c r="C1162" s="192" t="str">
        <v>feasibility check</v>
      </c>
      <c r="D1162" s="191" t="str">
        <v>Done</v>
      </c>
      <c r="E1162" s="189">
        <v>10.3</v>
      </c>
    </row>
    <row r="1163">
      <c r="A1163" s="190"/>
      <c r="B1163" s="194"/>
      <c r="C1163" s="192" t="str">
        <v>define teknis nabati</v>
      </c>
      <c r="D1163" s="191" t="str">
        <v>Done</v>
      </c>
      <c r="E1163" s="193" t="s">
        <v>371</v>
      </c>
    </row>
    <row r="1164">
      <c r="A1164" s="190"/>
      <c r="B1164" s="194"/>
      <c r="C1164" s="192"/>
      <c r="D1164" s="191"/>
      <c r="E1164" s="189"/>
    </row>
    <row r="1165">
      <c r="A1165" s="190"/>
      <c r="B1165" s="194"/>
      <c r="C1165" s="192"/>
      <c r="D1165" s="191"/>
      <c r="E1165" s="193"/>
    </row>
    <row r="1166">
      <c r="A1166" s="190"/>
      <c r="B1166" s="194" t="str">
        <v>Amel</v>
      </c>
      <c r="C1166" s="192" t="str">
        <v>meeting feasibility check</v>
      </c>
      <c r="D1166" s="191" t="str">
        <v>Done</v>
      </c>
      <c r="E1166" s="193"/>
    </row>
    <row r="1167">
      <c r="A1167" s="190"/>
      <c r="B1167" s="194"/>
      <c r="C1167" s="192" t="str">
        <v>demo call (Ardhito ZNT)</v>
      </c>
      <c r="D1167" s="191" t="str">
        <v>Done</v>
      </c>
      <c r="E1167" s="193"/>
    </row>
    <row r="1168">
      <c r="A1168" s="190"/>
      <c r="B1168" s="194"/>
      <c r="C1168" s="192" t="str">
        <v>explore 3D view Dinas cipta karya</v>
      </c>
      <c r="D1168" s="191" t="str">
        <v>Done</v>
      </c>
      <c r="E1168" s="193"/>
    </row>
    <row r="1169">
      <c r="A1169" s="190"/>
      <c r="B1169" s="194"/>
      <c r="C1169" s="192" t="str">
        <v>deck TAM</v>
      </c>
      <c r="D1169" s="191" t="str">
        <v>Done</v>
      </c>
      <c r="E1169" s="193"/>
    </row>
    <row r="1170">
      <c r="A1170" s="190"/>
      <c r="B1170" s="194"/>
      <c r="C1170" s="192"/>
      <c r="D1170" s="191"/>
      <c r="E1170" s="193"/>
    </row>
    <row r="1171">
      <c r="A1171" s="190"/>
      <c r="B1171" s="194" t="str">
        <v>Zhafran</v>
      </c>
      <c r="C1171" s="192" t="str">
        <v>Meeting FC</v>
      </c>
      <c r="D1171" s="191" t="str">
        <v>Done</v>
      </c>
      <c r="E1171" s="193"/>
    </row>
    <row r="1172">
      <c r="A1172" s="190"/>
      <c r="B1172" s="194"/>
      <c r="C1172" s="192" t="str">
        <v>FU Demo Call</v>
      </c>
      <c r="D1172" s="191" t="str">
        <v>Done</v>
      </c>
      <c r="E1172" s="193"/>
    </row>
    <row r="1173">
      <c r="A1173" s="190"/>
      <c r="B1173" s="194"/>
      <c r="C1173" s="192" t="str">
        <v>Demo Call Ardhito</v>
      </c>
      <c r="D1173" s="191" t="str">
        <v>Done</v>
      </c>
      <c r="E1173" s="193"/>
    </row>
    <row r="1174">
      <c r="A1174" s="190"/>
      <c r="B1174" s="194"/>
      <c r="C1174" s="192"/>
      <c r="D1174" s="191"/>
      <c r="E1174" s="193"/>
    </row>
    <row r="1175">
      <c r="A1175" s="190"/>
      <c r="B1175" s="194"/>
      <c r="C1175" s="192"/>
      <c r="D1175" s="191"/>
      <c r="E1175" s="193"/>
    </row>
    <row r="1176">
      <c r="A1176" s="190"/>
      <c r="B1176" s="179" t="str">
        <v>Hadi</v>
      </c>
      <c r="C1176" s="192" t="str">
        <v>Monitoring Business</v>
      </c>
      <c r="D1176" s="191" t="str">
        <v>Done</v>
      </c>
      <c r="E1176" s="193"/>
    </row>
    <row r="1177">
      <c r="A1177" s="190"/>
      <c r="B1177" s="179"/>
      <c r="C1177" s="192" t="str">
        <v>Cicil b2b project list under 2024</v>
      </c>
      <c r="D1177" s="191" t="str">
        <v>Done</v>
      </c>
      <c r="E1177" s="193"/>
    </row>
    <row r="1178">
      <c r="A1178" s="190"/>
      <c r="B1178" s="179"/>
      <c r="C1178" s="192" t="str">
        <v>drafting dashboard business (b2b &amp; b2c)</v>
      </c>
      <c r="D1178" s="191" t="str">
        <v>Done</v>
      </c>
      <c r="E1178" s="193"/>
    </row>
    <row r="1179">
      <c r="A1179" s="190"/>
      <c r="B1179" s="179"/>
      <c r="C1179" s="192" t="str">
        <v>Meeting Feasibility Check</v>
      </c>
      <c r="D1179" s="191" t="str">
        <v>Done</v>
      </c>
      <c r="E1179" s="193"/>
    </row>
    <row r="1180">
      <c r="A1180" s="190"/>
      <c r="B1180" s="179"/>
      <c r="C1180" s="192"/>
      <c r="D1180" s="191"/>
      <c r="E1180" s="193"/>
    </row>
    <row r="1181">
      <c r="A1181" s="190">
        <v>46073</v>
      </c>
      <c r="B1181" s="191" t="str">
        <v>Fariz</v>
      </c>
      <c r="C1181" s="192" t="str" xml:space="preserve">
        <v>[LOC] Persiapan Full H-1 Location Analytics </v>
      </c>
      <c r="D1181" s="191" t="str">
        <v>Done</v>
      </c>
      <c r="E1181" s="193"/>
    </row>
    <row r="1182">
      <c r="A1182" s="190"/>
      <c r="B1182" s="191"/>
      <c r="C1182" s="192" t="str">
        <v>[WGA] Persiapan WebGIS Weekend</v>
      </c>
      <c r="D1182" s="191" t="str">
        <v>Done</v>
      </c>
      <c r="E1182" s="193"/>
    </row>
    <row r="1183">
      <c r="A1183" s="190"/>
      <c r="B1183" s="191"/>
      <c r="C1183" s="192" t="str">
        <v>[LMS] Meeting LMS</v>
      </c>
      <c r="D1183" s="191" t="str">
        <v>Done</v>
      </c>
      <c r="E1183" s="193"/>
    </row>
    <row r="1184">
      <c r="A1184" s="190"/>
      <c r="B1184" s="191"/>
      <c r="C1184" s="192"/>
      <c r="D1184" s="191"/>
      <c r="E1184" s="193"/>
    </row>
    <row r="1185">
      <c r="A1185" s="190"/>
      <c r="B1185" s="191"/>
      <c r="C1185" s="192"/>
      <c r="D1185" s="191"/>
      <c r="E1185" s="193"/>
    </row>
    <row r="1186">
      <c r="A1186" s="190"/>
      <c r="B1186" s="191" t="str">
        <v>Dwi</v>
      </c>
      <c r="C1186" s="210" t="str">
        <v>Evaluate flow &amp; sales strategy</v>
      </c>
      <c r="D1186" s="191" t="str">
        <v>Done</v>
      </c>
      <c r="E1186" s="193"/>
    </row>
    <row r="1187">
      <c r="A1187" s="190"/>
      <c r="B1187" s="191"/>
      <c r="C1187" s="210" t="str">
        <v>Recap MAPID Academy Location Analytics</v>
      </c>
      <c r="D1187" s="191" t="str">
        <v>Done</v>
      </c>
      <c r="E1187" s="193"/>
    </row>
    <row r="1188">
      <c r="A1188" s="190"/>
      <c r="B1188" s="191"/>
      <c r="C1188" s="192"/>
      <c r="D1188" s="191"/>
      <c r="E1188" s="193"/>
    </row>
    <row r="1189">
      <c r="A1189" s="190"/>
      <c r="B1189" s="191"/>
      <c r="C1189" s="210"/>
      <c r="D1189" s="191"/>
      <c r="E1189" s="193"/>
    </row>
    <row r="1190">
      <c r="A1190" s="190"/>
      <c r="B1190" s="191"/>
      <c r="C1190" s="192"/>
      <c r="D1190" s="191"/>
      <c r="E1190" s="193"/>
    </row>
    <row r="1191">
      <c r="A1191" s="190"/>
      <c r="B1191" s="191"/>
      <c r="C1191" s="192"/>
      <c r="D1191" s="191"/>
      <c r="E1191" s="193"/>
    </row>
    <row r="1192">
      <c r="A1192" s="190"/>
      <c r="B1192" s="179" t="str">
        <v>Wina</v>
      </c>
      <c r="C1192" s="192" t="str">
        <v>Daily content (WA Community, Igs)</v>
      </c>
      <c r="D1192" s="191" t="str">
        <v>Done</v>
      </c>
      <c r="E1192" s="193"/>
    </row>
    <row r="1193">
      <c r="A1193" s="190"/>
      <c r="B1193" s="179"/>
      <c r="C1193" s="192" t="str">
        <v>Listing content W3-W4</v>
      </c>
      <c r="D1193" s="191" t="str">
        <v>Done</v>
      </c>
      <c r="E1193" s="193"/>
    </row>
    <row r="1194">
      <c r="A1194" s="190"/>
      <c r="B1194" s="179"/>
      <c r="C1194" s="192" t="str">
        <v>Sales WA</v>
      </c>
      <c r="D1194" s="191" t="str">
        <v>Done</v>
      </c>
      <c r="E1194" s="193"/>
    </row>
    <row r="1195">
      <c r="A1195" s="190"/>
      <c r="B1195" s="179"/>
      <c r="C1195" s="192" t="str">
        <v>Recap BWeekly</v>
      </c>
      <c r="D1195" s="191" t="str">
        <v>Done</v>
      </c>
      <c r="E1195" s="193"/>
    </row>
    <row r="1196">
      <c r="A1196" s="190"/>
      <c r="B1196" s="179"/>
      <c r="C1196" s="192"/>
      <c r="D1196" s="191"/>
      <c r="E1196" s="193"/>
    </row>
    <row r="1197">
      <c r="A1197" s="190"/>
      <c r="B1197" s="191" t="str">
        <v>Annisa</v>
      </c>
      <c r="C1197" s="192"/>
      <c r="D1197" s="191"/>
      <c r="E1197" s="193"/>
    </row>
    <row r="1198">
      <c r="A1198" s="190"/>
      <c r="B1198" s="191"/>
      <c r="C1198" s="192"/>
      <c r="D1198" s="191"/>
      <c r="E1198" s="193"/>
    </row>
    <row r="1199">
      <c r="A1199" s="190"/>
      <c r="B1199" s="191"/>
      <c r="C1199" s="192"/>
      <c r="D1199" s="191"/>
      <c r="E1199" s="193"/>
    </row>
    <row r="1200">
      <c r="A1200" s="190"/>
      <c r="B1200" s="191"/>
      <c r="C1200" s="192"/>
      <c r="D1200" s="191"/>
      <c r="E1200" s="193"/>
    </row>
    <row r="1201">
      <c r="A1201" s="190"/>
      <c r="B1201" s="191"/>
      <c r="C1201" s="192"/>
      <c r="D1201" s="191"/>
      <c r="E1201" s="193"/>
    </row>
    <row r="1202">
      <c r="A1202" s="190"/>
      <c r="B1202" s="194" t="str">
        <v>Lossa</v>
      </c>
      <c r="C1202" s="192" t="str">
        <v>meeting pelindo</v>
      </c>
      <c r="D1202" s="191" t="str">
        <v>Done</v>
      </c>
      <c r="E1202" s="193">
        <v>9</v>
      </c>
    </row>
    <row r="1203">
      <c r="A1203" s="190"/>
      <c r="B1203" s="194"/>
      <c r="C1203" s="192" t="str">
        <v>meeting nabati</v>
      </c>
      <c r="D1203" s="191" t="str">
        <v>Done</v>
      </c>
      <c r="E1203" s="189" t="str">
        <v>w sales: 10.30
w data: 14.00</v>
      </c>
    </row>
    <row r="1204">
      <c r="A1204" s="190"/>
      <c r="B1204" s="194"/>
      <c r="C1204" s="192"/>
      <c r="D1204" s="191"/>
      <c r="E1204" s="189"/>
    </row>
    <row r="1205">
      <c r="A1205" s="190"/>
      <c r="B1205" s="194"/>
      <c r="C1205" s="192"/>
      <c r="D1205" s="191"/>
      <c r="E1205" s="193"/>
    </row>
    <row r="1206">
      <c r="A1206" s="190"/>
      <c r="B1206" s="194" t="str">
        <v>Amel</v>
      </c>
      <c r="C1206" s="192" t="str" xml:space="preserve">
        <v>Monitoring dev DSDA </v>
      </c>
      <c r="D1206" s="191" t="str">
        <v>Done</v>
      </c>
      <c r="E1206" s="193"/>
    </row>
    <row r="1207">
      <c r="A1207" s="190"/>
      <c r="B1207" s="194"/>
      <c r="C1207" s="192" t="str">
        <v>Menyiapkan dokumen pembayaran KAI</v>
      </c>
      <c r="D1207" s="191" t="str">
        <v>Done</v>
      </c>
      <c r="E1207" s="193"/>
    </row>
    <row r="1208">
      <c r="A1208" s="190"/>
      <c r="B1208" s="194"/>
      <c r="C1208" s="192" t="str">
        <v>quick meeting roemah koffie</v>
      </c>
      <c r="D1208" s="191" t="str">
        <v>Done</v>
      </c>
      <c r="E1208" s="193"/>
    </row>
    <row r="1209">
      <c r="A1209" s="190"/>
      <c r="B1209" s="194"/>
      <c r="C1209" s="192" t="str">
        <v>proposal dan pricing roemah koffie</v>
      </c>
      <c r="D1209" s="191" t="str">
        <v>Done</v>
      </c>
      <c r="E1209" s="193"/>
    </row>
    <row r="1210">
      <c r="A1210" s="190"/>
      <c r="B1210" s="194"/>
      <c r="C1210" s="192"/>
      <c r="D1210" s="191"/>
      <c r="E1210" s="193"/>
    </row>
    <row r="1211">
      <c r="A1211" s="190"/>
      <c r="B1211" s="194" t="str">
        <v>Zhafran</v>
      </c>
      <c r="C1211" s="192" t="str">
        <v>Demo Call senikersku</v>
      </c>
      <c r="D1211" s="191" t="str">
        <v>Done</v>
      </c>
      <c r="E1211" s="193"/>
    </row>
    <row r="1212">
      <c r="A1212" s="190"/>
      <c r="B1212" s="194"/>
      <c r="C1212" s="192" t="str">
        <v>Pembuatan Proposal Senikersku</v>
      </c>
      <c r="D1212" s="191" t="str">
        <v>Done</v>
      </c>
      <c r="E1212" s="193"/>
    </row>
    <row r="1213">
      <c r="A1213" s="190"/>
      <c r="B1213" s="194"/>
      <c r="C1213" s="192"/>
      <c r="D1213" s="191"/>
      <c r="E1213" s="193"/>
    </row>
    <row r="1214">
      <c r="A1214" s="190"/>
      <c r="B1214" s="194"/>
      <c r="C1214" s="192"/>
      <c r="D1214" s="191"/>
      <c r="E1214" s="193"/>
    </row>
    <row r="1215">
      <c r="A1215" s="190"/>
      <c r="B1215" s="194"/>
      <c r="C1215" s="192"/>
      <c r="D1215" s="191"/>
      <c r="E1215" s="193"/>
    </row>
    <row r="1216">
      <c r="A1216" s="190"/>
      <c r="B1216" s="179" t="str">
        <v>Hadi</v>
      </c>
      <c r="C1216" s="192" t="str">
        <v>Monitoring Business</v>
      </c>
      <c r="D1216" s="191" t="str">
        <v>Done</v>
      </c>
      <c r="E1216" s="193"/>
    </row>
    <row r="1217">
      <c r="A1217" s="190"/>
      <c r="B1217" s="179"/>
      <c r="C1217" s="192" t="str">
        <v>Meeting Partners</v>
      </c>
      <c r="D1217" s="191" t="str">
        <v>Done</v>
      </c>
      <c r="E1217" s="193"/>
    </row>
    <row r="1218">
      <c r="A1218" s="190"/>
      <c r="B1218" s="179"/>
      <c r="C1218" s="192" t="str">
        <v>drafting dashboard business (b2b &amp; b2c)</v>
      </c>
      <c r="D1218" s="191" t="str">
        <v>Done</v>
      </c>
      <c r="E1218" s="193"/>
    </row>
    <row r="1219">
      <c r="A1219" s="190"/>
      <c r="B1219" s="179"/>
      <c r="C1219" s="192" t="str">
        <v>Meeting LMS</v>
      </c>
      <c r="D1219" s="191" t="str">
        <v>Done</v>
      </c>
      <c r="E1219" s="193"/>
    </row>
    <row r="1220">
      <c r="A1220" s="190"/>
      <c r="B1220" s="179"/>
      <c r="C1220" s="192"/>
      <c r="D1220" s="191"/>
      <c r="E1220" s="193"/>
    </row>
    <row r="1221">
      <c r="A1221" s="190">
        <v>46076</v>
      </c>
      <c r="B1221" s="191" t="str">
        <v>Fariz</v>
      </c>
      <c r="C1221" s="192" t="str">
        <v>[DLY] Koordinasi Freelancer</v>
      </c>
      <c r="D1221" s="191" t="str">
        <v>Done</v>
      </c>
      <c r="E1221" s="193"/>
    </row>
    <row r="1222">
      <c r="A1222" s="190"/>
      <c r="B1222" s="191"/>
      <c r="C1222" s="192" t="str">
        <v>[CTR] Proposal Permata Bank</v>
      </c>
      <c r="D1222" s="191" t="str">
        <v>Done</v>
      </c>
      <c r="E1222" s="193"/>
    </row>
    <row r="1223">
      <c r="A1223" s="190"/>
      <c r="B1223" s="191"/>
      <c r="C1223" s="192"/>
      <c r="D1223" s="191"/>
      <c r="E1223" s="193"/>
    </row>
    <row r="1224">
      <c r="A1224" s="190"/>
      <c r="B1224" s="191"/>
      <c r="C1224" s="192"/>
      <c r="D1224" s="191"/>
      <c r="E1224" s="193"/>
    </row>
    <row r="1225">
      <c r="A1225" s="190"/>
      <c r="B1225" s="191"/>
      <c r="C1225" s="192"/>
      <c r="D1225" s="191"/>
      <c r="E1225" s="193"/>
    </row>
    <row r="1226">
      <c r="A1226" s="190"/>
      <c r="B1226" s="191" t="str">
        <v>Dwi</v>
      </c>
      <c r="C1226" s="192" t="str" xml:space="preserve">
        <v> filtering business expansion</v>
      </c>
      <c r="D1226" s="191" t="str">
        <v>Done</v>
      </c>
      <c r="E1226" s="193"/>
    </row>
    <row r="1227">
      <c r="A1227" s="190"/>
      <c r="B1227" s="191"/>
      <c r="C1227" s="192" t="str">
        <v>Update progress revenue</v>
      </c>
      <c r="D1227" s="191" t="str">
        <v>Done</v>
      </c>
      <c r="E1227" s="193"/>
    </row>
    <row r="1228">
      <c r="A1228" s="190"/>
      <c r="B1228" s="191"/>
      <c r="C1228" s="192" t="str">
        <v>progress deck nurturing leads Business Expansion</v>
      </c>
      <c r="D1228" s="191" t="str">
        <v>Done</v>
      </c>
      <c r="E1228" s="193"/>
    </row>
    <row r="1229">
      <c r="A1229" s="190"/>
      <c r="B1229" s="191"/>
      <c r="C1229" s="192"/>
      <c r="D1229" s="191"/>
      <c r="E1229" s="193"/>
    </row>
    <row r="1230">
      <c r="A1230" s="190"/>
      <c r="B1230" s="191"/>
      <c r="C1230" s="192"/>
      <c r="D1230" s="191"/>
      <c r="E1230" s="193"/>
    </row>
    <row r="1231">
      <c r="A1231" s="190"/>
      <c r="B1231" s="191"/>
      <c r="C1231" s="192"/>
      <c r="D1231" s="191"/>
      <c r="E1231" s="193"/>
    </row>
    <row r="1232">
      <c r="A1232" s="190"/>
      <c r="B1232" s="179" t="str">
        <v>Wina</v>
      </c>
      <c r="C1232" s="192" t="str">
        <v>Daily Content (WA Community)</v>
      </c>
      <c r="D1232" s="191" t="str">
        <v>Done</v>
      </c>
      <c r="E1232" s="193"/>
    </row>
    <row r="1233">
      <c r="A1233" s="190"/>
      <c r="B1233" s="179"/>
      <c r="C1233" s="192" t="str">
        <v>Listing content W3-W4</v>
      </c>
      <c r="D1233" s="191" t="str">
        <v>Done</v>
      </c>
      <c r="E1233" s="193" t="str">
        <v>lanjut besok</v>
      </c>
    </row>
    <row r="1234">
      <c r="A1234" s="190"/>
      <c r="B1234" s="179"/>
      <c r="C1234" s="192" t="str">
        <v>Calender Plan Sosmed &amp; Community</v>
      </c>
      <c r="D1234" s="191" t="str">
        <v>Done</v>
      </c>
      <c r="E1234" s="193" t="str">
        <v>lanjut besok</v>
      </c>
    </row>
    <row r="1235">
      <c r="A1235" s="190"/>
      <c r="B1235" s="179"/>
      <c r="C1235" s="192" t="str">
        <v>WA Sales</v>
      </c>
      <c r="D1235" s="191" t="str">
        <v>Done</v>
      </c>
      <c r="E1235" s="193"/>
    </row>
    <row r="1236">
      <c r="A1236" s="190"/>
      <c r="B1236" s="179"/>
      <c r="C1236" s="192"/>
      <c r="D1236" s="191"/>
      <c r="E1236" s="193"/>
    </row>
    <row r="1237">
      <c r="A1237" s="190"/>
      <c r="B1237" s="191" t="str">
        <v>Annisa</v>
      </c>
      <c r="C1237" s="192" t="str">
        <v>revisi tote bag</v>
      </c>
      <c r="D1237" s="191" t="str">
        <v>Done</v>
      </c>
      <c r="E1237" s="193"/>
    </row>
    <row r="1238">
      <c r="A1238" s="190"/>
      <c r="B1238" s="191"/>
      <c r="C1238" s="192" t="str" xml:space="preserve">
        <v>revisi note book </v>
      </c>
      <c r="D1238" s="191" t="str">
        <v>Done</v>
      </c>
      <c r="E1238" s="193"/>
    </row>
    <row r="1239">
      <c r="A1239" s="190"/>
      <c r="B1239" s="191"/>
      <c r="C1239" s="192" t="str" xml:space="preserve">
        <v>lanjutin brand guidlines </v>
      </c>
      <c r="D1239" s="191" t="str">
        <v>Done</v>
      </c>
      <c r="E1239" s="193" t="str" xml:space="preserve">
        <v>lanjut besok </v>
      </c>
    </row>
    <row r="1240">
      <c r="A1240" s="190"/>
      <c r="B1240" s="191"/>
      <c r="C1240" s="192"/>
      <c r="D1240" s="191"/>
      <c r="E1240" s="193"/>
    </row>
    <row r="1241">
      <c r="A1241" s="190"/>
      <c r="B1241" s="191"/>
      <c r="C1241" s="192"/>
      <c r="D1241" s="191"/>
      <c r="E1241" s="193"/>
    </row>
    <row r="1242">
      <c r="A1242" s="190"/>
      <c r="B1242" s="194" t="str">
        <v>Lossa</v>
      </c>
      <c r="C1242" s="192" t="str">
        <v>dokumen details project nabati n pupuk</v>
      </c>
      <c r="D1242" s="191" t="str">
        <v>Done</v>
      </c>
      <c r="E1242" s="193"/>
    </row>
    <row r="1243">
      <c r="A1243" s="190"/>
      <c r="B1243" s="194"/>
      <c r="C1243" s="192" t="str">
        <v>followup bbwscc, prodia</v>
      </c>
      <c r="D1243" s="191" t="str">
        <v>Done</v>
      </c>
      <c r="E1243" s="193" t="str">
        <v>bbwscc: diskusi embed webgis ke website pu
prodia: belum bales lg mas christoper nya</v>
      </c>
    </row>
    <row r="1244">
      <c r="A1244" s="190"/>
      <c r="B1244" s="194"/>
      <c r="C1244" s="192" t="str">
        <v>(pupuk) adjust timeline, reachout koordinator, siapin form surveyor</v>
      </c>
      <c r="D1244" s="191" t="str">
        <v>Done</v>
      </c>
      <c r="E1244" s="193"/>
    </row>
    <row r="1245">
      <c r="A1245" s="190"/>
      <c r="B1245" s="194"/>
      <c r="C1245" s="192"/>
      <c r="D1245" s="191"/>
      <c r="E1245" s="193"/>
    </row>
    <row r="1246">
      <c r="A1246" s="190"/>
      <c r="B1246" s="194"/>
      <c r="C1246" s="192"/>
      <c r="D1246" s="191"/>
      <c r="E1246" s="193"/>
    </row>
    <row r="1247">
      <c r="A1247" s="190"/>
      <c r="B1247" s="194" t="str">
        <v>Amel</v>
      </c>
      <c r="C1247" s="192" t="str">
        <v>Meeting Technical POC MRT</v>
      </c>
      <c r="D1247" s="191" t="str">
        <v>Done</v>
      </c>
      <c r="E1247" s="193"/>
    </row>
    <row r="1248">
      <c r="A1248" s="190"/>
      <c r="B1248" s="194"/>
      <c r="C1248" s="192" t="str">
        <v>Go-live dashboard pengerukan DSDA</v>
      </c>
      <c r="D1248" s="191" t="str">
        <v>Done</v>
      </c>
      <c r="E1248" s="193"/>
    </row>
    <row r="1249">
      <c r="A1249" s="190"/>
      <c r="B1249" s="194"/>
      <c r="C1249" s="192" t="str">
        <v>Meeting Metranet</v>
      </c>
      <c r="D1249" s="191" t="str">
        <v>Done</v>
      </c>
      <c r="E1249" s="193"/>
    </row>
    <row r="1250">
      <c r="A1250" s="190"/>
      <c r="B1250" s="194"/>
      <c r="C1250" s="192" t="str">
        <v>Diskusi pricing MRT</v>
      </c>
      <c r="D1250" s="191" t="str">
        <v>Done</v>
      </c>
      <c r="E1250" s="193"/>
    </row>
    <row r="1251">
      <c r="A1251" s="190"/>
      <c r="B1251" s="194"/>
      <c r="C1251" s="192"/>
      <c r="D1251" s="191"/>
      <c r="E1251" s="193"/>
    </row>
    <row r="1252">
      <c r="A1252" s="190"/>
      <c r="B1252" s="194" t="str">
        <v>Zhafran</v>
      </c>
      <c r="C1252" s="192" t="str">
        <v>Data Catalogue Blue Power People Spending</v>
      </c>
      <c r="D1252" s="191" t="str">
        <v>Done</v>
      </c>
      <c r="E1252" s="193"/>
    </row>
    <row r="1253">
      <c r="A1253" s="190"/>
      <c r="B1253" s="194"/>
      <c r="C1253" s="192"/>
      <c r="D1253" s="191"/>
      <c r="E1253" s="193"/>
    </row>
    <row r="1254">
      <c r="A1254" s="190"/>
      <c r="B1254" s="194"/>
      <c r="C1254" s="192"/>
      <c r="D1254" s="191"/>
      <c r="E1254" s="193"/>
    </row>
    <row r="1255">
      <c r="A1255" s="190"/>
      <c r="B1255" s="194"/>
      <c r="C1255" s="192"/>
      <c r="D1255" s="191"/>
      <c r="E1255" s="193"/>
    </row>
    <row r="1256">
      <c r="A1256" s="190"/>
      <c r="B1256" s="194"/>
      <c r="C1256" s="192"/>
      <c r="D1256" s="191"/>
      <c r="E1256" s="193"/>
    </row>
    <row r="1257">
      <c r="A1257" s="190"/>
      <c r="B1257" s="179" t="str">
        <v>Hadi</v>
      </c>
      <c r="C1257" s="192" t="str">
        <v>Monitoring Business (Performance)</v>
      </c>
      <c r="D1257" s="191" t="str">
        <v>Done</v>
      </c>
      <c r="E1257" s="193"/>
    </row>
    <row r="1258">
      <c r="A1258" s="190"/>
      <c r="B1258" s="179"/>
      <c r="C1258" s="192" t="str">
        <v>drafting dashboard business (b2b &amp; b2c)</v>
      </c>
      <c r="D1258" s="191" t="str">
        <v>Done</v>
      </c>
      <c r="E1258" s="193"/>
    </row>
    <row r="1259">
      <c r="A1259" s="190"/>
      <c r="B1259" s="179"/>
      <c r="C1259" s="192"/>
      <c r="D1259" s="191"/>
      <c r="E1259" s="193"/>
    </row>
    <row r="1260">
      <c r="A1260" s="190"/>
      <c r="B1260" s="179"/>
      <c r="C1260" s="192"/>
      <c r="D1260" s="191"/>
      <c r="E1260" s="193"/>
    </row>
    <row r="1261">
      <c r="A1261" s="190"/>
      <c r="B1261" s="179"/>
      <c r="C1261" s="192"/>
      <c r="D1261" s="191"/>
      <c r="E1261" s="193"/>
    </row>
    <row r="1262">
      <c r="A1262" s="190">
        <v>46077</v>
      </c>
      <c r="B1262" s="191" t="str">
        <v>Fariz</v>
      </c>
      <c r="C1262" s="192" t="str">
        <v>[DLY] Meeting Update GEO</v>
      </c>
      <c r="D1262" s="191" t="str">
        <v>Done</v>
      </c>
      <c r="E1262" s="193"/>
    </row>
    <row r="1263">
      <c r="A1263" s="190"/>
      <c r="B1263" s="191"/>
      <c r="C1263" s="192" t="str">
        <v>[WGA] Koordinasi Operasional Freelancer</v>
      </c>
      <c r="D1263" s="191" t="str">
        <v>Done</v>
      </c>
      <c r="E1263" s="193"/>
    </row>
    <row r="1264">
      <c r="A1264" s="190"/>
      <c r="B1264" s="191"/>
      <c r="C1264" s="192" t="str">
        <v>[FLO] Update Certificate</v>
      </c>
      <c r="D1264" s="191" t="str">
        <v>Done</v>
      </c>
      <c r="E1264" s="193"/>
    </row>
    <row r="1265">
      <c r="A1265" s="190"/>
      <c r="B1265" s="191"/>
      <c r="C1265" s="192"/>
      <c r="D1265" s="191"/>
      <c r="E1265" s="193"/>
    </row>
    <row r="1266">
      <c r="A1266" s="190"/>
      <c r="B1266" s="191"/>
      <c r="C1266" s="192"/>
      <c r="D1266" s="191"/>
      <c r="E1266" s="193"/>
    </row>
    <row r="1267">
      <c r="A1267" s="190"/>
      <c r="B1267" s="191" t="str">
        <v>Dwi</v>
      </c>
      <c r="C1267" s="192" t="str">
        <v>forecasting &amp; budget marketing march</v>
      </c>
      <c r="D1267" s="191" t="str">
        <v>Done</v>
      </c>
      <c r="E1267" s="193"/>
    </row>
    <row r="1268">
      <c r="A1268" s="190"/>
      <c r="B1268" s="191"/>
      <c r="C1268" s="192" t="str">
        <v>Brief Ads Personal License</v>
      </c>
      <c r="D1268" s="191" t="str">
        <v>Done</v>
      </c>
      <c r="E1268" s="193"/>
    </row>
    <row r="1269">
      <c r="A1269" s="190"/>
      <c r="B1269" s="191"/>
      <c r="C1269" s="192" t="str">
        <v>Website revamp:
Homepage &amp; Solution page</v>
      </c>
      <c r="D1269" s="191"/>
      <c r="E1269" s="193"/>
    </row>
    <row r="1270">
      <c r="A1270" s="190"/>
      <c r="B1270" s="191"/>
      <c r="C1270" s="192" t="str">
        <v>Discuss MAPID Academy</v>
      </c>
      <c r="D1270" s="191" t="str">
        <v>Done</v>
      </c>
      <c r="E1270" s="193"/>
    </row>
    <row r="1271">
      <c r="A1271" s="190"/>
      <c r="B1271" s="191"/>
      <c r="C1271" s="192"/>
      <c r="D1271" s="191"/>
      <c r="E1271" s="193"/>
    </row>
    <row r="1272">
      <c r="A1272" s="190"/>
      <c r="B1272" s="191"/>
      <c r="C1272" s="192"/>
      <c r="D1272" s="191"/>
      <c r="E1272" s="193"/>
    </row>
    <row r="1273">
      <c r="A1273" s="190"/>
      <c r="B1273" s="179" t="str">
        <v>Wina</v>
      </c>
      <c r="C1273" s="192" t="str">
        <v>Daily Content (WA Community)</v>
      </c>
      <c r="D1273" s="191" t="str">
        <v>Done</v>
      </c>
      <c r="E1273" s="193"/>
    </row>
    <row r="1274">
      <c r="A1274" s="190"/>
      <c r="B1274" s="179"/>
      <c r="C1274" s="192" t="str">
        <v>Listing content W3-W4</v>
      </c>
      <c r="D1274" s="191" t="str">
        <v>Done</v>
      </c>
      <c r="E1274" s="193"/>
    </row>
    <row r="1275">
      <c r="A1275" s="190"/>
      <c r="B1275" s="179"/>
      <c r="C1275" s="192" t="str">
        <v>Calender Plan Sosmed &amp; Community</v>
      </c>
      <c r="D1275" s="191" t="str">
        <v>Done</v>
      </c>
      <c r="E1275" s="193"/>
    </row>
    <row r="1276">
      <c r="A1276" s="190"/>
      <c r="B1276" s="179"/>
      <c r="C1276" s="192" t="str">
        <v>WA Sales &amp; reportnya</v>
      </c>
      <c r="D1276" s="191" t="str">
        <v>Done</v>
      </c>
      <c r="E1276" s="193" t="s">
        <v>350</v>
      </c>
    </row>
    <row r="1277">
      <c r="A1277" s="190"/>
      <c r="B1277" s="179"/>
      <c r="C1277" s="192"/>
      <c r="D1277" s="191"/>
      <c r="E1277" s="193"/>
    </row>
    <row r="1278">
      <c r="A1278" s="190"/>
      <c r="B1278" s="191" t="str">
        <v>Annisa</v>
      </c>
      <c r="C1278" s="192" t="str" xml:space="preserve">
        <v>lanjutin guidelines (agak diloncat2 sih jadi masih banyak bagian yang kosong) </v>
      </c>
      <c r="D1278" s="191" t="str">
        <v>Done</v>
      </c>
      <c r="E1278" s="193"/>
    </row>
    <row r="1279">
      <c r="A1279" s="190"/>
      <c r="B1279" s="191"/>
      <c r="C1279" s="192" t="str" xml:space="preserve">
        <v>kumpulin aset foto2 dokumentasi </v>
      </c>
      <c r="D1279" s="191" t="str">
        <v>Done</v>
      </c>
      <c r="E1279" s="193"/>
    </row>
    <row r="1280">
      <c r="A1280" s="190"/>
      <c r="B1280" s="191"/>
      <c r="C1280" s="192" t="str">
        <v>bikin guidelines untuk community atau eksternal yang dipakai</v>
      </c>
      <c r="D1280" s="191" t="str">
        <v>Done</v>
      </c>
      <c r="E1280" s="193" t="s">
        <v>349</v>
      </c>
    </row>
    <row r="1281">
      <c r="A1281" s="190"/>
      <c r="B1281" s="191"/>
      <c r="C1281" s="192"/>
      <c r="D1281" s="191"/>
      <c r="E1281" s="193"/>
    </row>
    <row r="1282">
      <c r="A1282" s="190"/>
      <c r="B1282" s="191"/>
      <c r="C1282" s="192"/>
      <c r="D1282" s="191"/>
      <c r="E1282" s="193"/>
    </row>
    <row r="1283">
      <c r="A1283" s="190"/>
      <c r="B1283" s="194" t="str">
        <v>Lossa</v>
      </c>
      <c r="C1283" s="192" t="str">
        <v>(pupuk) sebar form rekrutmen surveyor, testing apps, adjust SoW, persiapan kick off client</v>
      </c>
      <c r="D1283" s="191" t="str">
        <v>Done</v>
      </c>
      <c r="E1283" s="193"/>
    </row>
    <row r="1284">
      <c r="A1284" s="190"/>
      <c r="B1284" s="194"/>
      <c r="C1284" s="192" t="str">
        <v>quotation letter karlo</v>
      </c>
      <c r="D1284" s="191" t="str">
        <v>Done</v>
      </c>
      <c r="E1284" s="193" t="str">
        <v>decide after meeting</v>
      </c>
    </row>
    <row r="1285">
      <c r="A1285" s="190"/>
      <c r="B1285" s="194"/>
      <c r="C1285" s="192" t="str">
        <v>meeting fc</v>
      </c>
      <c r="D1285" s="191" t="str">
        <v>Done</v>
      </c>
      <c r="E1285" s="193">
        <v>14</v>
      </c>
    </row>
    <row r="1286">
      <c r="A1286" s="190"/>
      <c r="B1286" s="194"/>
      <c r="C1286" s="192"/>
      <c r="D1286" s="191"/>
      <c r="E1286" s="193"/>
    </row>
    <row r="1287">
      <c r="A1287" s="190"/>
      <c r="B1287" s="194" t="str">
        <v>Amel</v>
      </c>
      <c r="C1287" s="192" t="str" xml:space="preserve">
        <v>Penyesuaian mockup HKI </v>
      </c>
      <c r="D1287" s="191" t="str">
        <v>Done</v>
      </c>
      <c r="E1287" s="193" t="str">
        <v>versi 2</v>
      </c>
    </row>
    <row r="1288">
      <c r="A1288" s="190"/>
      <c r="B1288" s="194"/>
      <c r="C1288" s="192" t="str">
        <v>Update FRD Metranet</v>
      </c>
      <c r="D1288" s="191" t="str">
        <v>Done</v>
      </c>
      <c r="E1288" s="193"/>
    </row>
    <row r="1289">
      <c r="A1289" s="190"/>
      <c r="B1289" s="194"/>
      <c r="C1289" s="192" t="str">
        <v>Meeting fc</v>
      </c>
      <c r="D1289" s="191" t="str">
        <v>Done</v>
      </c>
      <c r="E1289" s="193"/>
    </row>
    <row r="1290">
      <c r="A1290" s="190"/>
      <c r="B1290" s="194"/>
      <c r="C1290" s="192" t="str">
        <v>Proposal Bank Danamon</v>
      </c>
      <c r="D1290" s="191" t="str">
        <v>Done</v>
      </c>
      <c r="E1290" s="193"/>
    </row>
    <row r="1291">
      <c r="A1291" s="190"/>
      <c r="B1291" s="194"/>
      <c r="C1291" s="192"/>
      <c r="D1291" s="191"/>
      <c r="E1291" s="193"/>
    </row>
    <row r="1292">
      <c r="A1292" s="190"/>
      <c r="B1292" s="194" t="str">
        <v>Zhafran</v>
      </c>
      <c r="C1292" s="192" t="str">
        <v>Meeting FC</v>
      </c>
      <c r="D1292" s="191" t="str">
        <v>Done</v>
      </c>
      <c r="E1292" s="193"/>
    </row>
    <row r="1293">
      <c r="A1293" s="190"/>
      <c r="B1293" s="194"/>
      <c r="C1293" s="192" t="str">
        <v>Update B2B Project List</v>
      </c>
      <c r="D1293" s="191" t="str">
        <v>Done</v>
      </c>
      <c r="E1293" s="193"/>
    </row>
    <row r="1294">
      <c r="A1294" s="190"/>
      <c r="B1294" s="194"/>
      <c r="C1294" s="192" t="str">
        <v>Demo Call Martabak Amazing</v>
      </c>
      <c r="D1294" s="191" t="str">
        <v>Done</v>
      </c>
      <c r="E1294" s="193"/>
    </row>
    <row r="1295">
      <c r="A1295" s="190"/>
      <c r="B1295" s="194"/>
      <c r="C1295" s="192" t="str">
        <v>Proposal Martabak Amazing</v>
      </c>
      <c r="D1295" s="191" t="str">
        <v>Done</v>
      </c>
      <c r="E1295" s="193"/>
    </row>
    <row r="1296">
      <c r="A1296" s="190"/>
      <c r="B1296" s="194"/>
      <c r="C1296" s="192"/>
      <c r="D1296" s="191"/>
      <c r="E1296" s="193"/>
    </row>
    <row r="1297">
      <c r="A1297" s="190"/>
      <c r="B1297" s="179" t="str">
        <v>Hadi</v>
      </c>
      <c r="C1297" s="192" t="str">
        <v>Monitoring Business (Performance)</v>
      </c>
      <c r="D1297" s="191" t="str">
        <v>Done</v>
      </c>
      <c r="E1297" s="193"/>
    </row>
    <row r="1298">
      <c r="A1298" s="190"/>
      <c r="B1298" s="179"/>
      <c r="C1298" s="192" t="str">
        <v>Update BI Dashboard</v>
      </c>
      <c r="D1298" s="191" t="str">
        <v>Done</v>
      </c>
      <c r="E1298" s="193" t="s">
        <v>376</v>
      </c>
    </row>
    <row r="1299">
      <c r="A1299" s="190"/>
      <c r="B1299" s="179"/>
      <c r="C1299" s="192" t="str">
        <v>Meeting Admin + Revamp GEO</v>
      </c>
      <c r="D1299" s="191" t="str">
        <v>Done</v>
      </c>
      <c r="E1299" s="193"/>
    </row>
    <row r="1300">
      <c r="A1300" s="190"/>
      <c r="B1300" s="179"/>
      <c r="C1300" s="192" t="str">
        <v>Meeting FC Project</v>
      </c>
      <c r="D1300" s="191" t="str">
        <v>Done</v>
      </c>
      <c r="E1300" s="193"/>
    </row>
    <row r="1301">
      <c r="A1301" s="190"/>
      <c r="B1301" s="179"/>
      <c r="C1301" s="192" t="str">
        <v>others : update b2b project list</v>
      </c>
      <c r="D1301" s="191" t="str">
        <v>Done</v>
      </c>
      <c r="E1301" s="193"/>
    </row>
    <row r="1302">
      <c r="A1302" s="190">
        <v>46078</v>
      </c>
      <c r="B1302" s="191" t="str">
        <v>Fariz</v>
      </c>
      <c r="C1302" s="192" t="str">
        <v>[CTR] Template Laporan Penilaian Corporate Training</v>
      </c>
      <c r="D1302" s="191" t="str">
        <v>Done</v>
      </c>
      <c r="E1302" s="193"/>
    </row>
    <row r="1303">
      <c r="A1303" s="190"/>
      <c r="B1303" s="191"/>
      <c r="C1303" s="192" t="str">
        <v>[WGA] Koordinasi Freelancer</v>
      </c>
      <c r="D1303" s="191" t="str">
        <v>Done</v>
      </c>
      <c r="E1303" s="193"/>
    </row>
    <row r="1304">
      <c r="A1304" s="190"/>
      <c r="B1304" s="191"/>
      <c r="C1304" s="192" t="str">
        <v>[LMS] Revisi Fitur - Fitur Bootcamp</v>
      </c>
      <c r="D1304" s="191" t="str">
        <v>Done</v>
      </c>
      <c r="E1304" s="193"/>
    </row>
    <row r="1305">
      <c r="A1305" s="190"/>
      <c r="B1305" s="191"/>
      <c r="C1305" s="192"/>
      <c r="D1305" s="191"/>
      <c r="E1305" s="193"/>
    </row>
    <row r="1306">
      <c r="A1306" s="190"/>
      <c r="B1306" s="191"/>
      <c r="C1306" s="192"/>
      <c r="D1306" s="191"/>
      <c r="E1306" s="193"/>
    </row>
    <row r="1307">
      <c r="A1307" s="190"/>
      <c r="B1307" s="191" t="str">
        <v>Dwi</v>
      </c>
      <c r="C1307" s="192" t="str">
        <v>Lanjut Brief Ads - Sales - Personal License</v>
      </c>
      <c r="D1307" s="191" t="str">
        <v>Done</v>
      </c>
      <c r="E1307" s="193" t="str">
        <v>Stall. kemarin lebih banyak brainstorm terkait kebisaan personal license untuk market bisnis karena ada beberapa messaging yang tidak tepat/sesuai dengan kemampuan personal license.</v>
      </c>
    </row>
    <row r="1308">
      <c r="A1308" s="190"/>
      <c r="B1308" s="191"/>
      <c r="C1308" s="192" t="str">
        <v>Website revamp:
Homepage &amp; Product</v>
      </c>
      <c r="D1308" s="191"/>
      <c r="E1308" s="193"/>
    </row>
    <row r="1309">
      <c r="A1309" s="190"/>
      <c r="B1309" s="191"/>
      <c r="C1309" s="192" t="str">
        <v>Discuss Business Expansion DATA PSE MARKETING</v>
      </c>
      <c r="D1309" s="191" t="str">
        <v>Done</v>
      </c>
      <c r="E1309" s="193"/>
    </row>
    <row r="1310">
      <c r="A1310" s="190"/>
      <c r="B1310" s="191"/>
      <c r="C1310" s="192"/>
      <c r="D1310" s="191"/>
      <c r="E1310" s="193"/>
    </row>
    <row r="1311">
      <c r="A1311" s="190"/>
      <c r="B1311" s="191"/>
      <c r="C1311" s="192"/>
      <c r="D1311" s="191"/>
      <c r="E1311" s="193"/>
    </row>
    <row r="1312">
      <c r="A1312" s="190"/>
      <c r="B1312" s="191"/>
      <c r="C1312" s="192"/>
      <c r="D1312" s="191"/>
      <c r="E1312" s="193"/>
    </row>
    <row r="1313">
      <c r="A1313" s="190"/>
      <c r="B1313" s="179" t="str">
        <v>Wina</v>
      </c>
      <c r="C1313" s="192" t="str">
        <v>daily content (wa community)</v>
      </c>
      <c r="D1313" s="191" t="str">
        <v>Done</v>
      </c>
      <c r="E1313" s="193"/>
    </row>
    <row r="1314">
      <c r="A1314" s="190"/>
      <c r="B1314" s="179"/>
      <c r="C1314" s="192" t="str">
        <v>rekap sales</v>
      </c>
      <c r="D1314" s="191" t="str">
        <v>Done</v>
      </c>
      <c r="E1314" s="193"/>
    </row>
    <row r="1315">
      <c r="A1315" s="190"/>
      <c r="B1315" s="179"/>
      <c r="C1315" s="192" t="str">
        <v>calender plan maret</v>
      </c>
      <c r="D1315" s="191" t="str">
        <v>Done</v>
      </c>
      <c r="E1315" s="193"/>
    </row>
    <row r="1316">
      <c r="A1316" s="190"/>
      <c r="B1316" s="179"/>
      <c r="C1316" s="192" t="str">
        <v>sosmed intern file</v>
      </c>
      <c r="D1316" s="191" t="str">
        <v>Done</v>
      </c>
      <c r="E1316" s="193"/>
    </row>
    <row r="1317">
      <c r="A1317" s="190"/>
      <c r="B1317" s="179"/>
      <c r="C1317" s="192"/>
      <c r="D1317" s="191"/>
      <c r="E1317" s="193"/>
    </row>
    <row r="1318">
      <c r="A1318" s="190"/>
      <c r="B1318" s="191" t="str">
        <v>Annisa</v>
      </c>
      <c r="C1318" s="192" t="str">
        <v>tone of voice MAPID BRAND</v>
      </c>
      <c r="D1318" s="191"/>
      <c r="E1318" s="193" t="str" xml:space="preserve">
        <v>lanjut besokk </v>
      </c>
    </row>
    <row r="1319">
      <c r="A1319" s="190"/>
      <c r="B1319" s="191"/>
      <c r="C1319" s="192" t="str">
        <v>Typograph MAPID Brand</v>
      </c>
      <c r="D1319" s="191" t="str">
        <v>Done</v>
      </c>
      <c r="E1319" s="193" t="str" xml:space="preserve">
        <v>lanjut besok </v>
      </c>
    </row>
    <row r="1320">
      <c r="A1320" s="190"/>
      <c r="B1320" s="191"/>
      <c r="C1320" s="192" t="str">
        <v>Video hands on fariz yang mangrove part 3</v>
      </c>
      <c r="D1320" s="191" t="str">
        <v>Done</v>
      </c>
      <c r="E1320" s="193"/>
    </row>
    <row r="1321">
      <c r="A1321" s="190"/>
      <c r="B1321" s="191"/>
      <c r="C1321" s="192" t="str">
        <v>Revisi tote bag sama notebook</v>
      </c>
      <c r="D1321" s="191"/>
      <c r="E1321" s="193" t="str">
        <v>hold dulu nunggu poling</v>
      </c>
    </row>
    <row r="1322">
      <c r="A1322" s="190"/>
      <c r="B1322" s="191"/>
      <c r="C1322" s="192" t="str">
        <v>riset kalender</v>
      </c>
      <c r="D1322" s="191" t="str">
        <v>Done</v>
      </c>
      <c r="E1322" s="193"/>
    </row>
    <row r="1323">
      <c r="A1323" s="190"/>
      <c r="B1323" s="194" t="str">
        <v>Lossa</v>
      </c>
      <c r="C1323" s="192" t="str">
        <v>meeting kick off pupuk</v>
      </c>
      <c r="D1323" s="191" t="str">
        <v>Done</v>
      </c>
      <c r="E1323" s="193"/>
    </row>
    <row r="1324">
      <c r="A1324" s="190"/>
      <c r="B1324" s="194"/>
      <c r="C1324" s="192" t="str">
        <v>meeting karlo</v>
      </c>
      <c r="D1324" s="191" t="str">
        <v>Done</v>
      </c>
      <c r="E1324" s="193"/>
    </row>
    <row r="1325">
      <c r="A1325" s="190"/>
      <c r="B1325" s="194"/>
      <c r="C1325" s="192" t="str">
        <v>subdomain landing page swc</v>
      </c>
      <c r="D1325" s="191" t="str">
        <v>Done</v>
      </c>
      <c r="E1325" s="193" t="s">
        <v>362</v>
      </c>
    </row>
    <row r="1326">
      <c r="A1326" s="190"/>
      <c r="B1326" s="194"/>
      <c r="C1326" s="192"/>
      <c r="D1326" s="191"/>
      <c r="E1326" s="193"/>
    </row>
    <row r="1327">
      <c r="A1327" s="190"/>
      <c r="B1327" s="194" t="str">
        <v>Amel</v>
      </c>
      <c r="C1327" s="192" t="str">
        <v>Meeting business expansion</v>
      </c>
      <c r="D1327" s="191" t="str">
        <v>Done</v>
      </c>
      <c r="E1327" s="193"/>
    </row>
    <row r="1328">
      <c r="A1328" s="190"/>
      <c r="B1328" s="194"/>
      <c r="C1328" s="192" t="str">
        <v>Proposal komersil MRT</v>
      </c>
      <c r="D1328" s="191" t="str">
        <v>Done</v>
      </c>
      <c r="E1328" s="193"/>
    </row>
    <row r="1329">
      <c r="A1329" s="190"/>
      <c r="B1329" s="194"/>
      <c r="C1329" s="192" t="str">
        <v>Weekly meeting DSDA</v>
      </c>
      <c r="D1329" s="191" t="str">
        <v>Done</v>
      </c>
      <c r="E1329" s="193"/>
    </row>
    <row r="1330">
      <c r="A1330" s="190"/>
      <c r="B1330" s="194"/>
      <c r="C1330" s="192" t="str">
        <v>Bikin deck roemah koffie</v>
      </c>
      <c r="D1330" s="191" t="str">
        <v>Done</v>
      </c>
      <c r="E1330" s="193"/>
    </row>
    <row r="1331">
      <c r="A1331" s="190"/>
      <c r="B1331" s="194"/>
      <c r="C1331" s="192"/>
      <c r="D1331" s="191"/>
      <c r="E1331" s="193"/>
    </row>
    <row r="1332">
      <c r="A1332" s="190"/>
      <c r="B1332" s="194" t="str">
        <v>Zhafran</v>
      </c>
      <c r="C1332" s="192" t="str">
        <v>Meeting Business Expansion</v>
      </c>
      <c r="D1332" s="191" t="str">
        <v>Done</v>
      </c>
      <c r="E1332" s="193"/>
    </row>
    <row r="1333">
      <c r="A1333" s="190"/>
      <c r="B1333" s="194"/>
      <c r="C1333" s="192" t="str" xml:space="preserve">
        <v>Meeting Karlo </v>
      </c>
      <c r="D1333" s="191" t="str">
        <v>Done</v>
      </c>
      <c r="E1333" s="193"/>
    </row>
    <row r="1334">
      <c r="A1334" s="190"/>
      <c r="B1334" s="194"/>
      <c r="C1334" s="192" t="str">
        <v>Update B2B Project List</v>
      </c>
      <c r="D1334" s="191" t="str">
        <v>Done</v>
      </c>
      <c r="E1334" s="193" t="str">
        <v>Continue</v>
      </c>
    </row>
    <row r="1335">
      <c r="A1335" s="190"/>
      <c r="B1335" s="194"/>
      <c r="C1335" s="192" t="str" xml:space="preserve">
        <v>Demo call Bakmi </v>
      </c>
      <c r="D1335" s="191" t="str">
        <v>Done</v>
      </c>
      <c r="E1335" s="193" t="str">
        <v>Canceled</v>
      </c>
    </row>
    <row r="1336">
      <c r="A1336" s="190"/>
      <c r="B1336" s="194"/>
      <c r="C1336" s="192"/>
      <c r="D1336" s="191"/>
      <c r="E1336" s="193"/>
    </row>
    <row r="1337">
      <c r="A1337" s="190"/>
      <c r="B1337" s="179" t="str">
        <v>Hadi</v>
      </c>
      <c r="C1337" s="192" t="str">
        <v>Monitoring Business (Daily standup, bahas internship)</v>
      </c>
      <c r="D1337" s="191" t="str">
        <v>Done</v>
      </c>
      <c r="E1337" s="193"/>
    </row>
    <row r="1338">
      <c r="A1338" s="190"/>
      <c r="B1338" s="179"/>
      <c r="C1338" s="192" t="str">
        <v>Meeting skema business expansion w/data</v>
      </c>
      <c r="D1338" s="191" t="str">
        <v>Done</v>
      </c>
      <c r="E1338" s="193"/>
    </row>
    <row r="1339">
      <c r="A1339" s="190"/>
      <c r="B1339" s="179"/>
      <c r="C1339" s="192" t="str">
        <v>Drafting Pricing SINI/call</v>
      </c>
      <c r="D1339" s="191" t="str">
        <v>Done</v>
      </c>
      <c r="E1339" s="193"/>
    </row>
    <row r="1340">
      <c r="A1340" s="190"/>
      <c r="B1340" s="179"/>
      <c r="C1340" s="192" t="str">
        <v>others : cicil b2b project list, pse aligmnment</v>
      </c>
      <c r="D1340" s="191" t="str">
        <v>Done</v>
      </c>
      <c r="E1340" s="193"/>
    </row>
    <row r="1341">
      <c r="A1341" s="190"/>
      <c r="B1341" s="179"/>
      <c r="C1341" s="192"/>
      <c r="D1341" s="191"/>
      <c r="E1341" s="193"/>
    </row>
    <row r="1342">
      <c r="A1342" s="190">
        <v>46079</v>
      </c>
      <c r="B1342" s="179" t="str">
        <v>Fariz</v>
      </c>
      <c r="C1342" s="192" t="str">
        <v>[LMS] Lanjutan Revisi Fitur - Fitur LMS Bootcamp</v>
      </c>
      <c r="D1342" s="179" t="str">
        <v>Done</v>
      </c>
      <c r="E1342" s="193"/>
    </row>
    <row r="1343">
      <c r="A1343" s="190"/>
      <c r="B1343" s="179"/>
      <c r="C1343" s="192" t="str">
        <v>[INT] Nyicil Playbook Intern Learning Operation</v>
      </c>
      <c r="D1343" s="191" t="str">
        <v>Done</v>
      </c>
      <c r="E1343" s="193" t="str">
        <v>Not Yet</v>
      </c>
    </row>
    <row r="1344">
      <c r="A1344" s="190"/>
      <c r="B1344" s="179"/>
      <c r="C1344" s="192" t="str">
        <v>[DLY] Check and Recheck Operasional Bootcamp</v>
      </c>
      <c r="D1344" s="179" t="str">
        <v>Done</v>
      </c>
      <c r="E1344" s="193"/>
    </row>
    <row r="1345">
      <c r="A1345" s="190"/>
      <c r="B1345" s="179"/>
      <c r="C1345" s="192"/>
      <c r="D1345" s="179"/>
      <c r="E1345" s="193"/>
    </row>
    <row r="1346">
      <c r="A1346" s="190"/>
      <c r="B1346" s="179"/>
      <c r="C1346" s="192"/>
      <c r="D1346" s="179"/>
      <c r="E1346" s="193"/>
    </row>
    <row r="1347">
      <c r="A1347" s="190"/>
      <c r="B1347" s="191" t="str">
        <v>Dwi</v>
      </c>
      <c r="C1347" s="179" t="str">
        <v>Website Copy- homepage
Meeting Website</v>
      </c>
      <c r="D1347" s="197" t="str">
        <v>Done</v>
      </c>
      <c r="E1347" s="193"/>
    </row>
    <row r="1348">
      <c r="A1348" s="190"/>
      <c r="B1348" s="191"/>
      <c r="C1348" s="200" t="str">
        <v>Intern plan</v>
      </c>
      <c r="D1348" s="191" t="str">
        <v>Done</v>
      </c>
      <c r="E1348" s="193"/>
    </row>
    <row r="1349">
      <c r="A1349" s="190"/>
      <c r="B1349" s="191"/>
      <c r="C1349" s="192" t="str">
        <v>brief ads - GIS target audience</v>
      </c>
      <c r="D1349" s="191"/>
      <c r="E1349" s="193"/>
    </row>
    <row r="1350">
      <c r="A1350" s="190"/>
      <c r="B1350" s="191"/>
      <c r="C1350" s="192"/>
      <c r="D1350" s="191"/>
      <c r="E1350" s="193"/>
    </row>
    <row r="1351">
      <c r="A1351" s="190"/>
      <c r="B1351" s="191"/>
      <c r="C1351" s="192"/>
      <c r="D1351" s="191"/>
      <c r="E1351" s="193"/>
    </row>
    <row r="1352">
      <c r="A1352" s="190"/>
      <c r="B1352" s="191"/>
      <c r="C1352" s="192"/>
      <c r="D1352" s="191"/>
      <c r="E1352" s="193"/>
    </row>
    <row r="1353">
      <c r="A1353" s="190"/>
      <c r="B1353" s="179" t="str">
        <v>Wina</v>
      </c>
      <c r="C1353" s="192" t="str">
        <v>Meeting MAPID Apps</v>
      </c>
      <c r="D1353" s="191" t="str">
        <v>Done</v>
      </c>
      <c r="E1353" s="193"/>
    </row>
    <row r="1354">
      <c r="A1354" s="190"/>
      <c r="B1354" s="179"/>
      <c r="C1354" s="192" t="str">
        <v>Rekap sales</v>
      </c>
      <c r="D1354" s="191" t="str">
        <v>Done</v>
      </c>
      <c r="E1354" s="193"/>
    </row>
    <row r="1355">
      <c r="A1355" s="190"/>
      <c r="B1355" s="179"/>
      <c r="C1355" s="192" t="str">
        <v>Intern Program Files</v>
      </c>
      <c r="D1355" s="191" t="str">
        <v>Done</v>
      </c>
      <c r="E1355" s="193"/>
    </row>
    <row r="1356">
      <c r="A1356" s="190"/>
      <c r="B1356" s="179"/>
      <c r="C1356" s="192" t="str">
        <v>Daily content (community &amp; newsletter)</v>
      </c>
      <c r="D1356" s="191" t="str">
        <v>Done</v>
      </c>
      <c r="E1356" s="193"/>
    </row>
    <row r="1357">
      <c r="A1357" s="190"/>
      <c r="B1357" s="179"/>
      <c r="C1357" s="192"/>
      <c r="D1357" s="191"/>
      <c r="E1357" s="193"/>
    </row>
    <row r="1358">
      <c r="A1358" s="190"/>
      <c r="B1358" s="191" t="str">
        <v>Annisa</v>
      </c>
      <c r="C1358" s="192" t="str">
        <v>Ngecek ulang video LMS sebelum diupload</v>
      </c>
      <c r="D1358" s="191" t="str">
        <v>Done</v>
      </c>
      <c r="E1358" s="193"/>
    </row>
    <row r="1359">
      <c r="A1359" s="190"/>
      <c r="B1359" s="191"/>
      <c r="C1359" s="192" t="str">
        <v>Typograph MAPID Brand</v>
      </c>
      <c r="D1359" s="191" t="str">
        <v>Done</v>
      </c>
      <c r="E1359" s="193"/>
    </row>
    <row r="1360">
      <c r="A1360" s="190"/>
      <c r="B1360" s="191"/>
      <c r="C1360" s="192" t="str">
        <v>tone of voice MAPID BRAND</v>
      </c>
      <c r="D1360" s="191" t="str">
        <v>Done</v>
      </c>
      <c r="E1360" s="193"/>
    </row>
    <row r="1361">
      <c r="A1361" s="190"/>
      <c r="B1361" s="191"/>
      <c r="C1361" s="192"/>
      <c r="D1361" s="191"/>
      <c r="E1361" s="193"/>
    </row>
    <row r="1362">
      <c r="A1362" s="190"/>
      <c r="B1362" s="191"/>
      <c r="C1362" s="192"/>
      <c r="D1362" s="191"/>
      <c r="E1362" s="193"/>
    </row>
    <row r="1363">
      <c r="A1363" s="190"/>
      <c r="B1363" s="194" t="str">
        <v>Lossa</v>
      </c>
      <c r="C1363" s="192" t="str">
        <v>pupuk (foto gimmick, dokumen evidence, revisi SOW)</v>
      </c>
      <c r="D1363" s="191" t="str">
        <v>Done</v>
      </c>
      <c r="E1363" s="193"/>
    </row>
    <row r="1364">
      <c r="A1364" s="190"/>
      <c r="B1364" s="194"/>
      <c r="C1364" s="192" t="str">
        <v>karlo (sow &amp; quotation letter)</v>
      </c>
      <c r="D1364" s="191" t="str">
        <v>Done</v>
      </c>
      <c r="E1364" s="193"/>
    </row>
    <row r="1365">
      <c r="A1365" s="190"/>
      <c r="B1365" s="194"/>
      <c r="C1365" s="192" t="str">
        <v>meeting pse</v>
      </c>
      <c r="D1365" s="191" t="str">
        <v>Done</v>
      </c>
      <c r="E1365" s="193"/>
    </row>
    <row r="1366">
      <c r="A1366" s="190"/>
      <c r="B1366" s="194"/>
      <c r="C1366" s="192"/>
      <c r="D1366" s="191"/>
      <c r="E1366" s="193"/>
    </row>
    <row r="1367">
      <c r="A1367" s="190"/>
      <c r="B1367" s="194" t="str">
        <v>Amel</v>
      </c>
      <c r="C1367" s="192" t="str">
        <v>uji coba opsi parameter site selection roemah koffie</v>
      </c>
      <c r="D1367" s="191" t="str">
        <v>Done</v>
      </c>
      <c r="E1367" s="193"/>
    </row>
    <row r="1368">
      <c r="A1368" s="190"/>
      <c r="B1368" s="194"/>
      <c r="C1368" s="192" t="str">
        <v>finishing pricing MRT + input ke propo pilot project</v>
      </c>
      <c r="D1368" s="191" t="str">
        <v>Done</v>
      </c>
      <c r="E1368" s="193"/>
    </row>
    <row r="1369">
      <c r="A1369" s="190"/>
      <c r="B1369" s="194"/>
      <c r="C1369" s="192" t="str">
        <v>meeting roemah koffie</v>
      </c>
      <c r="D1369" s="191" t="str">
        <v>Done</v>
      </c>
      <c r="E1369" s="193"/>
    </row>
    <row r="1370">
      <c r="A1370" s="190"/>
      <c r="B1370" s="194"/>
      <c r="C1370" s="192" t="str">
        <v>diskusi kanban dev DSDA dengan SA</v>
      </c>
      <c r="D1370" s="191" t="str">
        <v>Done</v>
      </c>
      <c r="E1370" s="193"/>
    </row>
    <row r="1371">
      <c r="A1371" s="190"/>
      <c r="B1371" s="194"/>
      <c r="C1371" s="192"/>
      <c r="D1371" s="191"/>
      <c r="E1371" s="193"/>
    </row>
    <row r="1372">
      <c r="A1372" s="190"/>
      <c r="B1372" s="194" t="str">
        <v>Zhafran</v>
      </c>
      <c r="C1372" s="192" t="str">
        <v>Continue B2B Project List</v>
      </c>
      <c r="D1372" s="191" t="str">
        <v>Done</v>
      </c>
      <c r="E1372" s="193"/>
    </row>
    <row r="1373">
      <c r="A1373" s="190"/>
      <c r="B1373" s="194"/>
      <c r="C1373" s="192" t="str">
        <v>FU Demo Call</v>
      </c>
      <c r="D1373" s="191" t="str">
        <v>Done</v>
      </c>
      <c r="E1373" s="193"/>
    </row>
    <row r="1374">
      <c r="A1374" s="190"/>
      <c r="B1374" s="194"/>
      <c r="C1374" s="192" t="str">
        <v>Nyicil Dashboard Use Case</v>
      </c>
      <c r="D1374" s="191" t="str">
        <v>Done</v>
      </c>
      <c r="E1374" s="193"/>
    </row>
    <row r="1375">
      <c r="A1375" s="190"/>
      <c r="B1375" s="194"/>
      <c r="C1375" s="192" t="str">
        <v>Meeting PSE</v>
      </c>
      <c r="D1375" s="191" t="str">
        <v>Done</v>
      </c>
      <c r="E1375" s="193"/>
    </row>
    <row r="1376">
      <c r="A1376" s="190"/>
      <c r="B1376" s="194"/>
      <c r="C1376" s="192" t="str">
        <v>Meeting Roemah Koffie</v>
      </c>
      <c r="D1376" s="191" t="str">
        <v>Done</v>
      </c>
      <c r="E1376" s="193"/>
    </row>
    <row r="1377">
      <c r="A1377" s="190"/>
      <c r="B1377" s="179" t="str">
        <v>Hadi</v>
      </c>
      <c r="C1377" s="192" t="str">
        <v>Monitoring Business</v>
      </c>
      <c r="D1377" s="191" t="str">
        <v>Done</v>
      </c>
      <c r="E1377" s="193"/>
    </row>
    <row r="1378">
      <c r="A1378" s="190"/>
      <c r="B1378" s="179"/>
      <c r="C1378" s="192" t="str">
        <v>Meeting Head</v>
      </c>
      <c r="D1378" s="191" t="str">
        <v>Done</v>
      </c>
      <c r="E1378" s="193"/>
    </row>
    <row r="1379">
      <c r="A1379" s="190"/>
      <c r="B1379" s="179"/>
      <c r="C1379" s="192" t="str">
        <v>others : draft hub internship, cicil b2b project</v>
      </c>
      <c r="D1379" s="191" t="str">
        <v>Done</v>
      </c>
      <c r="E1379" s="193"/>
    </row>
    <row r="1380">
      <c r="A1380" s="190"/>
      <c r="B1380" s="179"/>
      <c r="C1380" s="192"/>
      <c r="D1380" s="191"/>
      <c r="E1380" s="193"/>
    </row>
    <row r="1381">
      <c r="A1381" s="190"/>
      <c r="B1381" s="179"/>
      <c r="C1381" s="192"/>
      <c r="D1381" s="191"/>
      <c r="E1381" s="193"/>
    </row>
    <row customHeight="true" ht="19" r="1382">
      <c r="A1382" s="190">
        <v>46080</v>
      </c>
      <c r="B1382" s="179" t="str">
        <v>Fariz</v>
      </c>
      <c r="C1382" s="192" t="str">
        <v>[LMS] Meeting LMS</v>
      </c>
      <c r="D1382" s="179" t="str">
        <v>Done</v>
      </c>
      <c r="E1382" s="193"/>
    </row>
    <row r="1383">
      <c r="A1383" s="190"/>
      <c r="B1383" s="179"/>
      <c r="C1383" s="192" t="str">
        <v>[CTR] Meeting Permata Grup</v>
      </c>
      <c r="D1383" s="179" t="str">
        <v>Done</v>
      </c>
      <c r="E1383" s="193"/>
    </row>
    <row r="1384">
      <c r="A1384" s="190"/>
      <c r="B1384" s="179"/>
      <c r="C1384" s="179" t="str">
        <v>[WGA] Koordinasi Freelancer dan Operasional</v>
      </c>
      <c r="D1384" s="179" t="str">
        <v>Done</v>
      </c>
      <c r="E1384" s="193"/>
    </row>
    <row r="1385">
      <c r="A1385" s="190"/>
      <c r="B1385" s="179"/>
      <c r="C1385" s="192"/>
      <c r="D1385" s="191"/>
      <c r="E1385" s="193"/>
    </row>
    <row r="1386">
      <c r="A1386" s="190"/>
      <c r="B1386" s="179"/>
      <c r="C1386" s="192"/>
      <c r="D1386" s="191"/>
      <c r="E1386" s="193"/>
    </row>
    <row r="1387">
      <c r="A1387" s="190"/>
      <c r="B1387" s="191" t="str">
        <v>Dwi</v>
      </c>
      <c r="C1387" s="192"/>
      <c r="D1387" s="191"/>
      <c r="E1387" s="193"/>
    </row>
    <row r="1388">
      <c r="A1388" s="190"/>
      <c r="B1388" s="191"/>
      <c r="C1388" s="192" t="str">
        <v>Personal License</v>
      </c>
      <c r="D1388" s="191" t="str">
        <v>Done</v>
      </c>
      <c r="E1388" s="193"/>
    </row>
    <row r="1389">
      <c r="A1389" s="190"/>
      <c r="B1389" s="191"/>
      <c r="C1389" s="192" t="str">
        <v>Benerin Operasional Calendar &amp; Workflow for B2C</v>
      </c>
      <c r="D1389" s="191"/>
      <c r="E1389" s="193"/>
    </row>
    <row r="1390">
      <c r="A1390" s="190"/>
      <c r="B1390" s="191"/>
      <c r="C1390" s="192" t="str">
        <v>Meeting LMS</v>
      </c>
      <c r="D1390" s="191" t="str">
        <v>Done</v>
      </c>
      <c r="E1390" s="193"/>
    </row>
    <row r="1391">
      <c r="A1391" s="190"/>
      <c r="B1391" s="191"/>
      <c r="C1391" s="192" t="str">
        <v>Materi Intern</v>
      </c>
      <c r="D1391" s="191" t="str">
        <v>Done</v>
      </c>
      <c r="E1391" s="193"/>
    </row>
    <row r="1392">
      <c r="A1392" s="190"/>
      <c r="B1392" s="191"/>
      <c r="C1392" s="192"/>
      <c r="D1392" s="191"/>
      <c r="E1392" s="193"/>
    </row>
    <row r="1393">
      <c r="A1393" s="190"/>
      <c r="B1393" s="179" t="str">
        <v>Wina</v>
      </c>
      <c r="C1393" s="192" t="str">
        <v>Daily Content (newsletter, community)</v>
      </c>
      <c r="D1393" s="191" t="str">
        <v>Done</v>
      </c>
      <c r="E1393" s="193"/>
    </row>
    <row r="1394">
      <c r="A1394" s="190"/>
      <c r="B1394" s="179"/>
      <c r="C1394" s="192" t="str" xml:space="preserve">
        <v>rekap sales </v>
      </c>
      <c r="D1394" s="191" t="str">
        <v>Done</v>
      </c>
      <c r="E1394" s="193"/>
    </row>
    <row r="1395">
      <c r="A1395" s="190"/>
      <c r="B1395" s="179"/>
      <c r="C1395" s="192" t="str">
        <v>Calender Plan community &amp; sosmed</v>
      </c>
      <c r="D1395" s="191" t="str">
        <v>Done</v>
      </c>
      <c r="E1395" s="193"/>
    </row>
    <row r="1396">
      <c r="A1396" s="190"/>
      <c r="B1396" s="179"/>
      <c r="C1396" s="192"/>
      <c r="D1396" s="191"/>
      <c r="E1396" s="193"/>
    </row>
    <row r="1397">
      <c r="A1397" s="190"/>
      <c r="B1397" s="179"/>
      <c r="C1397" s="192"/>
      <c r="D1397" s="191"/>
      <c r="E1397" s="193"/>
    </row>
    <row r="1398">
      <c r="A1398" s="190"/>
      <c r="B1398" s="191" t="str">
        <v>Annisa</v>
      </c>
      <c r="C1398" s="192" t="str">
        <v>ngeberesin revisi video LMS</v>
      </c>
      <c r="D1398" s="191" t="str">
        <v>Done</v>
      </c>
      <c r="E1398" s="193"/>
    </row>
    <row r="1399">
      <c r="A1399" s="190"/>
      <c r="B1399" s="191"/>
      <c r="C1399" s="192" t="str" xml:space="preserve">
        <v>Lanjutin masuk-masukkin foto dokumentasi event MAPID </v>
      </c>
      <c r="D1399" s="191" t="str">
        <v>Done</v>
      </c>
      <c r="E1399" s="193"/>
    </row>
    <row r="1400">
      <c r="A1400" s="190"/>
      <c r="B1400" s="191"/>
      <c r="C1400" s="192" t="str">
        <v>Ngerjain poster untuk webgis development sharing shession Neta</v>
      </c>
      <c r="D1400" s="191" t="str">
        <v>Done</v>
      </c>
      <c r="E1400" s="193"/>
    </row>
    <row r="1401">
      <c r="A1401" s="190"/>
      <c r="B1401" s="191"/>
      <c r="C1401" s="192"/>
      <c r="D1401" s="191"/>
      <c r="E1401" s="193"/>
    </row>
    <row r="1402">
      <c r="A1402" s="190"/>
      <c r="B1402" s="191"/>
      <c r="C1402" s="192"/>
      <c r="D1402" s="191"/>
      <c r="E1402" s="193"/>
    </row>
    <row r="1403">
      <c r="A1403" s="190"/>
      <c r="B1403" s="194" t="str">
        <v>Lossa</v>
      </c>
      <c r="C1403" s="192" t="str">
        <v>(prodia) proses dokumen perpanjangan year 2</v>
      </c>
      <c r="D1403" s="191" t="str">
        <v>Done</v>
      </c>
      <c r="E1403" s="193" t="str">
        <v>semua dokumen sudah dikirim hardcopy</v>
      </c>
    </row>
    <row r="1404">
      <c r="A1404" s="190"/>
      <c r="B1404" s="194"/>
      <c r="C1404" s="192" t="str">
        <v>(pupuk) adjust tor koor, kurasi surveyor</v>
      </c>
      <c r="D1404" s="191" t="str">
        <v>Done</v>
      </c>
      <c r="E1404" s="193" t="str">
        <v>besok sabtu meeting sama koor</v>
      </c>
    </row>
    <row r="1405">
      <c r="A1405" s="190"/>
      <c r="B1405" s="194"/>
      <c r="C1405" s="192" t="str">
        <v>(nabati) drafting sow based on rfp</v>
      </c>
      <c r="D1405" s="191" t="str">
        <v>Done</v>
      </c>
      <c r="E1405" s="193"/>
    </row>
    <row r="1406">
      <c r="A1406" s="190"/>
      <c r="B1406" s="194"/>
      <c r="C1406" s="192"/>
      <c r="D1406" s="191"/>
      <c r="E1406" s="193"/>
    </row>
    <row customHeight="true" ht="19" r="1407">
      <c r="A1407" s="190"/>
      <c r="B1407" s="194"/>
      <c r="C1407" s="192"/>
      <c r="D1407" s="191"/>
      <c r="E1407" s="193"/>
    </row>
    <row r="1408">
      <c r="A1408" s="190"/>
      <c r="B1408" s="194" t="str">
        <v>Amel</v>
      </c>
      <c r="C1408" s="192" t="str">
        <v>meeting penawaran DSDA</v>
      </c>
      <c r="D1408" s="191" t="str">
        <v>Done</v>
      </c>
      <c r="E1408" s="193"/>
    </row>
    <row r="1409">
      <c r="A1409" s="190"/>
      <c r="B1409" s="194"/>
      <c r="C1409" s="192" t="str">
        <v>diskusi internal improvement pengerukan dgn SA</v>
      </c>
      <c r="D1409" s="191" t="str">
        <v>Done</v>
      </c>
      <c r="E1409" s="193"/>
    </row>
    <row r="1410">
      <c r="A1410" s="190"/>
      <c r="B1410" s="194"/>
      <c r="C1410" s="192" t="str">
        <v>adjust penawaran harga kontrak dsda</v>
      </c>
      <c r="D1410" s="191" t="str">
        <v>Done</v>
      </c>
      <c r="E1410" s="193"/>
    </row>
    <row r="1411">
      <c r="A1411" s="190"/>
      <c r="B1411" s="194"/>
      <c r="C1411" s="192" t="str">
        <v>define req data untuk tam ke indosat</v>
      </c>
      <c r="D1411" s="191" t="str">
        <v>Done</v>
      </c>
      <c r="E1411" s="193"/>
    </row>
    <row r="1412">
      <c r="A1412" s="190"/>
      <c r="B1412" s="194"/>
      <c r="C1412" s="192"/>
      <c r="D1412" s="191"/>
      <c r="E1412" s="193"/>
    </row>
    <row r="1413">
      <c r="A1413" s="190"/>
      <c r="B1413" s="194" t="str">
        <v>Zhafran</v>
      </c>
      <c r="C1413" s="192" t="str">
        <v>Monitoring Project</v>
      </c>
      <c r="D1413" s="191" t="str">
        <v>Done</v>
      </c>
      <c r="E1413" s="193"/>
    </row>
    <row r="1414">
      <c r="A1414" s="190"/>
      <c r="B1414" s="194"/>
      <c r="C1414" s="192" t="str">
        <v>Bahan Presentasi Intern</v>
      </c>
      <c r="D1414" s="191" t="str">
        <v>Done</v>
      </c>
      <c r="E1414" s="193"/>
    </row>
    <row r="1415">
      <c r="A1415" s="190"/>
      <c r="B1415" s="194"/>
      <c r="C1415" s="192" t="str">
        <v>Meeting ATR BPN</v>
      </c>
      <c r="D1415" s="191" t="str">
        <v>Done</v>
      </c>
      <c r="E1415" s="193"/>
    </row>
    <row r="1416">
      <c r="A1416" s="190"/>
      <c r="B1416" s="194"/>
      <c r="C1416" s="192"/>
      <c r="D1416" s="191"/>
      <c r="E1416" s="193"/>
    </row>
    <row r="1417">
      <c r="A1417" s="190"/>
      <c r="B1417" s="194"/>
      <c r="C1417" s="192"/>
      <c r="D1417" s="191"/>
      <c r="E1417" s="193"/>
    </row>
    <row r="1418">
      <c r="A1418" s="190"/>
      <c r="B1418" s="179" t="str">
        <v>Hadi</v>
      </c>
      <c r="C1418" s="192" t="str">
        <v>Monitoring Business</v>
      </c>
      <c r="D1418" s="191" t="str">
        <v>Done</v>
      </c>
      <c r="E1418" s="193"/>
    </row>
    <row r="1419">
      <c r="A1419" s="190"/>
      <c r="B1419" s="179"/>
      <c r="C1419" s="192" t="str">
        <v>Meeting Penawaran DSDA</v>
      </c>
      <c r="D1419" s="191" t="str">
        <v>Done</v>
      </c>
      <c r="E1419" s="193"/>
    </row>
    <row r="1420">
      <c r="A1420" s="190"/>
      <c r="B1420" s="179"/>
      <c r="C1420" s="192" t="str">
        <v>Meeting LMS</v>
      </c>
      <c r="D1420" s="191" t="str">
        <v>Done</v>
      </c>
      <c r="E1420" s="193"/>
    </row>
    <row r="1421">
      <c r="A1421" s="190"/>
      <c r="B1421" s="179"/>
      <c r="C1421" s="192" t="str">
        <v>Others : 1on1 Session, Drafting Model Business Personal Bundling</v>
      </c>
      <c r="D1421" s="191" t="str">
        <v>Done</v>
      </c>
      <c r="E1421" s="193"/>
    </row>
    <row r="1422">
      <c r="A1422" s="190"/>
      <c r="B1422" s="179"/>
      <c r="C1422" s="192"/>
      <c r="D1422" s="191"/>
      <c r="E1422" s="193"/>
    </row>
    <row r="1423">
      <c r="A1423" s="190">
        <v>46083</v>
      </c>
      <c r="B1423" s="179" t="str">
        <v>Fariz</v>
      </c>
      <c r="C1423" s="192" t="str">
        <v>[INT] Pengajaran Awal Product + MAPID Academy</v>
      </c>
      <c r="D1423" s="179" t="str">
        <v>Done</v>
      </c>
      <c r="E1423" s="193"/>
    </row>
    <row r="1424">
      <c r="A1424" s="190"/>
      <c r="B1424" s="179"/>
      <c r="C1424" s="192" t="str">
        <v>[DLY] Purchasing</v>
      </c>
      <c r="D1424" s="179" t="str">
        <v>Done</v>
      </c>
      <c r="E1424" s="193"/>
    </row>
    <row r="1425">
      <c r="A1425" s="190"/>
      <c r="B1425" s="179"/>
      <c r="C1425" s="179" t="str">
        <v>[FLA] Koordinasi Freelancer</v>
      </c>
      <c r="D1425" s="211" t="str">
        <v>Done</v>
      </c>
      <c r="E1425" s="193"/>
    </row>
    <row r="1426">
      <c r="A1426" s="190"/>
      <c r="B1426" s="179"/>
      <c r="C1426" s="207"/>
      <c r="D1426" s="179"/>
      <c r="E1426" s="205"/>
    </row>
    <row r="1427">
      <c r="A1427" s="190"/>
      <c r="B1427" s="179"/>
      <c r="C1427" s="207"/>
      <c r="D1427" s="179"/>
      <c r="E1427" s="205"/>
    </row>
    <row r="1428">
      <c r="A1428" s="190"/>
      <c r="B1428" s="191" t="str">
        <v>Dwi</v>
      </c>
      <c r="C1428" s="192" t="str">
        <v>Briefing - Digital Marketing Intern (Product, usecase, dan first task)</v>
      </c>
      <c r="D1428" s="191" t="str">
        <v>Done</v>
      </c>
      <c r="E1428" s="193"/>
    </row>
    <row r="1429">
      <c r="A1429" s="190"/>
      <c r="B1429" s="191"/>
      <c r="C1429" s="192" t="str">
        <v>Pembagian Business expansion task (Brief tim data, PSE, Report Design)</v>
      </c>
      <c r="D1429" s="191" t="str">
        <v>Done</v>
      </c>
      <c r="E1429" s="193"/>
    </row>
    <row r="1430">
      <c r="A1430" s="190"/>
      <c r="B1430" s="191"/>
      <c r="C1430" s="192"/>
      <c r="D1430" s="191"/>
      <c r="E1430" s="193"/>
    </row>
    <row r="1431">
      <c r="A1431" s="190"/>
      <c r="B1431" s="191"/>
      <c r="C1431" s="192"/>
      <c r="D1431" s="191"/>
      <c r="E1431" s="193"/>
    </row>
    <row r="1432">
      <c r="A1432" s="190"/>
      <c r="B1432" s="191"/>
      <c r="C1432" s="192"/>
      <c r="D1432" s="191"/>
      <c r="E1432" s="193"/>
    </row>
    <row r="1433">
      <c r="A1433" s="190"/>
      <c r="B1433" s="191"/>
      <c r="C1433" s="192"/>
      <c r="D1433" s="191"/>
      <c r="E1433" s="193"/>
    </row>
    <row r="1434">
      <c r="A1434" s="190"/>
      <c r="B1434" s="179" t="str">
        <v>Wina</v>
      </c>
      <c r="C1434" s="192" t="str">
        <v>Daily content (community)</v>
      </c>
      <c r="D1434" s="191" t="str">
        <v>Done</v>
      </c>
      <c r="E1434" s="193"/>
    </row>
    <row r="1435">
      <c r="A1435" s="190"/>
      <c r="B1435" s="179"/>
      <c r="C1435" s="192" t="str">
        <v>Onboarding Intern</v>
      </c>
      <c r="D1435" s="191" t="str">
        <v>Done</v>
      </c>
      <c r="E1435" s="193"/>
    </row>
    <row r="1436">
      <c r="A1436" s="190"/>
      <c r="B1436" s="179"/>
      <c r="C1436" s="192" t="str">
        <v>Rekap sales</v>
      </c>
      <c r="D1436" s="191" t="str">
        <v>Done</v>
      </c>
      <c r="E1436" s="193"/>
    </row>
    <row r="1437">
      <c r="A1437" s="190"/>
      <c r="B1437" s="179"/>
      <c r="C1437" s="192"/>
      <c r="D1437" s="191"/>
      <c r="E1437" s="193"/>
    </row>
    <row r="1438">
      <c r="A1438" s="190"/>
      <c r="B1438" s="179"/>
      <c r="C1438" s="192"/>
      <c r="D1438" s="191"/>
      <c r="E1438" s="193"/>
    </row>
    <row r="1439">
      <c r="A1439" s="190"/>
      <c r="B1439" s="191" t="str">
        <v>Annisa</v>
      </c>
      <c r="C1439" s="192" t="str">
        <v>Asset Library - Brand guidelines</v>
      </c>
      <c r="D1439" s="191" t="str">
        <v>Done</v>
      </c>
      <c r="E1439" s="193" t="str">
        <v>tinggal bagian grafik dan icon masih banyak yg belum komplit</v>
      </c>
    </row>
    <row r="1440">
      <c r="A1440" s="190"/>
      <c r="B1440" s="191"/>
      <c r="C1440" s="192" t="str">
        <v>TONE OF VOICE - Brand guidelines</v>
      </c>
      <c r="D1440" s="191" t="str">
        <v>Done</v>
      </c>
      <c r="E1440" s="193"/>
    </row>
    <row r="1441">
      <c r="A1441" s="190"/>
      <c r="B1441" s="191"/>
      <c r="C1441" s="192" t="str">
        <v>IMAGERY STYLE</v>
      </c>
      <c r="D1441" s="191" t="str">
        <v>Done</v>
      </c>
      <c r="E1441" s="193" t="str">
        <v>lanjutin besok</v>
      </c>
    </row>
    <row r="1442">
      <c r="A1442" s="190"/>
      <c r="B1442" s="191"/>
      <c r="C1442" s="192"/>
      <c r="D1442" s="191"/>
      <c r="E1442" s="193"/>
    </row>
    <row r="1443">
      <c r="A1443" s="190"/>
      <c r="B1443" s="191"/>
      <c r="C1443" s="192"/>
      <c r="D1443" s="191"/>
      <c r="E1443" s="193"/>
    </row>
    <row r="1444">
      <c r="A1444" s="190"/>
      <c r="B1444" s="194" t="str">
        <v>Lossa</v>
      </c>
      <c r="C1444" s="192"/>
      <c r="D1444" s="191"/>
      <c r="E1444" s="193"/>
    </row>
    <row r="1445">
      <c r="A1445" s="190"/>
      <c r="B1445" s="194"/>
      <c r="C1445" s="192"/>
      <c r="D1445" s="191"/>
      <c r="E1445" s="193"/>
    </row>
    <row r="1446">
      <c r="A1446" s="190"/>
      <c r="B1446" s="194"/>
      <c r="C1446" s="192"/>
      <c r="D1446" s="191"/>
      <c r="E1446" s="193"/>
    </row>
    <row r="1447">
      <c r="A1447" s="190"/>
      <c r="B1447" s="194"/>
      <c r="C1447" s="192"/>
      <c r="D1447" s="191"/>
      <c r="E1447" s="193"/>
    </row>
    <row r="1448">
      <c r="A1448" s="190"/>
      <c r="B1448" s="194"/>
      <c r="C1448" s="192"/>
      <c r="D1448" s="191"/>
      <c r="E1448" s="193"/>
    </row>
    <row r="1449">
      <c r="A1449" s="190"/>
      <c r="B1449" s="194" t="str">
        <v>Amel</v>
      </c>
      <c r="C1449" s="192" t="str">
        <v>Onboarding intern</v>
      </c>
      <c r="D1449" s="191" t="str">
        <v>Done</v>
      </c>
      <c r="E1449" s="193"/>
    </row>
    <row r="1450">
      <c r="A1450" s="190"/>
      <c r="B1450" s="194"/>
      <c r="C1450" s="192" t="str">
        <v>meeting ruang lingkup dengan tim DSDA</v>
      </c>
      <c r="D1450" s="191" t="str">
        <v>Done</v>
      </c>
      <c r="E1450" s="193"/>
    </row>
    <row r="1451">
      <c r="A1451" s="190"/>
      <c r="B1451" s="194"/>
      <c r="C1451" s="192" t="str">
        <v>surat penawaran harga DSDA</v>
      </c>
      <c r="D1451" s="191" t="str">
        <v>Done</v>
      </c>
      <c r="E1451" s="193"/>
    </row>
    <row r="1452">
      <c r="A1452" s="190"/>
      <c r="B1452" s="194"/>
      <c r="C1452" s="192" t="str">
        <v>deck danamon</v>
      </c>
      <c r="D1452" s="191" t="str">
        <v>Done</v>
      </c>
      <c r="E1452" s="193"/>
    </row>
    <row r="1453">
      <c r="A1453" s="190"/>
      <c r="B1453" s="194"/>
      <c r="D1453" s="191"/>
      <c r="E1453" s="193"/>
    </row>
    <row r="1454">
      <c r="A1454" s="190"/>
      <c r="B1454" s="194" t="str">
        <v>Zhafran</v>
      </c>
      <c r="C1454" s="192" t="str">
        <v>Onboarding intern</v>
      </c>
      <c r="D1454" s="191" t="str">
        <v>Done</v>
      </c>
      <c r="E1454" s="193"/>
    </row>
    <row r="1455">
      <c r="A1455" s="190"/>
      <c r="B1455" s="194"/>
      <c r="C1455" s="192" t="str">
        <v>FU Demo Call</v>
      </c>
      <c r="D1455" s="191" t="str">
        <v>Done</v>
      </c>
      <c r="E1455" s="193"/>
    </row>
    <row r="1456">
      <c r="A1456" s="190"/>
      <c r="B1456" s="194"/>
      <c r="C1456" s="192" t="str">
        <v>Meeting Neuviz</v>
      </c>
      <c r="D1456" s="191" t="str">
        <v>Done</v>
      </c>
      <c r="E1456" s="193"/>
    </row>
    <row r="1457">
      <c r="A1457" s="190"/>
      <c r="B1457" s="194"/>
      <c r="C1457" s="192"/>
      <c r="D1457" s="191"/>
      <c r="E1457" s="193"/>
    </row>
    <row r="1458">
      <c r="A1458" s="190"/>
      <c r="B1458" s="194"/>
      <c r="C1458" s="192"/>
      <c r="D1458" s="191"/>
      <c r="E1458" s="193"/>
    </row>
    <row r="1459">
      <c r="A1459" s="190"/>
      <c r="B1459" s="179" t="str">
        <v>Hadi</v>
      </c>
      <c r="C1459" s="192" t="str">
        <v>Monitoring Business</v>
      </c>
      <c r="D1459" s="191" t="str">
        <v>Done</v>
      </c>
      <c r="E1459" s="193"/>
    </row>
    <row r="1460">
      <c r="A1460" s="190"/>
      <c r="B1460" s="179"/>
      <c r="C1460" s="192" t="str">
        <v>Update dashboard bi mapid</v>
      </c>
      <c r="D1460" s="191" t="str">
        <v>Done</v>
      </c>
      <c r="E1460" s="193"/>
    </row>
    <row r="1461">
      <c r="A1461" s="190"/>
      <c r="B1461" s="179"/>
      <c r="C1461" s="192" t="str">
        <v>onboarding interns</v>
      </c>
      <c r="D1461" s="191" t="str">
        <v>Done</v>
      </c>
      <c r="E1461" s="193"/>
    </row>
    <row r="1462">
      <c r="A1462" s="190"/>
      <c r="B1462" s="179"/>
      <c r="C1462" s="192" t="str">
        <v>weekly meeting business</v>
      </c>
      <c r="D1462" s="191" t="str">
        <v>Done</v>
      </c>
      <c r="E1462" s="193"/>
    </row>
    <row r="1463">
      <c r="A1463" s="190"/>
      <c r="B1463" s="179"/>
      <c r="C1463" s="192" t="str">
        <v>others : drafting personal license bundling package</v>
      </c>
      <c r="D1463" s="191" t="str">
        <v>Done</v>
      </c>
      <c r="E1463" s="193"/>
    </row>
    <row r="1464">
      <c r="A1464" s="190">
        <v>46084</v>
      </c>
      <c r="B1464" s="179" t="str">
        <v>Fariz</v>
      </c>
      <c r="C1464" s="207" t="str">
        <v>[INT] Dokumen Detailed for Intern</v>
      </c>
      <c r="D1464" s="179" t="str">
        <v>Done</v>
      </c>
      <c r="E1464" s="205"/>
    </row>
    <row r="1465">
      <c r="A1465" s="190"/>
      <c r="B1465" s="179"/>
      <c r="C1465" s="191" t="str">
        <v>[FLA] Koordinasi Freelancer</v>
      </c>
      <c r="D1465" s="179" t="str">
        <v>Done</v>
      </c>
      <c r="E1465" s="205"/>
    </row>
    <row r="1466">
      <c r="A1466" s="190"/>
      <c r="B1466" s="179"/>
      <c r="D1466" s="133"/>
      <c r="E1466" s="205"/>
    </row>
    <row r="1467">
      <c r="A1467" s="190"/>
      <c r="B1467" s="179"/>
      <c r="C1467" s="207"/>
      <c r="D1467" s="179"/>
      <c r="E1467" s="205"/>
    </row>
    <row r="1468">
      <c r="A1468" s="190"/>
      <c r="B1468" s="179"/>
      <c r="C1468" s="207"/>
      <c r="D1468" s="179"/>
      <c r="E1468" s="205"/>
    </row>
    <row r="1469">
      <c r="A1469" s="190"/>
      <c r="B1469" s="191" t="str">
        <v>Dwi</v>
      </c>
      <c r="C1469" s="192" t="str">
        <v>Report Biweekly</v>
      </c>
      <c r="D1469" s="191"/>
      <c r="E1469" s="193"/>
    </row>
    <row r="1470">
      <c r="A1470" s="190"/>
      <c r="B1470" s="191"/>
      <c r="C1470" s="192" t="str">
        <v>Personal License Ads</v>
      </c>
      <c r="D1470" s="191"/>
      <c r="E1470" s="193"/>
    </row>
    <row r="1471">
      <c r="A1471" s="190"/>
      <c r="B1471" s="191"/>
      <c r="C1471" s="192" t="str">
        <v>Website- platform, terjemahan homepage, update page thematic class</v>
      </c>
      <c r="D1471" s="191" t="str">
        <v>Done</v>
      </c>
      <c r="E1471" s="193" t="str">
        <v>terjamahan homepage done
thematic class done</v>
      </c>
    </row>
    <row r="1472">
      <c r="A1472" s="190"/>
      <c r="B1472" s="191"/>
      <c r="C1472" s="192" t="str">
        <v>Report Budget</v>
      </c>
      <c r="D1472" s="191" t="str">
        <v>Done</v>
      </c>
      <c r="E1472" s="193"/>
    </row>
    <row r="1473">
      <c r="A1473" s="190"/>
      <c r="B1473" s="191"/>
      <c r="C1473" s="192"/>
      <c r="D1473" s="191"/>
      <c r="E1473" s="193"/>
    </row>
    <row r="1474">
      <c r="A1474" s="190"/>
      <c r="B1474" s="191"/>
      <c r="C1474" s="192"/>
      <c r="D1474" s="191"/>
      <c r="E1474" s="193"/>
    </row>
    <row r="1475">
      <c r="A1475" s="190"/>
      <c r="B1475" s="179" t="str">
        <v>Wina</v>
      </c>
      <c r="C1475" s="192" t="str">
        <v>Daily Content (IG Mapid Academy, WA)</v>
      </c>
      <c r="D1475" s="191" t="str">
        <v>Done</v>
      </c>
      <c r="E1475" s="193"/>
    </row>
    <row r="1476">
      <c r="A1476" s="190"/>
      <c r="B1476" s="179"/>
      <c r="C1476" s="192" t="str">
        <v>Rekap sales &amp; bweekly</v>
      </c>
      <c r="D1476" s="191" t="str">
        <v>Done</v>
      </c>
      <c r="E1476" s="193" t="str">
        <v>dilanjut besok</v>
      </c>
    </row>
    <row r="1477">
      <c r="A1477" s="190"/>
      <c r="B1477" s="179"/>
      <c r="C1477" s="192" t="str">
        <v>thematic class</v>
      </c>
      <c r="D1477" s="191" t="str">
        <v>Done</v>
      </c>
      <c r="E1477" s="193" t="s">
        <v>356</v>
      </c>
    </row>
    <row r="1478">
      <c r="A1478" s="190"/>
      <c r="B1478" s="179"/>
      <c r="C1478" s="192" t="str">
        <v>take content</v>
      </c>
      <c r="D1478" s="191"/>
      <c r="E1478" s="193"/>
    </row>
    <row r="1479">
      <c r="A1479" s="190"/>
      <c r="B1479" s="179"/>
      <c r="C1479" s="192"/>
      <c r="D1479" s="191"/>
      <c r="E1479" s="193"/>
    </row>
    <row r="1480">
      <c r="A1480" s="190"/>
      <c r="B1480" s="191" t="str">
        <v>Annisa</v>
      </c>
      <c r="C1480" s="192" t="str">
        <v>Diskusi mengenai desain kalender sama mas bagus</v>
      </c>
      <c r="D1480" s="191" t="str">
        <v>Done</v>
      </c>
      <c r="E1480" s="193"/>
    </row>
    <row r="1481">
      <c r="A1481" s="190"/>
      <c r="B1481" s="191"/>
      <c r="C1481" s="192" t="str" xml:space="preserve">
        <v>revisi tote bag dan notebook </v>
      </c>
      <c r="D1481" s="191" t="str">
        <v>Done</v>
      </c>
      <c r="E1481" s="193" t="str">
        <v>karena minta di ganti aset visual nya jadi peta urbanisasi Bandung</v>
      </c>
    </row>
    <row r="1482">
      <c r="A1482" s="190"/>
      <c r="B1482" s="191"/>
      <c r="C1482" s="192" t="str">
        <v>Sketsa Kalender</v>
      </c>
      <c r="D1482" s="191" t="str">
        <v>Done</v>
      </c>
      <c r="E1482" s="193" t="str" xml:space="preserve">
        <v>nyari2 referensi </v>
      </c>
    </row>
    <row r="1483">
      <c r="A1483" s="190"/>
      <c r="B1483" s="191"/>
      <c r="C1483" s="192"/>
      <c r="D1483" s="191"/>
      <c r="E1483" s="193"/>
    </row>
    <row r="1484">
      <c r="A1484" s="190"/>
      <c r="B1484" s="191"/>
      <c r="C1484" s="192"/>
      <c r="D1484" s="191"/>
      <c r="E1484" s="193"/>
    </row>
    <row r="1485">
      <c r="A1485" s="190"/>
      <c r="B1485" s="194" t="str">
        <v>Lossa</v>
      </c>
      <c r="C1485" s="192" t="str">
        <v>sick leave</v>
      </c>
      <c r="D1485" s="191" t="str">
        <v>Done</v>
      </c>
      <c r="E1485" s="193"/>
    </row>
    <row r="1486">
      <c r="A1486" s="190"/>
      <c r="B1486" s="194"/>
      <c r="C1486" s="192"/>
      <c r="D1486" s="191"/>
      <c r="E1486" s="193"/>
    </row>
    <row r="1487">
      <c r="A1487" s="190"/>
      <c r="B1487" s="194"/>
      <c r="C1487" s="192"/>
      <c r="D1487" s="191"/>
      <c r="E1487" s="193"/>
    </row>
    <row r="1488">
      <c r="A1488" s="190"/>
      <c r="B1488" s="194"/>
      <c r="C1488" s="192"/>
      <c r="D1488" s="191"/>
      <c r="E1488" s="193"/>
    </row>
    <row r="1489">
      <c r="A1489" s="190"/>
      <c r="B1489" s="194"/>
      <c r="C1489" s="192"/>
      <c r="D1489" s="191"/>
      <c r="E1489" s="193"/>
    </row>
    <row r="1490">
      <c r="A1490" s="190"/>
      <c r="B1490" s="194" t="str">
        <v>Amel</v>
      </c>
      <c r="C1490" s="192" t="str">
        <v>Menyusun ulang timeline DSDA sesuai dgn scope terbaru</v>
      </c>
      <c r="D1490" s="191" t="str">
        <v>Done</v>
      </c>
      <c r="E1490" s="193"/>
    </row>
    <row r="1491">
      <c r="A1491" s="190"/>
      <c r="B1491" s="194"/>
      <c r="C1491" s="192" t="str">
        <v>Meeting Danamon</v>
      </c>
      <c r="D1491" s="191" t="str">
        <v>Done</v>
      </c>
      <c r="E1491" s="193">
        <v>14</v>
      </c>
    </row>
    <row r="1492">
      <c r="A1492" s="190"/>
      <c r="B1492" s="194"/>
      <c r="C1492" s="192" t="str">
        <v>FRD Danamon</v>
      </c>
      <c r="D1492" s="191" t="str">
        <v>Done</v>
      </c>
      <c r="E1492" s="193"/>
    </row>
    <row r="1493">
      <c r="A1493" s="190"/>
      <c r="B1493" s="194"/>
      <c r="C1493" s="192" t="str">
        <v>FU dsda, kai</v>
      </c>
      <c r="D1493" s="191" t="str">
        <v>Done</v>
      </c>
      <c r="E1493" s="193"/>
    </row>
    <row r="1494">
      <c r="A1494" s="190"/>
      <c r="B1494" s="194"/>
      <c r="C1494" s="192"/>
      <c r="D1494" s="191"/>
      <c r="E1494" s="193"/>
    </row>
    <row r="1495">
      <c r="A1495" s="190"/>
      <c r="B1495" s="194" t="str">
        <v>Zhafran</v>
      </c>
      <c r="C1495" s="192" t="str">
        <v>Monitoring Project</v>
      </c>
      <c r="D1495" s="191" t="str">
        <v>Done</v>
      </c>
      <c r="E1495" s="193"/>
    </row>
    <row r="1496">
      <c r="A1496" s="190"/>
      <c r="B1496" s="194"/>
      <c r="C1496" s="192" t="str">
        <v>Deck Playbook Business Expansion</v>
      </c>
      <c r="D1496" s="191" t="str">
        <v>Done</v>
      </c>
      <c r="E1496" s="193"/>
    </row>
    <row r="1497">
      <c r="A1497" s="190"/>
      <c r="B1497" s="194"/>
      <c r="C1497" s="192" t="str">
        <v>List Katalog data partnership</v>
      </c>
      <c r="D1497" s="191" t="str">
        <v>Done</v>
      </c>
      <c r="E1497" s="193"/>
    </row>
    <row r="1498">
      <c r="A1498" s="190"/>
      <c r="B1498" s="194"/>
      <c r="C1498" s="192"/>
      <c r="D1498" s="191"/>
      <c r="E1498" s="193"/>
    </row>
    <row r="1499">
      <c r="A1499" s="190"/>
      <c r="B1499" s="194"/>
      <c r="C1499" s="192"/>
      <c r="D1499" s="191"/>
      <c r="E1499" s="193"/>
    </row>
    <row r="1500">
      <c r="A1500" s="190"/>
      <c r="B1500" s="179" t="str">
        <v>Hadi</v>
      </c>
      <c r="C1500" s="192" t="str">
        <v>Monitoring Business</v>
      </c>
      <c r="D1500" s="191" t="str">
        <v>Done</v>
      </c>
      <c r="E1500" s="193"/>
    </row>
    <row r="1501">
      <c r="A1501" s="190"/>
      <c r="B1501" s="179"/>
      <c r="C1501" s="192" t="str">
        <v>Meeting Finance</v>
      </c>
      <c r="D1501" s="191" t="str">
        <v>Done</v>
      </c>
      <c r="E1501" s="193"/>
    </row>
    <row r="1502">
      <c r="A1502" s="190"/>
      <c r="B1502" s="179"/>
      <c r="C1502" s="192" t="str">
        <v>Meeting Admin Dashboard</v>
      </c>
      <c r="D1502" s="191" t="str">
        <v>Done</v>
      </c>
      <c r="E1502" s="193"/>
    </row>
    <row r="1503">
      <c r="A1503" s="190"/>
      <c r="B1503" s="179"/>
      <c r="C1503" s="192" t="str">
        <v>others : reminder shareholders report, cicil b2b project list</v>
      </c>
      <c r="D1503" s="191" t="str">
        <v>Done</v>
      </c>
      <c r="E1503" s="193"/>
    </row>
    <row r="1504">
      <c r="A1504" s="190"/>
      <c r="B1504" s="179"/>
      <c r="C1504" s="192"/>
      <c r="D1504" s="191"/>
      <c r="E1504" s="193"/>
    </row>
    <row r="1505">
      <c r="A1505" s="190">
        <v>46085</v>
      </c>
      <c r="B1505" s="179" t="str">
        <v>Fariz</v>
      </c>
      <c r="C1505" s="2" t="str">
        <v>[DLY] Operasional Bootcamp, Thematic, Freelancer, Purchasing, Brief</v>
      </c>
      <c r="D1505" s="179" t="str">
        <v>Done</v>
      </c>
      <c r="E1505" s="205"/>
    </row>
    <row r="1506">
      <c r="A1506" s="190"/>
      <c r="B1506" s="179"/>
      <c r="C1506" s="207" t="str">
        <v>[LMS] Merapihkan Menu Course dan Standarisasi Course</v>
      </c>
      <c r="D1506" s="179" t="str">
        <v>Done</v>
      </c>
      <c r="E1506" s="205"/>
    </row>
    <row r="1507">
      <c r="A1507" s="190"/>
      <c r="B1507" s="179"/>
      <c r="D1507" s="133"/>
      <c r="E1507" s="205"/>
    </row>
    <row r="1508">
      <c r="A1508" s="190"/>
      <c r="B1508" s="179"/>
      <c r="C1508" s="192"/>
      <c r="D1508" s="203"/>
      <c r="E1508" s="193"/>
    </row>
    <row r="1509">
      <c r="A1509" s="190"/>
      <c r="B1509" s="179"/>
      <c r="C1509" s="192"/>
      <c r="D1509" s="191"/>
      <c r="E1509" s="193"/>
    </row>
    <row r="1510">
      <c r="A1510" s="190"/>
      <c r="B1510" s="191" t="str">
        <v>Dwi</v>
      </c>
      <c r="C1510" s="192" t="str">
        <v>Report Biweekly</v>
      </c>
      <c r="D1510" s="191" t="str">
        <v>Done</v>
      </c>
      <c r="E1510" s="193"/>
    </row>
    <row r="1511">
      <c r="A1511" s="190"/>
      <c r="B1511" s="191"/>
      <c r="C1511" s="192" t="str">
        <v>Website- copywriting platform</v>
      </c>
      <c r="D1511" s="191" t="str">
        <v>Done</v>
      </c>
      <c r="E1511" s="193"/>
    </row>
    <row r="1512">
      <c r="A1512" s="190"/>
      <c r="B1512" s="191"/>
      <c r="C1512" s="192" t="str">
        <v>Brief Video for supporting personal license sales (new use case for business)</v>
      </c>
      <c r="D1512" s="191" t="str">
        <v>Done</v>
      </c>
      <c r="E1512" s="193"/>
    </row>
    <row r="1513">
      <c r="A1513" s="190"/>
      <c r="B1513" s="191"/>
      <c r="C1513" s="192"/>
      <c r="D1513" s="191"/>
      <c r="E1513" s="193"/>
    </row>
    <row r="1514">
      <c r="A1514" s="190"/>
      <c r="B1514" s="191"/>
      <c r="C1514" s="192"/>
      <c r="D1514" s="191"/>
      <c r="E1514" s="193"/>
    </row>
    <row r="1515">
      <c r="A1515" s="190"/>
      <c r="B1515" s="191"/>
      <c r="C1515" s="192"/>
      <c r="D1515" s="191"/>
      <c r="E1515" s="193"/>
    </row>
    <row r="1516">
      <c r="A1516" s="190"/>
      <c r="B1516" s="179" t="str">
        <v>Wina</v>
      </c>
      <c r="C1516" s="192" t="str">
        <v>Daily content (newsletter)</v>
      </c>
      <c r="D1516" s="191" t="str">
        <v>Done</v>
      </c>
      <c r="E1516" s="193"/>
    </row>
    <row r="1517">
      <c r="A1517" s="190"/>
      <c r="B1517" s="179"/>
      <c r="C1517" s="192" t="str">
        <v>Rekap sales &amp; bweekly</v>
      </c>
      <c r="D1517" s="191" t="str">
        <v>Done</v>
      </c>
      <c r="E1517" s="193"/>
    </row>
    <row r="1518">
      <c r="A1518" s="190"/>
      <c r="B1518" s="179"/>
      <c r="C1518" s="192" t="str">
        <v>thematic class</v>
      </c>
      <c r="D1518" s="191" t="str">
        <v>Done</v>
      </c>
      <c r="E1518" s="193" t="str">
        <v>on hold</v>
      </c>
    </row>
    <row r="1519">
      <c r="A1519" s="190"/>
      <c r="B1519" s="179"/>
      <c r="C1519" s="192"/>
      <c r="D1519" s="191"/>
      <c r="E1519" s="193"/>
    </row>
    <row r="1520">
      <c r="A1520" s="190"/>
      <c r="B1520" s="179"/>
      <c r="C1520" s="192"/>
      <c r="D1520" s="191"/>
      <c r="E1520" s="193"/>
    </row>
    <row r="1521">
      <c r="A1521" s="190"/>
      <c r="B1521" s="191" t="str">
        <v>Annisa</v>
      </c>
      <c r="C1521" s="192" t="str">
        <v>revisi LMS video hands on part 3 dan 4</v>
      </c>
      <c r="D1521" s="191" t="str">
        <v>Done</v>
      </c>
      <c r="E1521" s="193"/>
    </row>
    <row r="1522">
      <c r="A1522" s="190"/>
      <c r="B1522" s="191"/>
      <c r="C1522" s="192" t="str">
        <v>bikin clear space untuk logo</v>
      </c>
      <c r="D1522" s="191" t="str">
        <v>Done</v>
      </c>
      <c r="E1522" s="193"/>
    </row>
    <row r="1523">
      <c r="A1523" s="190"/>
      <c r="B1523" s="191"/>
      <c r="C1523" s="192" t="str">
        <v>LAYOUT SYSTEM</v>
      </c>
      <c r="D1523" s="191" t="str">
        <v>Done</v>
      </c>
      <c r="E1523" s="193" t="str" xml:space="preserve">
        <v>lanjut besok </v>
      </c>
    </row>
    <row r="1524">
      <c r="A1524" s="190"/>
      <c r="B1524" s="191"/>
      <c r="C1524" s="192"/>
      <c r="D1524" s="191"/>
      <c r="E1524" s="193"/>
    </row>
    <row r="1525">
      <c r="A1525" s="190"/>
      <c r="B1525" s="191"/>
      <c r="C1525" s="192"/>
      <c r="D1525" s="191"/>
      <c r="E1525" s="193"/>
    </row>
    <row customHeight="true" ht="19" r="1526">
      <c r="A1526" s="190"/>
      <c r="B1526" s="194" t="str">
        <v>Lossa</v>
      </c>
      <c r="C1526" s="192" t="str">
        <v>testing survey nabati</v>
      </c>
      <c r="D1526" s="191" t="str">
        <v>Done</v>
      </c>
      <c r="E1526" s="193" t="str">
        <v>8.00 - 9.00</v>
      </c>
    </row>
    <row r="1527">
      <c r="A1527" s="190"/>
      <c r="B1527" s="194"/>
      <c r="C1527" s="192" t="str">
        <v>kick off internal nabati</v>
      </c>
      <c r="D1527" s="191" t="str">
        <v>Done</v>
      </c>
      <c r="E1527" s="193" t="str">
        <v>9.00 - 10.30</v>
      </c>
    </row>
    <row r="1528">
      <c r="A1528" s="190"/>
      <c r="B1528" s="194"/>
      <c r="C1528" s="192" t="str">
        <v>meeting karlo</v>
      </c>
      <c r="D1528" s="191" t="str">
        <v>Done</v>
      </c>
      <c r="E1528" s="193" t="str">
        <v>10.30 - 11.30</v>
      </c>
    </row>
    <row r="1529">
      <c r="A1529" s="190"/>
      <c r="B1529" s="194"/>
      <c r="C1529" s="192" t="str">
        <v>kick off client nabati</v>
      </c>
      <c r="D1529" s="191" t="str">
        <v>Done</v>
      </c>
      <c r="E1529" s="193" t="str">
        <v>14.00 - 15.00</v>
      </c>
    </row>
    <row r="1530">
      <c r="A1530" s="190"/>
      <c r="B1530" s="194"/>
      <c r="C1530" s="192" t="str">
        <v>kurasi + hubungin surveyor pupuk</v>
      </c>
      <c r="D1530" s="191" t="str">
        <v>Done</v>
      </c>
      <c r="E1530" s="193"/>
    </row>
    <row customHeight="true" ht="19" r="1531">
      <c r="A1531" s="190"/>
      <c r="B1531" s="194"/>
      <c r="C1531" s="192"/>
      <c r="D1531" s="191"/>
      <c r="E1531" s="193"/>
    </row>
    <row r="1532">
      <c r="A1532" s="190"/>
      <c r="B1532" s="194" t="str">
        <v>Amel</v>
      </c>
      <c r="C1532" s="192" t="str">
        <v>Pengumpulan mockup untuk upload ke inaproc</v>
      </c>
      <c r="D1532" s="191" t="str">
        <v>Done</v>
      </c>
      <c r="E1532" s="193"/>
    </row>
    <row r="1533">
      <c r="A1533" s="190"/>
      <c r="B1533" s="194"/>
      <c r="C1533" s="192" t="str">
        <v>weekly meeting progress DSDA</v>
      </c>
      <c r="D1533" s="191" t="str">
        <v>Done</v>
      </c>
      <c r="E1533" s="193"/>
    </row>
    <row r="1534">
      <c r="A1534" s="190"/>
      <c r="B1534" s="194"/>
      <c r="C1534" s="192" t="str">
        <v>feasibility check meeting</v>
      </c>
      <c r="D1534" s="191" t="str">
        <v>Done</v>
      </c>
      <c r="E1534" s="193"/>
    </row>
    <row r="1535">
      <c r="A1535" s="190"/>
      <c r="B1535" s="194"/>
      <c r="C1535" s="192" t="str">
        <v>Deck BPBD</v>
      </c>
      <c r="D1535" s="191" t="str">
        <v>Done</v>
      </c>
      <c r="E1535" s="193"/>
    </row>
    <row r="1536">
      <c r="A1536" s="190"/>
      <c r="B1536" s="194"/>
      <c r="C1536" s="192"/>
      <c r="D1536" s="191"/>
      <c r="E1536" s="193"/>
    </row>
    <row r="1537">
      <c r="A1537" s="190"/>
      <c r="B1537" s="194" t="str">
        <v>Zhafran</v>
      </c>
      <c r="C1537" s="192" t="str">
        <v>Demo Call Warung Sangu</v>
      </c>
      <c r="D1537" s="191" t="str">
        <v>Done</v>
      </c>
      <c r="E1537" s="193"/>
    </row>
    <row r="1538">
      <c r="A1538" s="190"/>
      <c r="B1538" s="194"/>
      <c r="C1538" s="192" t="str">
        <v>Demo Call Citra Rasa Prima</v>
      </c>
      <c r="D1538" s="191" t="str">
        <v>Done</v>
      </c>
      <c r="E1538" s="193"/>
    </row>
    <row r="1539">
      <c r="A1539" s="190"/>
      <c r="B1539" s="194"/>
      <c r="C1539" s="192" t="str">
        <v>Feasibility Check</v>
      </c>
      <c r="D1539" s="191" t="str">
        <v>Done</v>
      </c>
      <c r="E1539" s="193"/>
    </row>
    <row r="1540">
      <c r="A1540" s="190"/>
      <c r="B1540" s="194"/>
      <c r="C1540" s="192" t="str">
        <v>Handover Karlo</v>
      </c>
      <c r="D1540" s="191" t="str">
        <v>Done</v>
      </c>
      <c r="E1540" s="193"/>
    </row>
    <row r="1541">
      <c r="A1541" s="190"/>
      <c r="B1541" s="194"/>
      <c r="C1541" s="192"/>
      <c r="D1541" s="191"/>
      <c r="E1541" s="193"/>
    </row>
    <row r="1542">
      <c r="A1542" s="190"/>
      <c r="B1542" s="179" t="str">
        <v>Hadi</v>
      </c>
      <c r="C1542" s="192" t="str">
        <v>Monitoring Business</v>
      </c>
      <c r="D1542" s="191" t="str">
        <v>Done</v>
      </c>
      <c r="E1542" s="193"/>
    </row>
    <row r="1543">
      <c r="A1543" s="190"/>
      <c r="B1543" s="179"/>
      <c r="C1543" s="192" t="str">
        <v>Kick-off internal Nabati</v>
      </c>
      <c r="D1543" s="198" t="str">
        <v>Done</v>
      </c>
      <c r="E1543" s="193"/>
    </row>
    <row r="1544">
      <c r="A1544" s="190"/>
      <c r="B1544" s="179"/>
      <c r="C1544" s="207" t="str">
        <v>Kick-off internal Karlo</v>
      </c>
      <c r="D1544" s="179" t="str">
        <v>Done</v>
      </c>
      <c r="E1544" s="205"/>
    </row>
    <row r="1545">
      <c r="A1545" s="190"/>
      <c r="B1545" s="179"/>
      <c r="C1545" s="207" t="str">
        <v>Root Cause Analysis Report KARLO</v>
      </c>
      <c r="D1545" s="179" t="str">
        <v>Done</v>
      </c>
      <c r="E1545" s="205"/>
    </row>
    <row r="1546">
      <c r="A1546" s="190"/>
      <c r="B1546" s="179"/>
      <c r="D1546" s="133"/>
      <c r="E1546" s="205"/>
    </row>
    <row r="1547">
      <c r="A1547" s="190">
        <v>46086</v>
      </c>
      <c r="B1547" s="179" t="str">
        <v>Fariz</v>
      </c>
      <c r="C1547" s="207" t="str">
        <v>[LMS] Perbaikan Dokumen LMS (Timeline + Handover Triana)</v>
      </c>
      <c r="D1547" s="191" t="str">
        <v>Done</v>
      </c>
      <c r="E1547" s="205"/>
    </row>
    <row r="1548">
      <c r="A1548" s="190"/>
      <c r="B1548" s="179"/>
      <c r="C1548" s="207" t="str">
        <v>[WGA] Timeline WebGIS Batch 3</v>
      </c>
      <c r="D1548" s="179" t="str">
        <v>Done</v>
      </c>
      <c r="E1548" s="205"/>
    </row>
    <row r="1549">
      <c r="A1549" s="190"/>
      <c r="B1549" s="179"/>
      <c r="C1549" s="207" t="str">
        <v>[DLY] Mempelajari Tutorial GEO dan Use Case Business</v>
      </c>
      <c r="D1549" s="179" t="str">
        <v>Done</v>
      </c>
      <c r="E1549" s="205"/>
    </row>
    <row r="1550">
      <c r="A1550" s="190"/>
      <c r="B1550" s="179"/>
      <c r="C1550" s="207"/>
      <c r="D1550" s="179"/>
      <c r="E1550" s="205"/>
    </row>
    <row r="1551">
      <c r="A1551" s="190"/>
      <c r="B1551" s="179"/>
      <c r="C1551" s="192"/>
      <c r="D1551" s="203"/>
      <c r="E1551" s="193"/>
    </row>
    <row r="1552">
      <c r="A1552" s="190"/>
      <c r="B1552" s="191" t="str">
        <v>Dwi</v>
      </c>
      <c r="C1552" s="192" t="str">
        <v>revamp platform page</v>
      </c>
      <c r="D1552" s="191" t="str">
        <v>Done</v>
      </c>
      <c r="E1552" s="193"/>
    </row>
    <row r="1553">
      <c r="A1553" s="190"/>
      <c r="B1553" s="191"/>
      <c r="C1553" s="192" t="str">
        <v>Notes revamp insight page</v>
      </c>
      <c r="D1553" s="191"/>
      <c r="E1553" s="193"/>
    </row>
    <row r="1554">
      <c r="A1554" s="190"/>
      <c r="B1554" s="191"/>
      <c r="C1554" s="192" t="str">
        <v>Notes revamp maps page</v>
      </c>
      <c r="D1554" s="191" t="str">
        <v>Done</v>
      </c>
      <c r="E1554" s="193"/>
    </row>
    <row r="1555">
      <c r="A1555" s="190"/>
      <c r="B1555" s="191"/>
      <c r="C1555" s="192" t="str">
        <v>Meeteing website</v>
      </c>
      <c r="D1555" s="191" t="str">
        <v>Done</v>
      </c>
      <c r="E1555" s="193"/>
    </row>
    <row r="1556">
      <c r="A1556" s="190"/>
      <c r="B1556" s="191"/>
      <c r="C1556" s="192" t="str">
        <v>Ideation Personal License</v>
      </c>
      <c r="D1556" s="191"/>
      <c r="E1556" s="193"/>
    </row>
    <row r="1557">
      <c r="A1557" s="190"/>
      <c r="B1557" s="191"/>
      <c r="C1557" s="192"/>
      <c r="D1557" s="191"/>
      <c r="E1557" s="193"/>
    </row>
    <row r="1558">
      <c r="A1558" s="190"/>
      <c r="B1558" s="179" t="str">
        <v>Wina</v>
      </c>
      <c r="C1558" s="192" t="str">
        <v>Daily Content (WA, IG)</v>
      </c>
      <c r="D1558" s="191" t="str">
        <v>Done</v>
      </c>
      <c r="E1558" s="193"/>
    </row>
    <row r="1559">
      <c r="A1559" s="190"/>
      <c r="B1559" s="179"/>
      <c r="C1559" s="192" t="str">
        <v>Brief konten sosmed</v>
      </c>
      <c r="D1559" s="191" t="str">
        <v>Done</v>
      </c>
      <c r="E1559" s="193"/>
    </row>
    <row r="1560">
      <c r="A1560" s="190"/>
      <c r="B1560" s="179"/>
      <c r="C1560" s="192"/>
      <c r="D1560" s="191"/>
      <c r="E1560" s="193"/>
    </row>
    <row r="1561">
      <c r="A1561" s="190"/>
      <c r="B1561" s="179"/>
      <c r="C1561" s="192"/>
      <c r="D1561" s="191"/>
      <c r="E1561" s="193"/>
    </row>
    <row r="1562">
      <c r="A1562" s="190"/>
      <c r="B1562" s="179"/>
      <c r="C1562" s="192"/>
      <c r="D1562" s="191"/>
      <c r="E1562" s="193"/>
    </row>
    <row r="1563">
      <c r="A1563" s="190"/>
      <c r="B1563" s="191" t="str">
        <v>Annisa</v>
      </c>
      <c r="C1563" s="192" t="str">
        <v>Bikin template LAYOUT SYSTEM</v>
      </c>
      <c r="D1563" s="191" t="str">
        <v>Done</v>
      </c>
      <c r="E1563" s="193"/>
    </row>
    <row r="1564">
      <c r="A1564" s="190"/>
      <c r="B1564" s="191"/>
      <c r="C1564" s="192" t="str" xml:space="preserve">
        <v>masih revisi tote bag dan notebook </v>
      </c>
      <c r="D1564" s="191" t="str">
        <v>Done</v>
      </c>
      <c r="E1564" s="193"/>
    </row>
    <row r="1565">
      <c r="A1565" s="190"/>
      <c r="B1565" s="191"/>
      <c r="C1565" s="192"/>
      <c r="D1565" s="191"/>
      <c r="E1565" s="193"/>
    </row>
    <row r="1566">
      <c r="A1566" s="190"/>
      <c r="B1566" s="191"/>
      <c r="C1566" s="192"/>
      <c r="D1566" s="191"/>
      <c r="E1566" s="193"/>
    </row>
    <row r="1567">
      <c r="A1567" s="190"/>
      <c r="B1567" s="191"/>
      <c r="C1567" s="192"/>
      <c r="D1567" s="191"/>
      <c r="E1567" s="193"/>
    </row>
    <row r="1568">
      <c r="A1568" s="190"/>
      <c r="B1568" s="194" t="str">
        <v>Lossa</v>
      </c>
      <c r="C1568" s="192" t="str">
        <v>(nabati) preparation oprec surveyor, koordinator, validator</v>
      </c>
      <c r="D1568" s="191" t="str">
        <v>Done</v>
      </c>
      <c r="E1568" s="193"/>
    </row>
    <row r="1569">
      <c r="A1569" s="190"/>
      <c r="B1569" s="194"/>
      <c r="C1569" s="192" t="str">
        <v>siapin akun dan license buat dikasih ke nabati ama pupuk</v>
      </c>
      <c r="D1569" s="191" t="str">
        <v>Done</v>
      </c>
      <c r="E1569" s="193" t="str">
        <v>kaldusarinabati, pupukindonesia</v>
      </c>
    </row>
    <row r="1570">
      <c r="A1570" s="190"/>
      <c r="B1570" s="194"/>
      <c r="C1570" s="192" t="str">
        <v>(pupuk) meeting koordinator</v>
      </c>
      <c r="D1570" s="191" t="str">
        <v>Done</v>
      </c>
      <c r="E1570" s="193">
        <v>13</v>
      </c>
    </row>
    <row customHeight="true" ht="19" r="1571">
      <c r="A1571" s="190"/>
      <c r="B1571" s="194"/>
      <c r="C1571" s="192" t="str">
        <v>meeting accurate</v>
      </c>
      <c r="D1571" s="191" t="str">
        <v>Done</v>
      </c>
      <c r="E1571" s="193">
        <v>14.3</v>
      </c>
    </row>
    <row r="1572">
      <c r="A1572" s="190"/>
      <c r="B1572" s="194"/>
      <c r="C1572" s="192" t="str" xml:space="preserve">
        <v>meeting internal pse </v>
      </c>
      <c r="D1572" s="191" t="str">
        <v>Done</v>
      </c>
      <c r="E1572" s="193">
        <v>15.3</v>
      </c>
    </row>
    <row r="1573">
      <c r="A1573" s="190"/>
      <c r="B1573" s="194" t="str">
        <v>Amel</v>
      </c>
      <c r="C1573" s="192" t="str">
        <v>adjust sow DSDA</v>
      </c>
      <c r="D1573" s="191" t="str">
        <v>Done</v>
      </c>
      <c r="E1573" s="193"/>
    </row>
    <row r="1574">
      <c r="A1574" s="190"/>
      <c r="B1574" s="194"/>
      <c r="C1574" s="192" t="str">
        <v>siapin data sample untuk TAM (ke tim data)</v>
      </c>
      <c r="D1574" s="191" t="str">
        <v>Done</v>
      </c>
      <c r="E1574" s="193"/>
    </row>
    <row r="1575">
      <c r="A1575" s="190"/>
      <c r="B1575" s="194"/>
      <c r="C1575" s="192" t="str">
        <v>deck erela</v>
      </c>
      <c r="D1575" s="191" t="str">
        <v>Done</v>
      </c>
      <c r="E1575" s="193"/>
    </row>
    <row r="1576">
      <c r="A1576" s="190"/>
      <c r="B1576" s="194"/>
      <c r="C1576" s="192" t="str">
        <v>meeting internal pse</v>
      </c>
      <c r="D1576" s="191" t="str">
        <v>Done</v>
      </c>
      <c r="E1576" s="193">
        <v>15.3</v>
      </c>
    </row>
    <row r="1577">
      <c r="A1577" s="190"/>
      <c r="B1577" s="194" t="str">
        <v>Zhafran</v>
      </c>
      <c r="C1577" s="192" t="str">
        <v>SOW, Penawaran dan root cause Karlo</v>
      </c>
      <c r="D1577" s="191" t="str">
        <v>Done</v>
      </c>
      <c r="E1577" s="193" t="str">
        <v>Pembuatan Penawaran di Accurate, dan RCA OTW</v>
      </c>
    </row>
    <row r="1578">
      <c r="A1578" s="190"/>
      <c r="B1578" s="194"/>
      <c r="C1578" s="192" t="str">
        <v>Proposal Demo Call (Citra Rasa Prima)</v>
      </c>
      <c r="D1578" s="191" t="str">
        <v>Done</v>
      </c>
      <c r="E1578" s="193"/>
    </row>
    <row r="1579">
      <c r="A1579" s="190"/>
      <c r="B1579" s="194"/>
      <c r="C1579" s="192" t="str">
        <v>Demo Call Warung Sangu alun alun</v>
      </c>
      <c r="D1579" s="191" t="str">
        <v>Done</v>
      </c>
      <c r="E1579" s="193"/>
    </row>
    <row customHeight="true" ht="19" r="1580">
      <c r="A1580" s="190"/>
      <c r="B1580" s="194"/>
      <c r="C1580" s="192" t="str">
        <v>Diskusi Penggunaan "Accurate"</v>
      </c>
      <c r="D1580" s="191" t="str">
        <v>Done</v>
      </c>
      <c r="E1580" s="193"/>
    </row>
    <row r="1581">
      <c r="A1581" s="190"/>
      <c r="B1581" s="194"/>
      <c r="C1581" s="192" t="str">
        <v>Weekly Meeting PSE</v>
      </c>
      <c r="D1581" s="191" t="str">
        <v>Done</v>
      </c>
      <c r="E1581" s="193"/>
    </row>
    <row r="1582">
      <c r="A1582" s="190"/>
      <c r="B1582" s="194"/>
      <c r="C1582" s="192" t="str">
        <v>Tutorial Labelling Ajinomoto</v>
      </c>
      <c r="D1582" s="191" t="str">
        <v>Done</v>
      </c>
      <c r="E1582" s="193"/>
    </row>
    <row r="1583">
      <c r="A1583" s="190"/>
      <c r="B1583" s="179" t="str">
        <v>Hadi</v>
      </c>
      <c r="C1583" s="192" t="str">
        <v>Monitoring Business</v>
      </c>
      <c r="D1583" s="191" t="str">
        <v>Done</v>
      </c>
      <c r="E1583" s="193"/>
    </row>
    <row r="1584">
      <c r="A1584" s="190"/>
      <c r="B1584" s="179"/>
      <c r="C1584" s="192" t="str">
        <v>Finalisasi RCA Karlo</v>
      </c>
      <c r="D1584" s="191" t="str">
        <v>Done</v>
      </c>
      <c r="E1584" s="193"/>
    </row>
    <row r="1585">
      <c r="A1585" s="190"/>
      <c r="B1585" s="179"/>
      <c r="C1585" s="192" t="str">
        <v>Sosialisasi Accurate dari tim Finance</v>
      </c>
      <c r="D1585" s="191" t="str">
        <v>Done</v>
      </c>
      <c r="E1585" s="193"/>
    </row>
    <row r="1586">
      <c r="A1586" s="190"/>
      <c r="B1586" s="179"/>
      <c r="C1586" s="192" t="str">
        <v>Monitoring Draft Shareholders Head</v>
      </c>
      <c r="D1586" s="191" t="str">
        <v>Done</v>
      </c>
      <c r="E1586" s="193"/>
    </row>
    <row r="1587">
      <c r="A1587" s="190"/>
      <c r="B1587" s="179"/>
      <c r="C1587" s="192"/>
      <c r="D1587" s="191"/>
      <c r="E1587" s="193"/>
    </row>
    <row r="1588">
      <c r="A1588" s="190">
        <v>46087</v>
      </c>
      <c r="B1588" s="179" t="str">
        <v>Fariz</v>
      </c>
      <c r="C1588" s="207" t="str">
        <v>[DLY] Shooting Mini Use Case</v>
      </c>
      <c r="D1588" s="179" t="str">
        <v>Done</v>
      </c>
      <c r="E1588" s="205"/>
    </row>
    <row r="1589">
      <c r="A1589" s="190"/>
      <c r="B1589" s="179"/>
      <c r="C1589" s="207" t="str">
        <v>[WGA] Operasional Kelas</v>
      </c>
      <c r="D1589" s="179" t="str">
        <v>Done</v>
      </c>
      <c r="E1589" s="205"/>
    </row>
    <row r="1590">
      <c r="A1590" s="190"/>
      <c r="B1590" s="179"/>
      <c r="C1590" s="207" t="str">
        <v>[LMS] Finalisasi Timeline Bootcamp dan SOW Triana</v>
      </c>
      <c r="D1590" s="179" t="str">
        <v>Done</v>
      </c>
      <c r="E1590" s="205"/>
    </row>
    <row r="1591">
      <c r="A1591" s="190"/>
      <c r="B1591" s="179"/>
      <c r="C1591" s="207"/>
      <c r="D1591" s="179"/>
      <c r="E1591" s="205"/>
    </row>
    <row r="1592">
      <c r="A1592" s="190"/>
      <c r="B1592" s="179"/>
      <c r="C1592" s="192"/>
      <c r="D1592" s="203"/>
      <c r="E1592" s="193"/>
    </row>
    <row r="1593">
      <c r="A1593" s="190"/>
      <c r="B1593" s="191" t="str">
        <v>Dwi</v>
      </c>
      <c r="C1593" s="204" t="str">
        <v>CUTI</v>
      </c>
      <c r="D1593" s="191"/>
      <c r="E1593" s="193"/>
    </row>
    <row r="1594">
      <c r="A1594" s="190"/>
      <c r="B1594" s="191"/>
      <c r="C1594" s="204"/>
      <c r="D1594" s="191"/>
      <c r="E1594" s="193"/>
    </row>
    <row r="1595">
      <c r="A1595" s="190"/>
      <c r="B1595" s="191"/>
      <c r="C1595" s="204"/>
      <c r="D1595" s="191"/>
      <c r="E1595" s="193"/>
    </row>
    <row r="1596">
      <c r="A1596" s="190"/>
      <c r="B1596" s="191"/>
      <c r="C1596" s="204"/>
      <c r="D1596" s="191"/>
      <c r="E1596" s="193"/>
    </row>
    <row r="1597">
      <c r="A1597" s="190"/>
      <c r="B1597" s="191"/>
      <c r="C1597" s="204"/>
      <c r="D1597" s="191"/>
      <c r="E1597" s="193"/>
    </row>
    <row r="1598">
      <c r="A1598" s="190"/>
      <c r="B1598" s="191"/>
      <c r="C1598" s="204"/>
      <c r="D1598" s="191"/>
      <c r="E1598" s="193"/>
    </row>
    <row r="1599">
      <c r="A1599" s="190"/>
      <c r="B1599" s="179" t="str">
        <v>Wina</v>
      </c>
      <c r="C1599" s="192" t="str">
        <v>Daily content (instagram &amp; WA)</v>
      </c>
      <c r="D1599" s="191" t="str">
        <v>Done</v>
      </c>
      <c r="E1599" s="193"/>
    </row>
    <row r="1600">
      <c r="A1600" s="190"/>
      <c r="B1600" s="179"/>
      <c r="C1600" s="192" t="str">
        <v>set brief content</v>
      </c>
      <c r="D1600" s="191" t="str">
        <v>Done</v>
      </c>
      <c r="E1600" s="193"/>
    </row>
    <row r="1601">
      <c r="A1601" s="190"/>
      <c r="B1601" s="179"/>
      <c r="C1601" s="192" t="str">
        <v>Iftar prep</v>
      </c>
      <c r="D1601" s="191" t="str">
        <v>Done</v>
      </c>
      <c r="E1601" s="193"/>
    </row>
    <row r="1602">
      <c r="A1602" s="190"/>
      <c r="B1602" s="179"/>
      <c r="C1602" s="192"/>
      <c r="D1602" s="191"/>
      <c r="E1602" s="193"/>
    </row>
    <row r="1603">
      <c r="A1603" s="190"/>
      <c r="B1603" s="179"/>
      <c r="C1603" s="192"/>
      <c r="D1603" s="191"/>
      <c r="E1603" s="193"/>
    </row>
    <row r="1604">
      <c r="A1604" s="190"/>
      <c r="B1604" s="191" t="str">
        <v>Annisa</v>
      </c>
      <c r="C1604" s="192" t="str">
        <v>Syutiing video use case bisnis- personal license - SITE SELECTION</v>
      </c>
      <c r="D1604" s="191" t="str">
        <v>Done</v>
      </c>
      <c r="E1604" s="193"/>
    </row>
    <row r="1605">
      <c r="A1605" s="190"/>
      <c r="B1605" s="191"/>
      <c r="C1605" s="192" t="str">
        <v>Syutiing video use case bisnis- personal license - SITE ANALYSIS</v>
      </c>
      <c r="D1605" s="191"/>
      <c r="E1605" s="193" t="str">
        <v>lanjut besok</v>
      </c>
    </row>
    <row r="1606">
      <c r="A1606" s="190"/>
      <c r="B1606" s="191"/>
      <c r="C1606" s="192" t="str">
        <v>Regulasi Padel di perketat - Konten</v>
      </c>
      <c r="D1606" s="191" t="str">
        <v>Done</v>
      </c>
      <c r="E1606" s="193"/>
    </row>
    <row r="1607">
      <c r="A1607" s="190"/>
      <c r="B1607" s="191"/>
      <c r="C1607" s="192"/>
      <c r="D1607" s="191"/>
      <c r="E1607" s="193"/>
    </row>
    <row r="1608">
      <c r="A1608" s="190"/>
      <c r="B1608" s="191"/>
      <c r="C1608" s="192"/>
      <c r="D1608" s="191"/>
      <c r="E1608" s="193"/>
    </row>
    <row r="1609">
      <c r="A1609" s="190"/>
      <c r="B1609" s="194" t="str">
        <v>Lossa</v>
      </c>
      <c r="C1609" s="192" t="str">
        <v>preparation briefing surveyor pupuk</v>
      </c>
      <c r="D1609" s="191" t="str">
        <v>Done</v>
      </c>
      <c r="E1609" s="193"/>
    </row>
    <row r="1610">
      <c r="A1610" s="190"/>
      <c r="B1610" s="194"/>
      <c r="C1610" s="192" t="str">
        <v>briefing surveyor pupuk</v>
      </c>
      <c r="D1610" s="191" t="str">
        <v>Done</v>
      </c>
      <c r="E1610" s="193">
        <v>13.3</v>
      </c>
    </row>
    <row r="1611">
      <c r="A1611" s="190"/>
      <c r="B1611" s="194"/>
      <c r="C1611" s="192" t="str">
        <v>monitoring oprec nabati</v>
      </c>
      <c r="D1611" s="191" t="str">
        <v>Done</v>
      </c>
      <c r="E1611" s="193"/>
    </row>
    <row r="1612">
      <c r="A1612" s="190"/>
      <c r="B1612" s="194"/>
      <c r="C1612" s="192" t="str">
        <v>proses uang bekal surveyor pupuk</v>
      </c>
      <c r="D1612" s="191" t="str">
        <v>Done</v>
      </c>
      <c r="E1612" s="193"/>
    </row>
    <row customHeight="true" ht="19" r="1613">
      <c r="A1613" s="190"/>
      <c r="B1613" s="194"/>
      <c r="C1613" s="192" t="str">
        <v>pembuatan form survei nabati</v>
      </c>
      <c r="D1613" s="191" t="str">
        <v>Done</v>
      </c>
      <c r="E1613" s="193"/>
    </row>
    <row r="1614">
      <c r="A1614" s="190"/>
      <c r="B1614" s="194" t="str">
        <v>Amel</v>
      </c>
      <c r="C1614" s="192" t="str">
        <v>Breakdown Pricing Semarang</v>
      </c>
      <c r="D1614" s="191" t="str">
        <v>Done</v>
      </c>
      <c r="E1614" s="193"/>
    </row>
    <row r="1615">
      <c r="A1615" s="190"/>
      <c r="B1615" s="194"/>
      <c r="C1615" s="192" t="str">
        <v>Deck Pemkot Semarang</v>
      </c>
      <c r="D1615" s="191" t="str">
        <v>Done</v>
      </c>
      <c r="E1615" s="193"/>
    </row>
    <row r="1616">
      <c r="A1616" s="190"/>
      <c r="B1616" s="194"/>
      <c r="C1616" s="192" t="str">
        <v>Meeting progress dgn DSDA</v>
      </c>
      <c r="D1616" s="191" t="str">
        <v>Done</v>
      </c>
      <c r="E1616" s="193">
        <v>13.3</v>
      </c>
    </row>
    <row r="1617">
      <c r="A1617" s="190"/>
      <c r="B1617" s="194"/>
      <c r="C1617" s="192" t="str">
        <v>Proposal Erela</v>
      </c>
      <c r="D1617" s="191" t="str">
        <v>Done</v>
      </c>
      <c r="E1617" s="193"/>
    </row>
    <row r="1618">
      <c r="A1618" s="190"/>
      <c r="B1618" s="194"/>
      <c r="C1618" s="192"/>
      <c r="D1618" s="191"/>
      <c r="E1618" s="193"/>
    </row>
    <row r="1619">
      <c r="A1619" s="190"/>
      <c r="B1619" s="194" t="str">
        <v>Zhafran</v>
      </c>
      <c r="C1619" s="192" t="str">
        <v>Membuat penawaran karlo dan perapian RCA</v>
      </c>
      <c r="D1619" s="191" t="str">
        <v>Done</v>
      </c>
      <c r="E1619" s="193"/>
    </row>
    <row r="1620">
      <c r="A1620" s="190"/>
      <c r="B1620" s="194"/>
      <c r="C1620" s="192" t="str">
        <v>Membuat Dashboard progress karlo (Mahmud)</v>
      </c>
      <c r="D1620" s="191" t="str">
        <v>Done</v>
      </c>
      <c r="E1620" s="193"/>
    </row>
    <row r="1621">
      <c r="A1621" s="190"/>
      <c r="B1621" s="194"/>
      <c r="C1621" s="192"/>
      <c r="D1621" s="191"/>
      <c r="E1621" s="193"/>
    </row>
    <row r="1622">
      <c r="A1622" s="190"/>
      <c r="B1622" s="194"/>
      <c r="C1622" s="192"/>
      <c r="D1622" s="191"/>
      <c r="E1622" s="193"/>
    </row>
    <row r="1623">
      <c r="A1623" s="190"/>
      <c r="B1623" s="194"/>
      <c r="C1623" s="192"/>
      <c r="D1623" s="191"/>
      <c r="E1623" s="193"/>
    </row>
    <row r="1624">
      <c r="A1624" s="190"/>
      <c r="B1624" s="194"/>
      <c r="C1624" s="192"/>
      <c r="D1624" s="191"/>
      <c r="E1624" s="193"/>
    </row>
    <row r="1625">
      <c r="A1625" s="190"/>
      <c r="B1625" s="179" t="str">
        <v>Hadi</v>
      </c>
      <c r="C1625" s="192" t="str">
        <v>Monitoring Business</v>
      </c>
      <c r="D1625" s="191" t="str">
        <v>Done</v>
      </c>
      <c r="E1625" s="193"/>
    </row>
    <row r="1626">
      <c r="A1626" s="190"/>
      <c r="B1626" s="179"/>
      <c r="C1626" s="192" t="str">
        <v>Finalisasi KARLO things</v>
      </c>
      <c r="D1626" s="191" t="str">
        <v>Done</v>
      </c>
      <c r="E1626" s="193"/>
    </row>
    <row r="1627">
      <c r="A1627" s="190"/>
      <c r="B1627" s="179"/>
      <c r="C1627" s="192" t="str">
        <v>Alignment Flow Data x Business</v>
      </c>
      <c r="D1627" s="191" t="str">
        <v>Done</v>
      </c>
      <c r="E1627" s="193"/>
    </row>
    <row r="1628">
      <c r="A1628" s="190"/>
      <c r="B1628" s="179"/>
      <c r="C1628" s="192"/>
      <c r="D1628" s="191"/>
      <c r="E1628" s="193"/>
    </row>
    <row r="1629">
      <c r="A1629" s="190"/>
      <c r="B1629" s="179"/>
      <c r="C1629" s="192"/>
      <c r="D1629" s="191"/>
      <c r="E1629" s="193"/>
    </row>
    <row r="1630">
      <c r="A1630" s="190">
        <v>46090</v>
      </c>
      <c r="B1630" s="179" t="str">
        <v>Fariz</v>
      </c>
      <c r="C1630" s="204" t="str">
        <v>CUTI SAKIT</v>
      </c>
      <c r="D1630" s="204"/>
      <c r="E1630" s="205"/>
    </row>
    <row r="1631">
      <c r="A1631" s="190"/>
      <c r="B1631" s="179"/>
      <c r="C1631" s="204"/>
      <c r="D1631" s="204"/>
      <c r="E1631" s="205"/>
    </row>
    <row r="1632">
      <c r="A1632" s="190"/>
      <c r="B1632" s="179"/>
      <c r="C1632" s="204"/>
      <c r="D1632" s="204"/>
      <c r="E1632" s="205"/>
    </row>
    <row r="1633">
      <c r="A1633" s="190"/>
      <c r="B1633" s="179"/>
      <c r="C1633" s="204"/>
      <c r="D1633" s="204"/>
      <c r="E1633" s="205"/>
    </row>
    <row r="1634">
      <c r="A1634" s="190"/>
      <c r="B1634" s="179"/>
      <c r="C1634" s="204"/>
      <c r="D1634" s="204"/>
      <c r="E1634" s="193"/>
    </row>
    <row r="1635">
      <c r="A1635" s="190"/>
      <c r="B1635" s="191" t="str">
        <v>Dwi</v>
      </c>
      <c r="C1635" s="192" t="str">
        <v>Research alternative CRM for Retention GEO MAPID</v>
      </c>
      <c r="D1635" s="191" t="str">
        <v>Done</v>
      </c>
      <c r="E1635" s="193"/>
    </row>
    <row r="1636">
      <c r="A1636" s="190"/>
      <c r="B1636" s="191"/>
      <c r="C1636" s="192" t="str">
        <v>Evaluasi Q1 - B2C</v>
      </c>
      <c r="D1636" s="191" t="str">
        <v>Done</v>
      </c>
      <c r="E1636" s="193"/>
    </row>
    <row r="1637">
      <c r="A1637" s="190"/>
      <c r="B1637" s="191"/>
      <c r="C1637" s="192"/>
      <c r="D1637" s="191"/>
      <c r="E1637" s="193"/>
    </row>
    <row r="1638">
      <c r="A1638" s="190"/>
      <c r="B1638" s="191"/>
      <c r="C1638" s="192"/>
      <c r="D1638" s="191"/>
      <c r="E1638" s="193"/>
    </row>
    <row r="1639">
      <c r="A1639" s="190"/>
      <c r="B1639" s="191"/>
      <c r="C1639" s="192"/>
      <c r="D1639" s="191"/>
      <c r="E1639" s="193"/>
    </row>
    <row r="1640">
      <c r="A1640" s="190"/>
      <c r="B1640" s="191"/>
      <c r="C1640" s="192"/>
      <c r="D1640" s="191"/>
      <c r="E1640" s="193"/>
    </row>
    <row r="1641">
      <c r="A1641" s="190"/>
      <c r="B1641" s="179" t="str">
        <v>Wina</v>
      </c>
      <c r="C1641" s="192" t="str">
        <v>daily content (newsletter)</v>
      </c>
      <c r="D1641" s="191" t="str">
        <v>Done</v>
      </c>
      <c r="E1641" s="193"/>
    </row>
    <row r="1642">
      <c r="A1642" s="190"/>
      <c r="B1642" s="179"/>
      <c r="C1642" s="192" t="str" xml:space="preserve">
        <v>brief konten all socmed Maret </v>
      </c>
      <c r="D1642" s="191" t="str">
        <v>Done</v>
      </c>
      <c r="E1642" s="193"/>
    </row>
    <row r="1643">
      <c r="A1643" s="190"/>
      <c r="B1643" s="179"/>
      <c r="C1643" s="192"/>
      <c r="D1643" s="191"/>
      <c r="E1643" s="193"/>
    </row>
    <row r="1644">
      <c r="A1644" s="190"/>
      <c r="B1644" s="179"/>
      <c r="C1644" s="192"/>
      <c r="D1644" s="191"/>
      <c r="E1644" s="193"/>
    </row>
    <row r="1645">
      <c r="A1645" s="190"/>
      <c r="B1645" s="179"/>
      <c r="C1645" s="192"/>
      <c r="D1645" s="191"/>
      <c r="E1645" s="193"/>
    </row>
    <row r="1646">
      <c r="A1646" s="190"/>
      <c r="B1646" s="191" t="str">
        <v>Annisa</v>
      </c>
      <c r="C1646" s="192" t="str">
        <v>Dubai Chewy Cookie Aja Ada Petanya? - konten</v>
      </c>
      <c r="D1646" s="191" t="str">
        <v>Done</v>
      </c>
      <c r="E1646" s="193"/>
    </row>
    <row r="1647">
      <c r="A1647" s="190"/>
      <c r="B1647" s="191"/>
      <c r="C1647" s="192" t="str">
        <v>sholat ied - konten</v>
      </c>
      <c r="D1647" s="191" t="str">
        <v>Done</v>
      </c>
      <c r="E1647" s="193"/>
    </row>
    <row r="1648">
      <c r="A1648" s="190"/>
      <c r="B1648" s="191"/>
      <c r="C1648" s="192" t="str">
        <v>Regulasi Padel di perketat - Konten</v>
      </c>
      <c r="D1648" s="191" t="str">
        <v>Done</v>
      </c>
      <c r="E1648" s="193"/>
    </row>
    <row r="1649">
      <c r="A1649" s="190"/>
      <c r="B1649" s="191"/>
      <c r="C1649" s="192"/>
      <c r="D1649" s="191"/>
      <c r="E1649" s="193"/>
    </row>
    <row r="1650">
      <c r="A1650" s="190"/>
      <c r="B1650" s="191"/>
      <c r="C1650" s="192"/>
      <c r="D1650" s="191"/>
      <c r="E1650" s="193"/>
    </row>
    <row customHeight="true" ht="29" r="1651">
      <c r="A1651" s="190"/>
      <c r="B1651" s="194" t="str">
        <v>Lossa</v>
      </c>
      <c r="C1651" s="192" t="str">
        <v>sabtu minggu (finalisasi tor and form, briefing koordi and surveyor, testing)</v>
      </c>
      <c r="D1651" s="191" t="str">
        <v>Done</v>
      </c>
      <c r="E1651" s="193" t="str">
        <v>pas aku testing minggu kaga merhatiin kuota euy</v>
      </c>
    </row>
    <row r="1652">
      <c r="A1652" s="190"/>
      <c r="B1652" s="194"/>
      <c r="C1652" s="192" t="str">
        <v>solve problem nabati</v>
      </c>
      <c r="D1652" s="191" t="str">
        <v>Done</v>
      </c>
      <c r="E1652" s="193" t="str">
        <v>adjust timeline, adjust form and tor, koordinasi dgn seluruh stakeholder, adjust possibility kenaikan pengeluaran, testing</v>
      </c>
    </row>
    <row r="1653">
      <c r="A1653" s="190"/>
      <c r="B1653" s="194"/>
      <c r="C1653" s="192" t="str">
        <v>monitoring survei pupuk</v>
      </c>
      <c r="D1653" s="191" t="str">
        <v>Done</v>
      </c>
      <c r="E1653" s="193"/>
    </row>
    <row r="1654">
      <c r="A1654" s="190"/>
      <c r="B1654" s="194"/>
      <c r="C1654" s="192"/>
      <c r="D1654" s="191"/>
      <c r="E1654" s="193"/>
    </row>
    <row r="1655">
      <c r="A1655" s="190"/>
      <c r="B1655" s="194"/>
      <c r="C1655" s="192"/>
      <c r="D1655" s="191"/>
      <c r="E1655" s="193"/>
    </row>
    <row r="1656">
      <c r="A1656" s="190"/>
      <c r="B1656" s="194" t="str">
        <v>Amel</v>
      </c>
      <c r="C1656" s="192" t="str">
        <v>Proseskan dokumen pembayaran KAI</v>
      </c>
      <c r="D1656" s="191" t="str">
        <v>Done</v>
      </c>
      <c r="E1656" s="193"/>
    </row>
    <row r="1657">
      <c r="A1657" s="190"/>
      <c r="B1657" s="194"/>
      <c r="C1657" s="192" t="str">
        <v>FRD BPBD</v>
      </c>
      <c r="D1657" s="191" t="str">
        <v>Done</v>
      </c>
      <c r="E1657" s="193"/>
    </row>
    <row r="1658">
      <c r="A1658" s="190"/>
      <c r="B1658" s="194"/>
      <c r="C1658" s="192" t="str" xml:space="preserve">
        <v>lengkapin project details HKI, DSDA, KAI </v>
      </c>
      <c r="D1658" s="191" t="str">
        <v>Done</v>
      </c>
      <c r="E1658" s="193"/>
    </row>
    <row r="1659">
      <c r="A1659" s="190"/>
      <c r="B1659" s="194"/>
      <c r="C1659" s="192" t="str">
        <v>Visualisasiin sample data indosat</v>
      </c>
      <c r="D1659" s="191" t="str">
        <v>Done</v>
      </c>
      <c r="E1659" s="193"/>
    </row>
    <row r="1660">
      <c r="A1660" s="190"/>
      <c r="B1660" s="194"/>
      <c r="C1660" s="192"/>
      <c r="D1660" s="191"/>
      <c r="E1660" s="193"/>
    </row>
    <row r="1661">
      <c r="A1661" s="190"/>
      <c r="B1661" s="194" t="str">
        <v>Zhafran</v>
      </c>
      <c r="C1661" s="192" t="str">
        <v>Monitoring project</v>
      </c>
      <c r="D1661" s="191" t="str">
        <v>Done</v>
      </c>
      <c r="E1661" s="193"/>
    </row>
    <row r="1662">
      <c r="A1662" s="190"/>
      <c r="B1662" s="194"/>
      <c r="C1662" s="192" t="str">
        <v>Pelaporan data ajinomoto</v>
      </c>
      <c r="D1662" s="191" t="str">
        <v>Done</v>
      </c>
      <c r="E1662" s="193"/>
    </row>
    <row r="1663">
      <c r="A1663" s="190"/>
      <c r="B1663" s="194"/>
      <c r="C1663" s="192" t="str">
        <v>Pembuatan Proposal teknis KARLO</v>
      </c>
      <c r="D1663" s="191" t="str">
        <v>Done</v>
      </c>
      <c r="E1663" s="193"/>
    </row>
    <row r="1664">
      <c r="A1664" s="190"/>
      <c r="B1664" s="194"/>
      <c r="C1664" s="192"/>
      <c r="D1664" s="191"/>
      <c r="E1664" s="193"/>
    </row>
    <row r="1665">
      <c r="A1665" s="190"/>
      <c r="B1665" s="194"/>
      <c r="C1665" s="192"/>
      <c r="D1665" s="191"/>
      <c r="E1665" s="193"/>
    </row>
    <row r="1666">
      <c r="A1666" s="190"/>
      <c r="B1666" s="194"/>
      <c r="C1666" s="192"/>
      <c r="D1666" s="191"/>
      <c r="E1666" s="193"/>
    </row>
    <row r="1667">
      <c r="A1667" s="190"/>
      <c r="B1667" s="179" t="str">
        <v>Hadi</v>
      </c>
      <c r="C1667" s="192" t="str">
        <v>Monitoring Business (Performance &amp; Weekly)</v>
      </c>
      <c r="D1667" s="191" t="str">
        <v>Done</v>
      </c>
      <c r="E1667" s="193"/>
    </row>
    <row r="1668">
      <c r="A1668" s="190"/>
      <c r="B1668" s="179"/>
      <c r="C1668" s="192" t="str">
        <v>Update Bi-Dashboard Business</v>
      </c>
      <c r="D1668" s="191" t="str">
        <v>Done</v>
      </c>
      <c r="E1668" s="193"/>
    </row>
    <row r="1669">
      <c r="A1669" s="190"/>
      <c r="B1669" s="179"/>
      <c r="C1669" s="192" t="str">
        <v>Others : b2b project list update, drafting strategy Q2</v>
      </c>
      <c r="D1669" s="191" t="str">
        <v>Done</v>
      </c>
      <c r="E1669" s="193"/>
    </row>
    <row r="1670">
      <c r="A1670" s="190"/>
      <c r="B1670" s="179"/>
      <c r="C1670" s="192"/>
      <c r="D1670" s="191"/>
      <c r="E1670" s="193"/>
    </row>
    <row r="1671">
      <c r="A1671" s="190"/>
      <c r="B1671" s="179"/>
      <c r="C1671" s="192"/>
      <c r="D1671" s="191"/>
      <c r="E1671" s="193"/>
    </row>
    <row r="1672">
      <c r="A1672" s="190">
        <v>46091</v>
      </c>
      <c r="B1672" s="179" t="str">
        <v>Fariz</v>
      </c>
      <c r="C1672" s="204" t="str">
        <v>CUTI SAKIT</v>
      </c>
      <c r="D1672" s="192"/>
      <c r="E1672" s="193"/>
    </row>
    <row r="1673">
      <c r="A1673" s="190"/>
      <c r="B1673" s="179"/>
      <c r="C1673" s="192"/>
      <c r="D1673" s="192"/>
      <c r="E1673" s="193"/>
    </row>
    <row r="1674">
      <c r="A1674" s="190"/>
      <c r="B1674" s="179"/>
      <c r="C1674" s="192"/>
      <c r="D1674" s="192"/>
      <c r="E1674" s="193"/>
    </row>
    <row r="1675">
      <c r="A1675" s="190"/>
      <c r="B1675" s="179"/>
      <c r="C1675" s="192"/>
      <c r="D1675" s="192"/>
      <c r="E1675" s="193"/>
    </row>
    <row r="1676">
      <c r="A1676" s="190"/>
      <c r="B1676" s="179"/>
      <c r="C1676" s="192"/>
      <c r="D1676" s="192"/>
      <c r="E1676" s="193"/>
    </row>
    <row r="1677">
      <c r="A1677" s="190"/>
      <c r="B1677" s="191" t="str">
        <v>Dwi</v>
      </c>
      <c r="C1677" s="192" t="str">
        <v>Admin &amp; WA Blast N8N</v>
      </c>
      <c r="D1677" s="191" t="str">
        <v>Done</v>
      </c>
      <c r="E1677" s="193"/>
    </row>
    <row r="1678">
      <c r="A1678" s="190"/>
      <c r="B1678" s="191"/>
      <c r="C1678" s="192" t="str">
        <v>Evaluation Social Media &amp; Community - Q1</v>
      </c>
      <c r="D1678" s="191"/>
      <c r="E1678" s="193"/>
    </row>
    <row r="1679">
      <c r="A1679" s="190"/>
      <c r="B1679" s="191"/>
      <c r="C1679" s="192" t="str">
        <v>Continue Digital Marketin Q1 - Evaluation</v>
      </c>
      <c r="D1679" s="191" t="str">
        <v>Done</v>
      </c>
      <c r="E1679" s="193"/>
    </row>
    <row r="1680">
      <c r="A1680" s="190"/>
      <c r="B1680" s="191"/>
      <c r="C1680" s="192"/>
      <c r="D1680" s="191"/>
      <c r="E1680" s="193"/>
    </row>
    <row r="1681">
      <c r="A1681" s="190"/>
      <c r="B1681" s="191"/>
      <c r="C1681" s="192"/>
      <c r="D1681" s="191"/>
      <c r="E1681" s="193"/>
    </row>
    <row r="1682">
      <c r="A1682" s="190"/>
      <c r="B1682" s="191"/>
      <c r="C1682" s="192"/>
      <c r="D1682" s="191"/>
      <c r="E1682" s="193"/>
    </row>
    <row r="1683">
      <c r="A1683" s="190"/>
      <c r="B1683" s="179" t="str">
        <v>Wina</v>
      </c>
      <c r="C1683" s="192" t="str">
        <v>Daily Content (mapid academy)</v>
      </c>
      <c r="D1683" s="191" t="str">
        <v>Done</v>
      </c>
      <c r="E1683" s="193"/>
    </row>
    <row r="1684">
      <c r="A1684" s="190"/>
      <c r="B1684" s="179"/>
      <c r="C1684" s="192" t="str">
        <v>shooting ads personal license</v>
      </c>
      <c r="D1684" s="191" t="str">
        <v>Done</v>
      </c>
      <c r="E1684" s="193" t="str">
        <v>shoot done, editing on progress</v>
      </c>
    </row>
    <row r="1685">
      <c r="A1685" s="190"/>
      <c r="B1685" s="179"/>
      <c r="C1685" s="192"/>
      <c r="D1685" s="191"/>
      <c r="E1685" s="193"/>
    </row>
    <row r="1686">
      <c r="A1686" s="190"/>
      <c r="B1686" s="179"/>
      <c r="C1686" s="192"/>
      <c r="D1686" s="191"/>
      <c r="E1686" s="193"/>
    </row>
    <row r="1687">
      <c r="A1687" s="190"/>
      <c r="B1687" s="179"/>
      <c r="C1687" s="192"/>
      <c r="D1687" s="191"/>
      <c r="E1687" s="193"/>
    </row>
    <row r="1688">
      <c r="A1688" s="190"/>
      <c r="B1688" s="191" t="str">
        <v>Annisa</v>
      </c>
      <c r="C1688" s="192" t="str">
        <v>recording asset website - Data Catalogue</v>
      </c>
      <c r="D1688" s="191" t="str">
        <v>Done</v>
      </c>
      <c r="E1688" s="193" t="str">
        <v>tinggal edit dikit + export</v>
      </c>
    </row>
    <row r="1689">
      <c r="A1689" s="190"/>
      <c r="B1689" s="191"/>
      <c r="C1689" s="192" t="str">
        <v>jalur tercepat vs jalur tedekat - KONTEN</v>
      </c>
      <c r="D1689" s="191" t="str">
        <v>Done</v>
      </c>
      <c r="E1689" s="193"/>
    </row>
    <row r="1690">
      <c r="A1690" s="190"/>
      <c r="B1690" s="191"/>
      <c r="C1690" s="192" t="str" xml:space="preserve">
        <v>revisi color system yang secondary color </v>
      </c>
      <c r="D1690" s="191" t="str">
        <v>Done</v>
      </c>
      <c r="E1690" s="193"/>
    </row>
    <row r="1691">
      <c r="A1691" s="190"/>
      <c r="B1691" s="191"/>
      <c r="C1691" s="192"/>
      <c r="D1691" s="191"/>
      <c r="E1691" s="193"/>
    </row>
    <row r="1692">
      <c r="A1692" s="190"/>
      <c r="B1692" s="191"/>
      <c r="C1692" s="192"/>
      <c r="D1692" s="191"/>
      <c r="E1692" s="193"/>
    </row>
    <row r="1693">
      <c r="A1693" s="190"/>
      <c r="B1693" s="194" t="str">
        <v>Lossa</v>
      </c>
      <c r="C1693" s="192" t="str">
        <v>rekap surveyor nabati</v>
      </c>
      <c r="D1693" s="191" t="str">
        <v>Done</v>
      </c>
      <c r="E1693" s="193"/>
    </row>
    <row customHeight="true" ht="19" r="1694">
      <c r="A1694" s="190"/>
      <c r="B1694" s="194"/>
      <c r="C1694" s="192" t="str">
        <v>briefing validator</v>
      </c>
      <c r="D1694" s="191" t="str">
        <v>Done</v>
      </c>
      <c r="E1694" s="193">
        <v>9</v>
      </c>
    </row>
    <row r="1695">
      <c r="A1695" s="190"/>
      <c r="B1695" s="194"/>
      <c r="C1695" s="192" t="str">
        <v>monitoring nabati</v>
      </c>
      <c r="D1695" s="191" t="str">
        <v>Done</v>
      </c>
      <c r="E1695" s="193" t="str">
        <v>client side: tbtb JSM yeuuu kocak (resolved)
operational side: bekasi ada yg ngilang, cari pengganti (resolved)</v>
      </c>
    </row>
    <row r="1696">
      <c r="A1696" s="190"/>
      <c r="B1696" s="194"/>
      <c r="C1696" s="192" t="str">
        <v>monitoring pupuk</v>
      </c>
      <c r="D1696" s="191" t="str">
        <v>Done</v>
      </c>
      <c r="E1696" s="193" t="str">
        <v>survei aman tapi platform side ada problem layer dan API (resolved)</v>
      </c>
    </row>
    <row r="1697">
      <c r="A1697" s="190"/>
      <c r="B1697" s="194"/>
      <c r="C1697" s="192"/>
      <c r="D1697" s="191"/>
      <c r="E1697" s="193"/>
    </row>
    <row r="1698">
      <c r="A1698" s="190"/>
      <c r="B1698" s="194" t="str">
        <v>Amel</v>
      </c>
      <c r="C1698" s="192" t="str">
        <v>Meeting teknis DSDA</v>
      </c>
      <c r="D1698" s="191" t="str">
        <v>Done</v>
      </c>
      <c r="E1698" s="193" t="str">
        <v>10.00-12.00</v>
      </c>
    </row>
    <row r="1699">
      <c r="A1699" s="190"/>
      <c r="B1699" s="194"/>
      <c r="C1699" s="192" t="str">
        <v>Meeting komersil</v>
      </c>
      <c r="D1699" s="191" t="str">
        <v>Done</v>
      </c>
      <c r="E1699" s="193">
        <v>13</v>
      </c>
    </row>
    <row r="1700">
      <c r="A1700" s="190"/>
      <c r="B1700" s="194"/>
      <c r="C1700" s="192"/>
      <c r="D1700" s="191"/>
      <c r="E1700" s="193"/>
    </row>
    <row r="1701">
      <c r="A1701" s="190"/>
      <c r="B1701" s="194"/>
      <c r="C1701" s="192"/>
      <c r="D1701" s="191"/>
      <c r="E1701" s="193"/>
    </row>
    <row r="1702">
      <c r="A1702" s="190"/>
      <c r="B1702" s="194"/>
      <c r="C1702" s="192"/>
      <c r="D1702" s="191"/>
      <c r="E1702" s="193"/>
    </row>
    <row r="1703">
      <c r="A1703" s="190"/>
      <c r="B1703" s="194" t="str">
        <v>Zhafran</v>
      </c>
      <c r="C1703" s="192" t="str">
        <v>Monitoring Project</v>
      </c>
      <c r="D1703" s="191" t="str">
        <v>Done</v>
      </c>
      <c r="E1703" s="193"/>
    </row>
    <row customHeight="true" ht="19" r="1704">
      <c r="A1704" s="190"/>
      <c r="B1704" s="194"/>
      <c r="C1704" s="192" t="str">
        <v>Demo Call 11.30</v>
      </c>
      <c r="D1704" s="191" t="str">
        <v>Done</v>
      </c>
      <c r="E1704" s="193"/>
    </row>
    <row r="1705">
      <c r="A1705" s="190"/>
      <c r="B1705" s="194"/>
      <c r="C1705" s="192" t="str">
        <v>Meeting Comcentric 13.00</v>
      </c>
      <c r="D1705" s="191" t="str">
        <v>Done</v>
      </c>
      <c r="E1705" s="193"/>
    </row>
    <row r="1706">
      <c r="A1706" s="190"/>
      <c r="B1706" s="194"/>
      <c r="C1706" s="192" t="str">
        <v>Meeting Erela 15.00</v>
      </c>
      <c r="D1706" s="191" t="str">
        <v>Done</v>
      </c>
      <c r="E1706" s="193"/>
    </row>
    <row r="1707">
      <c r="A1707" s="190"/>
      <c r="B1707" s="194"/>
      <c r="C1707" s="192" t="str">
        <v>FRD Sigap</v>
      </c>
      <c r="D1707" s="191" t="str">
        <v>Done</v>
      </c>
      <c r="E1707" s="193" t="str">
        <v>Lanjut besok</v>
      </c>
    </row>
    <row r="1708">
      <c r="A1708" s="190"/>
      <c r="B1708" s="194"/>
      <c r="C1708" s="192" t="str">
        <v>Proposal Teknis Karlo</v>
      </c>
      <c r="D1708" s="191" t="str">
        <v>Done</v>
      </c>
      <c r="E1708" s="193" t="str">
        <v>Sedang di review Kak Dzikri</v>
      </c>
    </row>
    <row r="1709">
      <c r="A1709" s="190"/>
      <c r="B1709" s="194"/>
      <c r="C1709" s="192" t="str">
        <v>Proposal Kattegat AI On Prem</v>
      </c>
      <c r="D1709" s="191" t="str">
        <v>Done</v>
      </c>
      <c r="E1709" s="193"/>
    </row>
    <row r="1710">
      <c r="A1710" s="190"/>
      <c r="B1710" s="179" t="str">
        <v>Hadi</v>
      </c>
      <c r="C1710" s="192" t="str">
        <v>Monitoring Business</v>
      </c>
      <c r="D1710" s="191" t="str">
        <v>Done</v>
      </c>
      <c r="E1710" s="193"/>
    </row>
    <row r="1711">
      <c r="A1711" s="190"/>
      <c r="B1711" s="179"/>
      <c r="C1711" s="192" t="str">
        <v>Meeting Admin Dashboard</v>
      </c>
      <c r="D1711" s="191" t="str">
        <v>Done</v>
      </c>
      <c r="E1711" s="193"/>
    </row>
    <row r="1712">
      <c r="A1712" s="190"/>
      <c r="B1712" s="179"/>
      <c r="C1712" s="192" t="str">
        <v>others : rapihin api untuk admin dashboard, revamp page admin dashboard, flow sales-pse-tech</v>
      </c>
      <c r="D1712" s="191" t="str">
        <v>Done</v>
      </c>
      <c r="E1712" s="193" t="str">
        <v>flow sales-pse-tech lanjut besok</v>
      </c>
    </row>
    <row r="1713">
      <c r="A1713" s="190"/>
      <c r="B1713" s="179"/>
      <c r="C1713" s="192"/>
      <c r="D1713" s="191"/>
      <c r="E1713" s="193"/>
    </row>
    <row r="1714">
      <c r="A1714" s="190"/>
      <c r="B1714" s="179"/>
      <c r="C1714" s="192"/>
      <c r="D1714" s="191"/>
      <c r="E1714" s="193"/>
    </row>
    <row r="1715">
      <c r="A1715" s="190">
        <v>46092</v>
      </c>
      <c r="B1715" s="179" t="str">
        <v>Fariz</v>
      </c>
      <c r="C1715" s="192" t="str">
        <v>[WGA] Operasional WebGIS</v>
      </c>
      <c r="D1715" s="191" t="str">
        <v>Done</v>
      </c>
      <c r="E1715" s="193"/>
    </row>
    <row r="1716">
      <c r="A1716" s="190"/>
      <c r="B1716" s="179"/>
      <c r="C1716" s="192" t="str">
        <v>[LOC] Operasional Location Analytics</v>
      </c>
      <c r="D1716" s="191" t="str">
        <v>Done</v>
      </c>
      <c r="E1716" s="193"/>
    </row>
    <row r="1717">
      <c r="A1717" s="190"/>
      <c r="B1717" s="179"/>
      <c r="C1717" s="192" t="str">
        <v>[THE] Thematic Andreas</v>
      </c>
      <c r="D1717" s="191" t="str">
        <v>Done</v>
      </c>
      <c r="E1717" s="193"/>
    </row>
    <row r="1718">
      <c r="A1718" s="190"/>
      <c r="B1718" s="179"/>
      <c r="C1718" s="192" t="str" xml:space="preserve">
        <v>[INT] Cek Dokumen Dafa </v>
      </c>
      <c r="D1718" s="191" t="str">
        <v>Done</v>
      </c>
      <c r="E1718" s="193"/>
    </row>
    <row r="1719">
      <c r="A1719" s="190"/>
      <c r="B1719" s="179"/>
      <c r="C1719" s="192"/>
      <c r="D1719" s="191"/>
      <c r="E1719" s="193"/>
    </row>
    <row r="1720">
      <c r="A1720" s="190"/>
      <c r="B1720" s="191" t="str">
        <v>Dwi</v>
      </c>
      <c r="C1720" s="192" t="str">
        <v>Continue B2C Evaluation - Business Expansion, MA WebGIS, MA Location Analytics</v>
      </c>
      <c r="D1720" s="191" t="str">
        <v>Done</v>
      </c>
      <c r="E1720" s="193"/>
    </row>
    <row r="1721">
      <c r="A1721" s="190"/>
      <c r="B1721" s="191"/>
      <c r="C1721" s="192" t="str">
        <v>Discuss Business Expansion - Bisnis X Data</v>
      </c>
      <c r="D1721" s="191" t="str">
        <v>Done</v>
      </c>
      <c r="E1721" s="193"/>
    </row>
    <row r="1722">
      <c r="A1722" s="190"/>
      <c r="B1722" s="191"/>
      <c r="C1722" s="192"/>
      <c r="D1722" s="191"/>
      <c r="E1722" s="193"/>
    </row>
    <row r="1723">
      <c r="A1723" s="190"/>
      <c r="B1723" s="191"/>
      <c r="C1723" s="192"/>
      <c r="D1723" s="191"/>
      <c r="E1723" s="193"/>
    </row>
    <row r="1724">
      <c r="A1724" s="190"/>
      <c r="B1724" s="191"/>
      <c r="C1724" s="192"/>
      <c r="D1724" s="191"/>
      <c r="E1724" s="193"/>
    </row>
    <row r="1725">
      <c r="A1725" s="190"/>
      <c r="B1725" s="191"/>
      <c r="C1725" s="192"/>
      <c r="D1725" s="191"/>
      <c r="E1725" s="193"/>
    </row>
    <row r="1726">
      <c r="A1726" s="190"/>
      <c r="B1726" s="179" t="str">
        <v>Wina</v>
      </c>
      <c r="C1726" s="192" t="str">
        <v>Daily content (instagram, wa)</v>
      </c>
      <c r="D1726" s="191" t="str">
        <v>Done</v>
      </c>
      <c r="E1726" s="193"/>
    </row>
    <row r="1727">
      <c r="A1727" s="190"/>
      <c r="B1727" s="179"/>
      <c r="C1727" s="192" t="str">
        <v>listing content w3-w4</v>
      </c>
      <c r="D1727" s="191" t="str">
        <v>Done</v>
      </c>
      <c r="E1727" s="193" t="str">
        <v>dilanjut besok</v>
      </c>
    </row>
    <row r="1728">
      <c r="A1728" s="190"/>
      <c r="B1728" s="179"/>
      <c r="C1728" s="192" t="str">
        <v>rekap mapid apps</v>
      </c>
      <c r="D1728" s="191" t="str">
        <v>Done</v>
      </c>
      <c r="E1728" s="193" t="s">
        <v>346</v>
      </c>
    </row>
    <row r="1729">
      <c r="A1729" s="190"/>
      <c r="B1729" s="179"/>
      <c r="C1729" s="192"/>
      <c r="D1729" s="191"/>
      <c r="E1729" s="193"/>
    </row>
    <row r="1730">
      <c r="A1730" s="190"/>
      <c r="B1730" s="179"/>
      <c r="C1730" s="192"/>
      <c r="D1730" s="191"/>
      <c r="E1730" s="193"/>
    </row>
    <row r="1731">
      <c r="A1731" s="190"/>
      <c r="B1731" s="191" t="str">
        <v>Annisa</v>
      </c>
      <c r="C1731" s="192" t="str" xml:space="preserve">
        <v>editing video aset website </v>
      </c>
      <c r="D1731" s="191" t="str">
        <v>Done</v>
      </c>
      <c r="E1731" s="193" t="str">
        <v>Connecting All Spatial Data, Data Visualization, Data Catalogue</v>
      </c>
    </row>
    <row r="1732">
      <c r="A1732" s="190"/>
      <c r="B1732" s="191"/>
      <c r="C1732" s="192" t="str">
        <v>recording asset website part 2</v>
      </c>
      <c r="D1732" s="191" t="str">
        <v>Done</v>
      </c>
      <c r="E1732" s="193" t="str">
        <v>tinggal collaboration, Spatial Analysis lanjut besok</v>
      </c>
    </row>
    <row r="1733">
      <c r="A1733" s="190"/>
      <c r="B1733" s="191"/>
      <c r="C1733" s="192" t="str" xml:space="preserve">
        <v>Revisi totebag </v>
      </c>
      <c r="D1733" s="191" t="str">
        <v>Done</v>
      </c>
      <c r="E1733" s="193" t="str">
        <v>lanjut besok</v>
      </c>
    </row>
    <row r="1734">
      <c r="A1734" s="190"/>
      <c r="B1734" s="191"/>
      <c r="C1734" s="192"/>
      <c r="D1734" s="191"/>
      <c r="E1734" s="193"/>
    </row>
    <row r="1735">
      <c r="A1735" s="190"/>
      <c r="B1735" s="191"/>
      <c r="C1735" s="192"/>
      <c r="D1735" s="191"/>
      <c r="E1735" s="193"/>
    </row>
    <row r="1736">
      <c r="A1736" s="190"/>
      <c r="B1736" s="194" t="str">
        <v>Lossa</v>
      </c>
      <c r="C1736" s="192" t="str">
        <v>monitoring pupuk</v>
      </c>
      <c r="D1736" s="191" t="str">
        <v>Done</v>
      </c>
      <c r="E1736" s="193"/>
    </row>
    <row r="1737">
      <c r="A1737" s="190"/>
      <c r="B1737" s="194"/>
      <c r="C1737" s="192" t="str">
        <v>monitoring nabati</v>
      </c>
      <c r="D1737" s="191" t="str">
        <v>Done</v>
      </c>
      <c r="E1737" s="193"/>
    </row>
    <row r="1738">
      <c r="A1738" s="190"/>
      <c r="B1738" s="194"/>
      <c r="C1738" s="192" t="str">
        <v>fu prodia, bbwscc, pelindo :v (siapa tau tbtb udh kelar gt legalnya, gamungkin si)</v>
      </c>
      <c r="D1738" s="191" t="str">
        <v>Done</v>
      </c>
      <c r="E1738" s="193"/>
    </row>
    <row r="1739">
      <c r="A1739" s="190"/>
      <c r="B1739" s="194"/>
      <c r="C1739" s="192"/>
      <c r="D1739" s="191"/>
      <c r="E1739" s="193"/>
    </row>
    <row r="1740">
      <c r="A1740" s="190"/>
      <c r="B1740" s="194"/>
      <c r="C1740" s="192"/>
      <c r="D1740" s="191"/>
      <c r="E1740" s="193"/>
    </row>
    <row r="1741">
      <c r="A1741" s="190"/>
      <c r="B1741" s="194" t="str">
        <v>Amel</v>
      </c>
      <c r="C1741" s="192" t="str">
        <v>KAK pemkot semarang</v>
      </c>
      <c r="D1741" s="191" t="str">
        <v>Done</v>
      </c>
      <c r="E1741" s="193"/>
    </row>
    <row r="1742">
      <c r="A1742" s="190"/>
      <c r="B1742" s="194"/>
      <c r="C1742" s="192" t="str">
        <v>Menyiapkan Pembanding MAPID untuk pemkot semarang</v>
      </c>
      <c r="D1742" s="191" t="str">
        <v>Done</v>
      </c>
      <c r="E1742" s="193"/>
    </row>
    <row r="1743">
      <c r="A1743" s="190"/>
      <c r="B1743" s="194"/>
      <c r="C1743" s="192" t="str">
        <v>weekly meeting progress DSDA</v>
      </c>
      <c r="D1743" s="191" t="str">
        <v>Done</v>
      </c>
      <c r="E1743" s="193"/>
    </row>
    <row r="1744">
      <c r="A1744" s="190"/>
      <c r="B1744" s="194"/>
      <c r="C1744" s="192"/>
      <c r="D1744" s="191"/>
      <c r="E1744" s="193"/>
    </row>
    <row r="1745">
      <c r="A1745" s="190"/>
      <c r="B1745" s="194"/>
      <c r="C1745" s="192"/>
      <c r="D1745" s="191"/>
      <c r="E1745" s="193"/>
    </row>
    <row r="1746">
      <c r="A1746" s="190"/>
      <c r="B1746" s="194" t="str">
        <v>Zhafran</v>
      </c>
      <c r="C1746" s="192" t="str">
        <v>Monitoring project</v>
      </c>
      <c r="D1746" s="191" t="str">
        <v>Done</v>
      </c>
      <c r="E1746" s="193"/>
    </row>
    <row r="1747">
      <c r="A1747" s="190"/>
      <c r="B1747" s="194"/>
      <c r="C1747" s="192" t="str">
        <v>FRD Comcentric</v>
      </c>
      <c r="D1747" s="191" t="str">
        <v>Done</v>
      </c>
      <c r="E1747" s="193"/>
    </row>
    <row r="1748">
      <c r="A1748" s="190"/>
      <c r="B1748" s="194"/>
      <c r="C1748" s="192" t="str">
        <v>FRD Erela</v>
      </c>
      <c r="D1748" s="191" t="str">
        <v>Done</v>
      </c>
      <c r="E1748" s="193" t="str">
        <v>Pembuatan RFI untuk kebutuhan survey</v>
      </c>
    </row>
    <row r="1749">
      <c r="A1749" s="190"/>
      <c r="B1749" s="194"/>
      <c r="C1749" s="192" t="str">
        <v>List B2B Use Case</v>
      </c>
      <c r="D1749" s="191" t="str">
        <v>Done</v>
      </c>
      <c r="E1749" s="193" t="str">
        <v>2025 - 2026</v>
      </c>
    </row>
    <row r="1750">
      <c r="A1750" s="190"/>
      <c r="B1750" s="194"/>
      <c r="C1750" s="192"/>
      <c r="D1750" s="191"/>
      <c r="E1750" s="193"/>
    </row>
    <row r="1751">
      <c r="A1751" s="190"/>
      <c r="B1751" s="194"/>
      <c r="C1751" s="192"/>
      <c r="D1751" s="191"/>
      <c r="E1751" s="193"/>
    </row>
    <row r="1752">
      <c r="A1752" s="190"/>
      <c r="B1752" s="194"/>
      <c r="C1752" s="192"/>
      <c r="D1752" s="191"/>
      <c r="E1752" s="193"/>
    </row>
    <row r="1753">
      <c r="A1753" s="190"/>
      <c r="B1753" s="179" t="str">
        <v>Hadi</v>
      </c>
      <c r="C1753" s="192" t="str">
        <v>Monitoring Business</v>
      </c>
      <c r="D1753" s="191" t="str">
        <v>Done</v>
      </c>
      <c r="E1753" s="193"/>
    </row>
    <row r="1754">
      <c r="A1754" s="190"/>
      <c r="B1754" s="179"/>
      <c r="C1754" s="192" t="str">
        <v>Sharing Session Interns</v>
      </c>
      <c r="D1754" s="191" t="str">
        <v>Done</v>
      </c>
      <c r="E1754" s="193"/>
    </row>
    <row r="1755">
      <c r="A1755" s="190"/>
      <c r="B1755" s="179"/>
      <c r="C1755" s="192" t="str">
        <v>Data x Business Sync</v>
      </c>
      <c r="D1755" s="191" t="str">
        <v>Done</v>
      </c>
      <c r="E1755" s="193" t="str">
        <v>diundur besok</v>
      </c>
    </row>
    <row r="1756">
      <c r="A1756" s="190"/>
      <c r="B1756" s="179"/>
      <c r="C1756" s="192" t="str">
        <v>others : flow sales-pse-tech-company</v>
      </c>
      <c r="D1756" s="191" t="str">
        <v>Done</v>
      </c>
      <c r="E1756" s="193"/>
    </row>
    <row r="1757">
      <c r="A1757" s="190"/>
      <c r="B1757" s="179"/>
      <c r="C1757" s="192"/>
      <c r="D1757" s="191"/>
      <c r="E1757" s="193"/>
    </row>
    <row r="1758">
      <c r="A1758" s="190">
        <v>46093</v>
      </c>
      <c r="B1758" s="179" t="str">
        <v>Fariz</v>
      </c>
      <c r="C1758" s="192" t="str">
        <v>[DLY] Meeting LMS with Mba Muf</v>
      </c>
      <c r="D1758" s="191" t="str">
        <v>Done</v>
      </c>
      <c r="E1758" s="193"/>
    </row>
    <row r="1759">
      <c r="A1759" s="190"/>
      <c r="B1759" s="179"/>
      <c r="C1759" s="192" t="str">
        <v>[DLY] Meeting Data x Tech</v>
      </c>
      <c r="D1759" s="191" t="str">
        <v>Done</v>
      </c>
      <c r="E1759" s="193"/>
    </row>
    <row r="1760">
      <c r="A1760" s="190"/>
      <c r="B1760" s="179"/>
      <c r="C1760" s="192" t="str">
        <v>[WGA] Operasional WebGIS</v>
      </c>
      <c r="D1760" s="191" t="str">
        <v>Done</v>
      </c>
      <c r="E1760" s="193"/>
    </row>
    <row r="1761">
      <c r="A1761" s="190"/>
      <c r="B1761" s="179"/>
      <c r="C1761" s="192"/>
      <c r="D1761" s="191"/>
      <c r="E1761" s="193"/>
    </row>
    <row r="1762">
      <c r="A1762" s="190"/>
      <c r="B1762" s="179"/>
      <c r="C1762" s="192"/>
      <c r="D1762" s="191"/>
      <c r="E1762" s="193"/>
    </row>
    <row r="1763">
      <c r="A1763" s="190"/>
      <c r="B1763" s="191" t="str">
        <v>Dwi</v>
      </c>
      <c r="C1763" s="192" t="str">
        <v>Evaluasi Product Corporate Training &amp; Thematic Class</v>
      </c>
      <c r="D1763" s="191" t="str">
        <v>Done</v>
      </c>
      <c r="E1763" s="193"/>
    </row>
    <row r="1764">
      <c r="A1764" s="190"/>
      <c r="B1764" s="191"/>
      <c r="C1764" s="192" t="str">
        <v>Meeting business x tech x data</v>
      </c>
      <c r="D1764" s="191" t="str">
        <v>Done</v>
      </c>
      <c r="E1764" s="193"/>
    </row>
    <row r="1765">
      <c r="A1765" s="190"/>
      <c r="B1765" s="191"/>
      <c r="C1765" s="192" t="str">
        <v>Landing page Expansion Lite</v>
      </c>
      <c r="D1765" s="191" t="str">
        <v>Done</v>
      </c>
      <c r="E1765" s="193"/>
    </row>
    <row r="1766">
      <c r="A1766" s="190"/>
      <c r="B1766" s="191"/>
      <c r="C1766" s="192"/>
      <c r="D1766" s="191"/>
      <c r="E1766" s="193"/>
    </row>
    <row r="1767">
      <c r="A1767" s="190"/>
      <c r="B1767" s="191"/>
      <c r="C1767" s="192"/>
      <c r="D1767" s="191"/>
      <c r="E1767" s="193"/>
    </row>
    <row r="1768">
      <c r="A1768" s="190"/>
      <c r="B1768" s="191"/>
      <c r="C1768" s="192"/>
      <c r="D1768" s="191"/>
      <c r="E1768" s="193"/>
    </row>
    <row r="1769">
      <c r="A1769" s="190"/>
      <c r="B1769" s="179" t="str">
        <v>Wina</v>
      </c>
      <c r="C1769" s="192" t="str">
        <v>daily content (newsletter)</v>
      </c>
      <c r="D1769" s="191" t="str">
        <v>Done</v>
      </c>
      <c r="E1769" s="193"/>
    </row>
    <row r="1770">
      <c r="A1770" s="190"/>
      <c r="B1770" s="179"/>
      <c r="C1770" s="192" t="str">
        <v>listing content w3-w4</v>
      </c>
      <c r="D1770" s="191" t="str">
        <v>Done</v>
      </c>
      <c r="E1770" s="193"/>
    </row>
    <row r="1771">
      <c r="A1771" s="190"/>
      <c r="B1771" s="179"/>
      <c r="C1771" s="192" t="str">
        <v>editing video ads personal license</v>
      </c>
      <c r="D1771" s="191" t="str">
        <v>Done</v>
      </c>
      <c r="E1771" s="193"/>
    </row>
    <row r="1772">
      <c r="A1772" s="190"/>
      <c r="B1772" s="179"/>
      <c r="C1772" s="192"/>
      <c r="D1772" s="191"/>
      <c r="E1772" s="193"/>
    </row>
    <row r="1773">
      <c r="A1773" s="190"/>
      <c r="B1773" s="179"/>
      <c r="C1773" s="192"/>
      <c r="D1773" s="191"/>
      <c r="E1773" s="193"/>
    </row>
    <row r="1774">
      <c r="A1774" s="190"/>
      <c r="B1774" s="191" t="str">
        <v>Annisa</v>
      </c>
      <c r="C1774" s="192" t="str">
        <v>editing aset visual website</v>
      </c>
      <c r="D1774" s="191" t="str">
        <v>Done</v>
      </c>
      <c r="E1774" s="193" t="str">
        <v>API, heatmap, poligon, titik</v>
      </c>
    </row>
    <row r="1775">
      <c r="A1775" s="190"/>
      <c r="B1775" s="191"/>
      <c r="C1775" s="192" t="str">
        <v>editing tote bag</v>
      </c>
      <c r="D1775" s="191" t="str">
        <v>Done</v>
      </c>
      <c r="E1775" s="193" t="str">
        <v>ada kendala karena format nya svg jadi berantakan, jadi masih merapihkan bagian vector.</v>
      </c>
    </row>
    <row r="1776">
      <c r="A1776" s="190"/>
      <c r="B1776" s="191"/>
      <c r="C1776" s="192" t="str" xml:space="preserve">
        <v>selesain template business expansion report </v>
      </c>
      <c r="D1776" s="191" t="str">
        <v>Done</v>
      </c>
      <c r="E1776" s="193"/>
    </row>
    <row r="1777">
      <c r="A1777" s="190"/>
      <c r="B1777" s="191"/>
      <c r="C1777" s="192"/>
      <c r="D1777" s="191"/>
      <c r="E1777" s="193"/>
    </row>
    <row r="1778">
      <c r="A1778" s="190"/>
      <c r="B1778" s="191"/>
      <c r="C1778" s="192"/>
      <c r="D1778" s="191"/>
      <c r="E1778" s="193"/>
    </row>
    <row r="1779">
      <c r="A1779" s="190"/>
      <c r="B1779" s="194" t="str">
        <v>Lossa</v>
      </c>
      <c r="C1779" s="192" t="str">
        <v>monitoring pupuk</v>
      </c>
      <c r="D1779" s="191" t="str">
        <v>Done</v>
      </c>
      <c r="E1779" s="193"/>
    </row>
    <row r="1780">
      <c r="A1780" s="190"/>
      <c r="B1780" s="194"/>
      <c r="C1780" s="192" t="str">
        <v>monitoring nabati</v>
      </c>
      <c r="D1780" s="191" t="str">
        <v>Done</v>
      </c>
      <c r="E1780" s="193"/>
    </row>
    <row r="1781">
      <c r="A1781" s="190"/>
      <c r="B1781" s="194"/>
      <c r="C1781" s="192" t="str">
        <v>discuss pelindo sm sa</v>
      </c>
      <c r="D1781" s="191" t="str">
        <v>Done</v>
      </c>
      <c r="E1781" s="193"/>
    </row>
    <row r="1782">
      <c r="A1782" s="190"/>
      <c r="B1782" s="194"/>
      <c r="C1782" s="192"/>
      <c r="D1782" s="191"/>
      <c r="E1782" s="193"/>
    </row>
    <row r="1783">
      <c r="A1783" s="190"/>
      <c r="B1783" s="194"/>
      <c r="C1783" s="192"/>
      <c r="D1783" s="191"/>
      <c r="E1783" s="193"/>
    </row>
    <row r="1784">
      <c r="A1784" s="190"/>
      <c r="B1784" s="194" t="str">
        <v>Amel</v>
      </c>
      <c r="C1784" s="192" t="str">
        <v>Menyiapkan field project dsda untuk pembuatan fitur timeline</v>
      </c>
      <c r="D1784" s="191" t="str">
        <v>Done</v>
      </c>
      <c r="E1784" s="193"/>
    </row>
    <row r="1785">
      <c r="A1785" s="190"/>
      <c r="B1785" s="194"/>
      <c r="C1785" s="192" t="str">
        <v>Data x Business Sync</v>
      </c>
      <c r="D1785" s="191" t="str">
        <v>Done</v>
      </c>
      <c r="E1785" s="193"/>
    </row>
    <row r="1786">
      <c r="A1786" s="190"/>
      <c r="B1786" s="194"/>
      <c r="C1786" s="192" t="str">
        <v>Feasibility Check Meeting</v>
      </c>
      <c r="D1786" s="191" t="str">
        <v>Done</v>
      </c>
      <c r="E1786" s="193"/>
    </row>
    <row r="1787">
      <c r="A1787" s="190"/>
      <c r="B1787" s="194"/>
      <c r="C1787" s="192" t="str">
        <v>weekly PSE</v>
      </c>
      <c r="D1787" s="191" t="str">
        <v>Done</v>
      </c>
      <c r="E1787" s="193"/>
    </row>
    <row r="1788">
      <c r="A1788" s="190"/>
      <c r="B1788" s="194"/>
      <c r="C1788" s="192"/>
      <c r="D1788" s="191"/>
      <c r="E1788" s="193"/>
    </row>
    <row r="1789">
      <c r="A1789" s="190"/>
      <c r="B1789" s="194" t="str">
        <v>Zhafran</v>
      </c>
      <c r="C1789" s="192" t="str">
        <v>Monitoring Project</v>
      </c>
      <c r="D1789" s="191" t="str">
        <v>Done</v>
      </c>
      <c r="E1789" s="193"/>
    </row>
    <row r="1790">
      <c r="A1790" s="190"/>
      <c r="B1790" s="194"/>
      <c r="C1790" s="192" t="str">
        <v>Data x Business Sync</v>
      </c>
      <c r="D1790" s="191" t="str">
        <v>Done</v>
      </c>
      <c r="E1790" s="193"/>
    </row>
    <row r="1791">
      <c r="A1791" s="190"/>
      <c r="B1791" s="194"/>
      <c r="C1791" s="192" t="str">
        <v>Feasibility Check Meeting</v>
      </c>
      <c r="D1791" s="191" t="str">
        <v>Done</v>
      </c>
      <c r="E1791" s="193"/>
    </row>
    <row r="1792">
      <c r="A1792" s="190"/>
      <c r="B1792" s="194"/>
      <c r="C1792" s="208" t="str">
        <v>Weekly PSE</v>
      </c>
      <c r="D1792" s="191" t="str">
        <v>Done</v>
      </c>
      <c r="E1792" s="193"/>
    </row>
    <row r="1793">
      <c r="A1793" s="190"/>
      <c r="B1793" s="201"/>
      <c r="C1793" s="133"/>
      <c r="E1793" s="193"/>
    </row>
    <row r="1794">
      <c r="A1794" s="190"/>
      <c r="B1794" s="194"/>
      <c r="C1794" s="200"/>
      <c r="D1794" s="191"/>
      <c r="E1794" s="193"/>
    </row>
    <row r="1795">
      <c r="A1795" s="190"/>
      <c r="B1795" s="194"/>
      <c r="C1795" s="192"/>
      <c r="D1795" s="191"/>
      <c r="E1795" s="193"/>
    </row>
    <row r="1796">
      <c r="A1796" s="190"/>
      <c r="B1796" s="179" t="str">
        <v>Hadi</v>
      </c>
      <c r="C1796" s="192" t="str">
        <v>Monitoring Business</v>
      </c>
      <c r="D1796" s="191" t="str">
        <v>Done</v>
      </c>
      <c r="E1796" s="193"/>
    </row>
    <row r="1797">
      <c r="A1797" s="190"/>
      <c r="B1797" s="179"/>
      <c r="C1797" s="192" t="str">
        <v>Data x Business Sync</v>
      </c>
      <c r="D1797" s="191" t="str">
        <v>Done</v>
      </c>
      <c r="E1797" s="193"/>
    </row>
    <row r="1798">
      <c r="A1798" s="190"/>
      <c r="B1798" s="179"/>
      <c r="C1798" s="192" t="str">
        <v>Alignment LMS</v>
      </c>
      <c r="D1798" s="191" t="str">
        <v>Done</v>
      </c>
      <c r="E1798" s="193"/>
    </row>
    <row r="1799">
      <c r="A1799" s="190"/>
      <c r="B1799" s="179"/>
      <c r="C1799" s="192" t="str">
        <v>Feasibility Check Meeting</v>
      </c>
      <c r="D1799" s="191" t="str">
        <v>Done</v>
      </c>
      <c r="E1799" s="193"/>
    </row>
    <row r="1800">
      <c r="A1800" s="190"/>
      <c r="B1800" s="179"/>
      <c r="C1800" s="192" t="str">
        <v>others : flow sales-pse-tech-company</v>
      </c>
      <c r="D1800" s="191" t="str">
        <v>Done</v>
      </c>
      <c r="E1800" s="193"/>
    </row>
    <row r="1801">
      <c r="A1801" s="190">
        <v>46094</v>
      </c>
      <c r="B1801" s="179" t="str">
        <v>Fariz</v>
      </c>
      <c r="C1801" s="192" t="str" xml:space="preserve">
        <v>[DLY] Shooting Personal License (2/4) </v>
      </c>
      <c r="D1801" s="191" t="str">
        <v>Done</v>
      </c>
      <c r="E1801" s="193" t="str" xml:space="preserve">
        <v> </v>
      </c>
    </row>
    <row r="1802">
      <c r="A1802" s="190"/>
      <c r="B1802" s="179"/>
      <c r="E1802" s="193"/>
    </row>
    <row r="1803">
      <c r="A1803" s="190"/>
      <c r="B1803" s="179"/>
      <c r="C1803" s="192" t="str">
        <v>[LMS] Meeting LMS</v>
      </c>
      <c r="D1803" s="191" t="str">
        <v>Done</v>
      </c>
      <c r="E1803" s="193"/>
    </row>
    <row r="1804">
      <c r="A1804" s="190"/>
      <c r="B1804" s="179"/>
      <c r="C1804" s="192"/>
      <c r="D1804" s="191"/>
      <c r="E1804" s="193"/>
    </row>
    <row r="1805">
      <c r="A1805" s="190"/>
      <c r="B1805" s="179"/>
      <c r="C1805" s="192"/>
      <c r="D1805" s="191"/>
      <c r="E1805" s="193"/>
    </row>
    <row r="1806">
      <c r="A1806" s="190"/>
      <c r="B1806" s="191" t="str">
        <v>Dwi</v>
      </c>
      <c r="C1806" s="192" t="str">
        <v>Drafting Strategi Q2 - Product Personal License</v>
      </c>
      <c r="D1806" s="191"/>
      <c r="E1806" s="193"/>
    </row>
    <row r="1807">
      <c r="A1807" s="190"/>
      <c r="B1807" s="191"/>
      <c r="C1807" s="192" t="str">
        <v>Ads- Strategy Expansion Lite</v>
      </c>
      <c r="D1807" s="191"/>
      <c r="E1807" s="193"/>
    </row>
    <row r="1808">
      <c r="A1808" s="190"/>
      <c r="B1808" s="191"/>
      <c r="C1808" s="192" t="str">
        <v>Detailing page Expansion Lite</v>
      </c>
      <c r="D1808" s="191" t="str">
        <v>Done</v>
      </c>
      <c r="E1808" s="193"/>
    </row>
    <row r="1809">
      <c r="A1809" s="190"/>
      <c r="B1809" s="191"/>
      <c r="C1809" s="192" t="str" xml:space="preserve">
        <v>Thematic Class </v>
      </c>
      <c r="D1809" s="191" t="str">
        <v>Done</v>
      </c>
      <c r="E1809" s="193"/>
    </row>
    <row r="1810">
      <c r="A1810" s="190"/>
      <c r="B1810" s="191"/>
      <c r="C1810" s="192"/>
      <c r="D1810" s="191"/>
      <c r="E1810" s="193"/>
    </row>
    <row r="1811">
      <c r="A1811" s="190"/>
      <c r="B1811" s="191"/>
      <c r="C1811" s="192"/>
      <c r="D1811" s="191"/>
      <c r="E1811" s="193"/>
    </row>
    <row r="1812">
      <c r="A1812" s="190"/>
      <c r="B1812" s="179" t="str">
        <v>Wina</v>
      </c>
      <c r="C1812" s="192" t="str">
        <v>daily content (instagram, newsletter, WA)</v>
      </c>
      <c r="D1812" s="191" t="str">
        <v>Done</v>
      </c>
      <c r="E1812" s="193"/>
    </row>
    <row r="1813">
      <c r="A1813" s="190"/>
      <c r="B1813" s="179"/>
      <c r="C1813" s="192" t="str">
        <v>editing ads personal license (2/5)</v>
      </c>
      <c r="D1813" s="191" t="str">
        <v>Done</v>
      </c>
      <c r="E1813" s="193"/>
    </row>
    <row r="1814">
      <c r="A1814" s="190"/>
      <c r="B1814" s="179"/>
      <c r="C1814" s="192" t="str">
        <v>listing konten w3-w4</v>
      </c>
      <c r="D1814" s="191" t="str">
        <v>Done</v>
      </c>
      <c r="E1814" s="193"/>
    </row>
    <row r="1815">
      <c r="A1815" s="190"/>
      <c r="B1815" s="179"/>
      <c r="C1815" s="192" t="str">
        <v>thematic class</v>
      </c>
      <c r="D1815" s="191" t="str">
        <v>Done</v>
      </c>
      <c r="E1815" s="193"/>
    </row>
    <row r="1816">
      <c r="A1816" s="190"/>
      <c r="B1816" s="179"/>
      <c r="C1816" s="192"/>
      <c r="D1816" s="191"/>
      <c r="E1816" s="193"/>
    </row>
    <row r="1817">
      <c r="A1817" s="190"/>
      <c r="B1817" s="191" t="str">
        <v>Annisa</v>
      </c>
      <c r="C1817" s="192" t="str" xml:space="preserve">
        <v>Konten QGIS </v>
      </c>
      <c r="D1817" s="191" t="str">
        <v>Done</v>
      </c>
      <c r="E1817" s="193"/>
    </row>
    <row r="1818">
      <c r="A1818" s="190"/>
      <c r="B1818" s="191"/>
      <c r="C1818" s="192" t="str" xml:space="preserve">
        <v>lanjutin tote bag &amp; notebook </v>
      </c>
      <c r="D1818" s="191" t="str">
        <v>Done</v>
      </c>
      <c r="E1818" s="193"/>
    </row>
    <row r="1819">
      <c r="A1819" s="190"/>
      <c r="B1819" s="191"/>
      <c r="C1819" s="192" t="str">
        <v>Syuting mini use case lagi</v>
      </c>
      <c r="D1819" s="191" t="str">
        <v>Done</v>
      </c>
      <c r="E1819" s="193"/>
    </row>
    <row r="1820">
      <c r="A1820" s="190"/>
      <c r="B1820" s="191"/>
      <c r="C1820" s="192" t="str" xml:space="preserve">
        <v>Poster thematic class </v>
      </c>
      <c r="D1820" s="191" t="str">
        <v>Done</v>
      </c>
      <c r="E1820" s="193"/>
    </row>
    <row r="1821">
      <c r="A1821" s="190"/>
      <c r="B1821" s="191"/>
      <c r="C1821" s="192" t="str" xml:space="preserve">
        <v>thumbnail Andreas </v>
      </c>
      <c r="D1821" s="191" t="str">
        <v>Done</v>
      </c>
      <c r="E1821" s="193"/>
    </row>
    <row r="1822">
      <c r="A1822" s="190"/>
      <c r="B1822" s="194" t="str">
        <v>Lossa</v>
      </c>
      <c r="C1822" s="192" t="str">
        <v>survei nabati</v>
      </c>
      <c r="D1822" s="191" t="str">
        <v>Done</v>
      </c>
      <c r="E1822" s="193"/>
    </row>
    <row r="1823">
      <c r="A1823" s="190"/>
      <c r="B1823" s="194"/>
      <c r="C1823" s="192" t="str">
        <v>monitoring nabati</v>
      </c>
      <c r="D1823" s="191" t="str">
        <v>Done</v>
      </c>
      <c r="E1823" s="193"/>
    </row>
    <row r="1824">
      <c r="A1824" s="190"/>
      <c r="B1824" s="194"/>
      <c r="C1824" s="192" t="str">
        <v>monitoring pupuk</v>
      </c>
      <c r="D1824" s="191" t="str">
        <v>Done</v>
      </c>
      <c r="E1824" s="193"/>
    </row>
    <row r="1825">
      <c r="A1825" s="190"/>
      <c r="B1825" s="194"/>
      <c r="C1825" s="192" t="str">
        <v>proposal astra digital</v>
      </c>
      <c r="D1825" s="191" t="str">
        <v>Done</v>
      </c>
      <c r="E1825" s="193"/>
    </row>
    <row r="1826">
      <c r="A1826" s="190"/>
      <c r="B1826" s="194"/>
      <c r="C1826" s="192" t="str">
        <v>fu kontrak goto, tkdn pelindo</v>
      </c>
      <c r="D1826" s="191" t="str">
        <v>Done</v>
      </c>
      <c r="E1826" s="193"/>
    </row>
    <row customHeight="true" ht="19" r="1827">
      <c r="A1827" s="190"/>
      <c r="B1827" s="194"/>
      <c r="C1827" s="192" t="str">
        <v>discuss pelindo sm sa</v>
      </c>
      <c r="D1827" s="191" t="str">
        <v>Done</v>
      </c>
      <c r="E1827" s="193"/>
    </row>
    <row r="1828">
      <c r="A1828" s="190"/>
      <c r="B1828" s="194" t="str">
        <v>Amel</v>
      </c>
      <c r="C1828" s="192" t="str">
        <v>Weekly crm sync</v>
      </c>
      <c r="D1828" s="191" t="str">
        <v>Done</v>
      </c>
      <c r="E1828" s="193"/>
    </row>
    <row r="1829">
      <c r="A1829" s="190"/>
      <c r="B1829" s="194"/>
      <c r="C1829" s="192" t="str">
        <v>update frd BPBD hasil FC</v>
      </c>
      <c r="D1829" s="191" t="str">
        <v>Done</v>
      </c>
      <c r="E1829" s="193"/>
    </row>
    <row r="1830">
      <c r="A1830" s="190"/>
      <c r="B1830" s="194"/>
      <c r="C1830" s="192" t="str">
        <v>diskusi project distaru semarang dgn SA</v>
      </c>
      <c r="D1830" s="191" t="str">
        <v>Done</v>
      </c>
      <c r="E1830" s="193"/>
    </row>
    <row r="1831">
      <c r="A1831" s="190"/>
      <c r="B1831" s="194"/>
      <c r="C1831" s="192" t="str">
        <v>update task kanban dsda</v>
      </c>
      <c r="D1831" s="191" t="str">
        <v>Done</v>
      </c>
    </row>
    <row r="1832">
      <c r="A1832" s="190"/>
      <c r="B1832" s="194"/>
      <c r="C1832" s="192"/>
      <c r="D1832" s="191"/>
    </row>
    <row r="1833">
      <c r="A1833" s="190"/>
      <c r="B1833" s="194" t="str">
        <v>Zhafran</v>
      </c>
      <c r="C1833" s="192" t="str">
        <v>Monitoring Project</v>
      </c>
      <c r="D1833" s="191" t="str">
        <v>Done</v>
      </c>
    </row>
    <row r="1834">
      <c r="A1834" s="190"/>
      <c r="B1834" s="194"/>
      <c r="C1834" s="192" t="str">
        <v>Technical Response Comcentric</v>
      </c>
      <c r="D1834" s="191" t="str">
        <v>Done</v>
      </c>
    </row>
    <row r="1835">
      <c r="A1835" s="190"/>
      <c r="B1835" s="194"/>
      <c r="C1835" s="192" t="str">
        <v>Proposal Erela</v>
      </c>
      <c r="D1835" s="191" t="str">
        <v>Done</v>
      </c>
    </row>
    <row r="1836">
      <c r="A1836" s="190"/>
      <c r="B1836" s="194"/>
      <c r="C1836" s="192" t="str">
        <v>Meeting CRM</v>
      </c>
      <c r="D1836" s="191" t="str">
        <v>Done</v>
      </c>
    </row>
    <row r="1837">
      <c r="A1837" s="190"/>
      <c r="B1837" s="194"/>
      <c r="C1837" s="192" t="str">
        <v>Use Case Geo Mapid</v>
      </c>
      <c r="D1837" s="191" t="str">
        <v>Done</v>
      </c>
    </row>
    <row r="1838">
      <c r="A1838" s="190"/>
      <c r="B1838" s="194"/>
      <c r="C1838" s="192"/>
      <c r="D1838" s="191"/>
    </row>
    <row r="1839">
      <c r="A1839" s="190"/>
      <c r="B1839" s="194"/>
      <c r="C1839" s="192"/>
      <c r="D1839" s="191"/>
    </row>
    <row r="1840">
      <c r="A1840" s="190"/>
      <c r="B1840" s="179" t="str">
        <v>Hadi</v>
      </c>
      <c r="C1840" s="192" t="str">
        <v>Monitoring Business</v>
      </c>
      <c r="D1840" s="191" t="str">
        <v>Done</v>
      </c>
    </row>
    <row r="1841">
      <c r="A1841" s="190"/>
      <c r="B1841" s="179"/>
      <c r="C1841" s="192" t="str">
        <v>Weekly CRM Sync</v>
      </c>
      <c r="D1841" s="191" t="str">
        <v>Done</v>
      </c>
    </row>
    <row r="1842">
      <c r="A1842" s="190"/>
      <c r="B1842" s="179"/>
      <c r="C1842" s="192" t="str">
        <v>Meeting APPS</v>
      </c>
      <c r="D1842" s="191" t="str">
        <v>Done</v>
      </c>
    </row>
    <row r="1843">
      <c r="A1843" s="190"/>
      <c r="B1843" s="179"/>
      <c r="C1843" s="192" t="str">
        <v>other : draft wa blast automations, riset button chattery</v>
      </c>
      <c r="D1843" s="191" t="str">
        <v>Done</v>
      </c>
    </row>
    <row r="1844">
      <c r="A1844" s="190"/>
      <c r="B1844" s="179"/>
      <c r="C1844" s="192" t="str">
        <v>Sharing Interns Data</v>
      </c>
      <c r="D1844" s="191" t="str">
        <v>Done</v>
      </c>
    </row>
    <row r="1845">
      <c r="A1845" s="190">
        <v>46097</v>
      </c>
      <c r="B1845" s="179" t="str">
        <v>Fariz</v>
      </c>
      <c r="C1845" s="2" t="str">
        <v>[DLY] Discuss dan Finalisasi Expansion Lite</v>
      </c>
      <c r="D1845" s="191" t="str">
        <v>Done</v>
      </c>
    </row>
    <row r="1846">
      <c r="A1846" s="190"/>
      <c r="B1846" s="179"/>
      <c r="C1846" s="192" t="str">
        <v>[DLY] Lihat Dokumen untuk Q2</v>
      </c>
      <c r="D1846" s="191" t="str">
        <v>Done</v>
      </c>
    </row>
    <row r="1847">
      <c r="A1847" s="190"/>
      <c r="B1847" s="179"/>
      <c r="C1847" s="192" t="str">
        <v>[WGA] Meeting Dafa Koreksi dan Rekomendasi</v>
      </c>
      <c r="D1847" s="191" t="str">
        <v>Done</v>
      </c>
    </row>
    <row r="1848">
      <c r="A1848" s="190"/>
      <c r="B1848" s="179"/>
      <c r="C1848" s="192"/>
      <c r="D1848" s="191"/>
    </row>
    <row r="1849">
      <c r="A1849" s="190"/>
      <c r="B1849" s="179"/>
      <c r="C1849" s="192"/>
      <c r="D1849" s="191"/>
    </row>
    <row r="1850">
      <c r="A1850" s="190"/>
      <c r="B1850" s="191" t="str">
        <v>Dwi</v>
      </c>
      <c r="C1850" s="192" t="str">
        <v>Drafting Strategi Q2 - Product Personal License</v>
      </c>
      <c r="D1850" s="191"/>
    </row>
    <row r="1851">
      <c r="A1851" s="190"/>
      <c r="B1851" s="191"/>
      <c r="C1851" s="192" t="str">
        <v>Ads- Strategy Expansion Lite</v>
      </c>
      <c r="D1851" s="191"/>
    </row>
    <row r="1852">
      <c r="A1852" s="190"/>
      <c r="B1852" s="191"/>
      <c r="C1852" s="192" t="str">
        <v>Continue detailing page Expansion Lite</v>
      </c>
      <c r="D1852" s="191" t="str">
        <v>Done</v>
      </c>
    </row>
    <row r="1853">
      <c r="A1853" s="190"/>
      <c r="B1853" s="191"/>
      <c r="C1853" s="192"/>
      <c r="D1853" s="191"/>
    </row>
    <row r="1854">
      <c r="A1854" s="190"/>
      <c r="B1854" s="191"/>
      <c r="C1854" s="192"/>
      <c r="D1854" s="191"/>
    </row>
    <row r="1855">
      <c r="A1855" s="190"/>
      <c r="B1855" s="191"/>
      <c r="C1855" s="192"/>
      <c r="D1855" s="191"/>
    </row>
    <row r="1856">
      <c r="A1856" s="190"/>
      <c r="B1856" s="179" t="str">
        <v>Wina</v>
      </c>
      <c r="C1856" s="192" t="str">
        <v>Daily content (IG, newsletter, community)</v>
      </c>
      <c r="D1856" s="191" t="str">
        <v>Done</v>
      </c>
    </row>
    <row r="1857">
      <c r="A1857" s="190"/>
      <c r="B1857" s="179"/>
      <c r="C1857" s="192" t="str">
        <v>editing personal license ads (4/5)</v>
      </c>
      <c r="D1857" s="191" t="str">
        <v>Done</v>
      </c>
    </row>
    <row r="1858">
      <c r="A1858" s="190"/>
      <c r="B1858" s="179"/>
      <c r="C1858" s="192" t="str">
        <v>Thematic Class &amp; MAPID PINang THR Challenge</v>
      </c>
      <c r="D1858" s="191" t="str">
        <v>Done</v>
      </c>
    </row>
    <row r="1859">
      <c r="A1859" s="190"/>
      <c r="B1859" s="179"/>
      <c r="C1859" s="192" t="str">
        <v>reward community &amp; fee CM</v>
      </c>
      <c r="D1859" s="191" t="str">
        <v>Done</v>
      </c>
    </row>
    <row r="1860">
      <c r="A1860" s="190"/>
      <c r="B1860" s="179"/>
      <c r="C1860" s="192"/>
      <c r="D1860" s="191"/>
    </row>
    <row r="1861">
      <c r="A1861" s="190"/>
      <c r="B1861" s="191" t="str">
        <v>Annisa</v>
      </c>
      <c r="C1861" s="192" t="str">
        <v>Konten - Tanpa Sadar, Kamu Pakai Data Geospasial Setiap Hari!</v>
      </c>
      <c r="D1861" s="191" t="str">
        <v>Done</v>
      </c>
    </row>
    <row r="1862">
      <c r="A1862" s="190"/>
      <c r="B1862" s="191"/>
      <c r="C1862" s="192" t="str">
        <v>Editing Video Fariz Tutorial Mini use Case</v>
      </c>
      <c r="D1862" s="191" t="str">
        <v>Done</v>
      </c>
      <c r="E1862" s="14" t="str" xml:space="preserve">
        <v>Lanjut besok </v>
      </c>
    </row>
    <row r="1863">
      <c r="A1863" s="190"/>
      <c r="B1863" s="191"/>
      <c r="C1863" s="192" t="str">
        <v>Nyepi</v>
      </c>
      <c r="D1863" s="191" t="str">
        <v>Done</v>
      </c>
    </row>
    <row r="1864">
      <c r="A1864" s="190"/>
      <c r="B1864" s="191"/>
      <c r="C1864" s="192"/>
      <c r="D1864" s="191"/>
    </row>
    <row r="1865">
      <c r="A1865" s="190"/>
      <c r="B1865" s="191"/>
      <c r="C1865" s="192"/>
      <c r="D1865" s="191"/>
    </row>
    <row r="1866">
      <c r="A1866" s="190"/>
      <c r="B1866" s="194" t="str">
        <v>Lossa</v>
      </c>
      <c r="C1866" s="192" t="str">
        <v>monitoring pupuk</v>
      </c>
      <c r="D1866" s="191" t="str">
        <v>Done</v>
      </c>
      <c r="E1866" s="133"/>
    </row>
    <row r="1867">
      <c r="A1867" s="190"/>
      <c r="B1867" s="194"/>
      <c r="C1867" s="192" t="str">
        <v>monitoring nabati</v>
      </c>
      <c r="D1867" s="191" t="str">
        <v>Done</v>
      </c>
      <c r="E1867" s="133"/>
    </row>
    <row r="1868">
      <c r="A1868" s="190"/>
      <c r="B1868" s="194"/>
      <c r="C1868" s="192" t="str">
        <v>cicil laporan akhir pupuk</v>
      </c>
      <c r="D1868" s="191" t="str">
        <v>Done</v>
      </c>
      <c r="E1868" s="133"/>
    </row>
    <row r="1869">
      <c r="A1869" s="190"/>
      <c r="B1869" s="194"/>
      <c r="C1869" s="192" t="str">
        <v>meeting nabati onboarding dashboard</v>
      </c>
      <c r="D1869" s="191" t="str">
        <v>Done</v>
      </c>
      <c r="E1869" s="217">
        <v>15</v>
      </c>
    </row>
    <row r="1870">
      <c r="A1870" s="190"/>
      <c r="B1870" s="194"/>
      <c r="C1870" s="192"/>
      <c r="D1870" s="191"/>
      <c r="E1870" s="88" t="str">
        <v>pupuk sm astra infra minta akun demo</v>
      </c>
    </row>
    <row r="1871">
      <c r="A1871" s="190"/>
      <c r="B1871" s="194" t="str">
        <v>Amel</v>
      </c>
      <c r="C1871" s="192" t="str">
        <v>Rekap list bug pengerukan</v>
      </c>
      <c r="D1871" s="191" t="str">
        <v>Done</v>
      </c>
    </row>
    <row r="1872">
      <c r="A1872" s="190"/>
      <c r="B1872" s="194"/>
      <c r="C1872" s="192" t="str">
        <v>Meeting Eco Enviro (EED)</v>
      </c>
      <c r="D1872" s="191" t="str">
        <v>Done</v>
      </c>
      <c r="E1872" s="13" t="str">
        <v>14:00</v>
      </c>
    </row>
    <row r="1873">
      <c r="A1873" s="190"/>
      <c r="B1873" s="194"/>
      <c r="C1873" s="192" t="str">
        <v>Diskusi timeline pemkot dgn sales</v>
      </c>
      <c r="D1873" s="191" t="str">
        <v>Done</v>
      </c>
    </row>
    <row r="1874">
      <c r="A1874" s="190"/>
      <c r="B1874" s="194"/>
      <c r="C1874" s="192" t="str">
        <v>Menambahkan kolom time line di seluruh project pengerukan</v>
      </c>
      <c r="D1874" s="191" t="str">
        <v>Done</v>
      </c>
      <c r="E1874" s="14" t="str">
        <v>baru dikerjakan krn sebelumnya hold dulu karna masih ada penarikan data</v>
      </c>
    </row>
    <row r="1875">
      <c r="A1875" s="190"/>
      <c r="B1875" s="194"/>
      <c r="C1875" s="192"/>
      <c r="D1875" s="191"/>
    </row>
    <row r="1876">
      <c r="A1876" s="190"/>
      <c r="B1876" s="194" t="str">
        <v>Zhafran</v>
      </c>
      <c r="C1876" s="192" t="str">
        <v>Monitoring project</v>
      </c>
      <c r="D1876" s="191" t="str">
        <v>Done</v>
      </c>
    </row>
    <row r="1877">
      <c r="A1877" s="190"/>
      <c r="B1877" s="194"/>
      <c r="C1877" s="192" t="str">
        <v>Use case mapid</v>
      </c>
      <c r="D1877" s="191" t="str">
        <v>Done</v>
      </c>
    </row>
    <row r="1878">
      <c r="A1878" s="190"/>
      <c r="B1878" s="194"/>
      <c r="C1878" s="192" t="str">
        <v>SOW ERELA</v>
      </c>
      <c r="D1878" s="191" t="str">
        <v>Done</v>
      </c>
    </row>
    <row r="1879">
      <c r="A1879" s="190"/>
      <c r="B1879" s="194"/>
      <c r="C1879" s="192"/>
      <c r="D1879" s="191"/>
    </row>
    <row r="1880">
      <c r="A1880" s="190"/>
      <c r="B1880" s="194"/>
      <c r="C1880" s="192"/>
      <c r="D1880" s="191"/>
    </row>
    <row r="1881">
      <c r="A1881" s="190"/>
      <c r="B1881" s="194"/>
      <c r="C1881" s="192"/>
      <c r="D1881" s="191"/>
    </row>
    <row r="1882">
      <c r="A1882" s="190"/>
      <c r="B1882" s="194"/>
      <c r="C1882" s="192"/>
      <c r="D1882" s="191"/>
    </row>
    <row r="1883">
      <c r="A1883" s="190"/>
      <c r="B1883" s="179" t="str">
        <v>Hadi</v>
      </c>
      <c r="C1883" s="192" t="str">
        <v>Monitoring Business</v>
      </c>
      <c r="D1883" s="191" t="str">
        <v>Done</v>
      </c>
    </row>
    <row r="1884">
      <c r="A1884" s="190"/>
      <c r="B1884" s="179"/>
      <c r="C1884" s="192" t="str">
        <v>Drafting Event UMKM : talkshow (aldi's burger), popup store</v>
      </c>
      <c r="D1884" s="191" t="str">
        <v>Done</v>
      </c>
      <c r="E1884" t="s">
        <v>343</v>
      </c>
    </row>
    <row r="1885">
      <c r="A1885" s="190"/>
      <c r="B1885" s="179"/>
      <c r="C1885" s="192" t="str">
        <v>other : update bi dashboard + drafting kanban task</v>
      </c>
      <c r="D1885" s="191" t="str">
        <v>Done</v>
      </c>
    </row>
    <row r="1886">
      <c r="A1886" s="190"/>
      <c r="B1886" s="179"/>
      <c r="C1886" s="192" t="str">
        <v>Meeting Prodia</v>
      </c>
      <c r="D1886" s="191" t="str">
        <v>Done</v>
      </c>
    </row>
    <row r="1887">
      <c r="A1887" s="190"/>
      <c r="B1887" s="179"/>
      <c r="C1887" s="192"/>
      <c r="D1887" s="191"/>
    </row>
    <row r="1888">
      <c r="A1888" s="190">
        <v>46098</v>
      </c>
      <c r="B1888" s="179" t="str">
        <v>Fariz</v>
      </c>
      <c r="C1888" s="207" t="str">
        <v>[WGA] Operasional WebGIS</v>
      </c>
      <c r="D1888" s="179" t="str">
        <v>Done</v>
      </c>
      <c r="E1888" s="206"/>
    </row>
    <row r="1889">
      <c r="A1889" s="190"/>
      <c r="B1889" s="179"/>
      <c r="C1889" s="207" t="str">
        <v>[DLY] Meeting B2C</v>
      </c>
      <c r="D1889" s="179" t="str">
        <v>Done</v>
      </c>
      <c r="E1889" s="206"/>
    </row>
    <row r="1890">
      <c r="A1890" s="190"/>
      <c r="B1890" s="179"/>
      <c r="C1890" s="2" t="str">
        <v>[FLE] Finalisasi dan Dokumen Dedicated Pool</v>
      </c>
      <c r="D1890" s="179" t="str">
        <v>Done</v>
      </c>
      <c r="E1890" s="206" t="s">
        <v>340</v>
      </c>
    </row>
    <row r="1891">
      <c r="A1891" s="190"/>
      <c r="B1891" s="179"/>
      <c r="C1891" s="207"/>
      <c r="D1891" s="179"/>
      <c r="E1891" s="206"/>
    </row>
    <row r="1892">
      <c r="A1892" s="190"/>
      <c r="B1892" s="179"/>
      <c r="C1892" s="207"/>
      <c r="D1892" s="179"/>
      <c r="E1892" s="206"/>
    </row>
    <row r="1893">
      <c r="A1893" s="190"/>
      <c r="B1893" s="191" t="str">
        <v>Dwi</v>
      </c>
      <c r="C1893" s="192" t="str">
        <v>Setup ads thematic class</v>
      </c>
      <c r="D1893" s="191" t="str">
        <v>Done</v>
      </c>
      <c r="E1893" s="133"/>
    </row>
    <row r="1894">
      <c r="A1894" s="190"/>
      <c r="B1894" s="191"/>
      <c r="C1894" s="192" t="str">
        <v>Ads- Strategy Expansion Lite</v>
      </c>
      <c r="D1894" s="191" t="str">
        <v>Done</v>
      </c>
      <c r="E1894" s="133"/>
    </row>
    <row r="1895">
      <c r="A1895" s="190"/>
      <c r="B1895" s="191"/>
      <c r="C1895" s="192" t="str">
        <v>Weekly B2C</v>
      </c>
      <c r="D1895" s="191" t="str">
        <v>Done</v>
      </c>
      <c r="E1895" s="133"/>
    </row>
    <row r="1896">
      <c r="A1896" s="190"/>
      <c r="B1896" s="191"/>
      <c r="C1896" s="192" t="str">
        <v>Flow MAPID Assisted License &amp; talent pool</v>
      </c>
      <c r="D1896" s="191" t="str">
        <v>Done</v>
      </c>
      <c r="E1896" s="133"/>
    </row>
    <row r="1897">
      <c r="A1897" s="190"/>
      <c r="B1897" s="191"/>
      <c r="C1897" s="192"/>
      <c r="D1897" s="191"/>
      <c r="E1897" s="133"/>
    </row>
    <row r="1898">
      <c r="A1898" s="190"/>
      <c r="B1898" s="191"/>
      <c r="C1898" s="192"/>
      <c r="D1898" s="191"/>
      <c r="E1898" s="133"/>
    </row>
    <row r="1899">
      <c r="A1899" s="190"/>
      <c r="B1899" s="179" t="str">
        <v>Wina</v>
      </c>
      <c r="C1899" s="192" t="str">
        <v>daily content (intagram, wa, newsletter)</v>
      </c>
      <c r="D1899" s="191" t="str">
        <v>Done</v>
      </c>
      <c r="E1899" s="133"/>
    </row>
    <row r="1900">
      <c r="A1900" s="190"/>
      <c r="B1900" s="179"/>
      <c r="C1900" s="192" t="str">
        <v>brief business expansion</v>
      </c>
      <c r="D1900" s="191" t="str">
        <v>Done</v>
      </c>
      <c r="E1900" s="133"/>
    </row>
    <row r="1901">
      <c r="A1901" s="190"/>
      <c r="B1901" s="179"/>
      <c r="C1901" s="192" t="str">
        <v>Thematic Class (boost)</v>
      </c>
      <c r="D1901" s="191" t="str">
        <v>Done</v>
      </c>
      <c r="E1901" s="133"/>
    </row>
    <row r="1902">
      <c r="A1902" s="190"/>
      <c r="B1902" s="179"/>
      <c r="C1902" s="192"/>
      <c r="D1902" s="191"/>
      <c r="E1902" s="133"/>
    </row>
    <row r="1903">
      <c r="A1903" s="190"/>
      <c r="B1903" s="179"/>
      <c r="C1903" s="192"/>
      <c r="D1903" s="191"/>
      <c r="E1903" s="133"/>
    </row>
    <row r="1904">
      <c r="A1904" s="190"/>
      <c r="B1904" s="191" t="str">
        <v>Annisa</v>
      </c>
      <c r="C1904" s="192" t="str" xml:space="preserve">
        <v>Dibalik Layar GPS Saat Mudik - konten </v>
      </c>
      <c r="D1904" s="191" t="str">
        <v>Done</v>
      </c>
      <c r="E1904" s="133"/>
    </row>
    <row r="1905">
      <c r="A1905" s="190"/>
      <c r="B1905" s="191"/>
      <c r="C1905" s="192" t="str">
        <v>lanjutin edit video fariz</v>
      </c>
      <c r="D1905" s="191" t="str">
        <v>Done</v>
      </c>
      <c r="E1905" s="133" t="str">
        <v>tinggal kasih filter dll, beresin besok</v>
      </c>
    </row>
    <row r="1906">
      <c r="A1906" s="190"/>
      <c r="B1906" s="191"/>
      <c r="C1906" s="192" t="str">
        <v>idul fitri</v>
      </c>
      <c r="D1906" s="191" t="str">
        <v>Done</v>
      </c>
      <c r="E1906" s="133"/>
    </row>
    <row r="1907">
      <c r="A1907" s="190"/>
      <c r="B1907" s="191"/>
      <c r="C1907" s="192" t="str">
        <v>meeting B2C</v>
      </c>
      <c r="D1907" s="191" t="str">
        <v>Done</v>
      </c>
      <c r="E1907" s="133"/>
    </row>
    <row r="1908">
      <c r="A1908" s="190"/>
      <c r="B1908" s="191"/>
      <c r="C1908" s="192"/>
      <c r="D1908" s="191"/>
      <c r="E1908" s="133"/>
    </row>
    <row r="1909">
      <c r="A1909" s="190"/>
      <c r="B1909" s="194" t="str">
        <v>Lossa</v>
      </c>
      <c r="C1909" s="192" t="str">
        <v>(Prodia) Diskusi tim data, diskusi tim sales, pembuatan CRF, ngitung modal</v>
      </c>
      <c r="D1909" s="191" t="str">
        <v>Done</v>
      </c>
      <c r="E1909" s="133" t="s">
        <v>366</v>
      </c>
    </row>
    <row r="1910">
      <c r="A1910" s="190"/>
      <c r="B1910" s="194"/>
      <c r="C1910" s="192" t="str">
        <v>(Nabati Dashboard) Buat log progress data analyst, monitoring project</v>
      </c>
      <c r="D1910" s="191" t="str">
        <v>Done</v>
      </c>
      <c r="E1910" s="133" t="s">
        <v>337</v>
      </c>
    </row>
    <row r="1911">
      <c r="A1911" s="190"/>
      <c r="B1911" s="194"/>
      <c r="C1911" s="192" t="str">
        <v>(Nabati Survey) Monitoring survei fase 2 hari ke 2</v>
      </c>
      <c r="D1911" s="191" t="str">
        <v>Done</v>
      </c>
      <c r="E1911" s="133"/>
    </row>
    <row r="1912">
      <c r="A1912" s="190"/>
      <c r="B1912" s="194"/>
      <c r="C1912" s="192" t="str">
        <v>(Pupuk) Monitoring revisi data, finalisasi data</v>
      </c>
      <c r="D1912" s="191" t="str">
        <v>Done</v>
      </c>
      <c r="E1912" s="133"/>
    </row>
    <row r="1913">
      <c r="A1913" s="190"/>
      <c r="B1913" s="194"/>
      <c r="C1913" s="192"/>
      <c r="D1913" s="191"/>
      <c r="E1913" s="133"/>
    </row>
    <row r="1914">
      <c r="A1914" s="190"/>
      <c r="B1914" s="194" t="str">
        <v>Amel</v>
      </c>
      <c r="C1914" s="192" t="str" xml:space="preserve">
        <v>membuat duplikat layer dsda untuk testing dsb </v>
      </c>
      <c r="D1914" s="191" t="str">
        <v>Done</v>
      </c>
      <c r="E1914" s="133"/>
    </row>
    <row r="1915">
      <c r="A1915" s="190"/>
      <c r="B1915" s="194"/>
      <c r="C1915" s="192" t="str">
        <v>membuat mockup dinas cipta karya</v>
      </c>
      <c r="D1915" s="191" t="str">
        <v>Done</v>
      </c>
      <c r="E1915" s="133" t="str" xml:space="preserve">
        <v>blm selesai </v>
      </c>
    </row>
    <row r="1916">
      <c r="A1916" s="190"/>
      <c r="B1916" s="194"/>
      <c r="C1916" s="192" t="str">
        <v>Meeting weekly dsda</v>
      </c>
      <c r="D1916" s="191" t="str">
        <v>Done</v>
      </c>
      <c r="E1916" s="133" t="str">
        <v>reschedule</v>
      </c>
    </row>
    <row r="1917">
      <c r="A1917" s="190"/>
      <c r="B1917" s="194"/>
      <c r="C1917" s="192" t="str" xml:space="preserve">
        <v>[DSDA] Diskusi improvement2 minor dgn pic </v>
      </c>
      <c r="D1917" s="191" t="str">
        <v>Done</v>
      </c>
      <c r="E1917" s="133"/>
    </row>
    <row r="1918">
      <c r="A1918" s="190"/>
      <c r="B1918" s="194"/>
      <c r="C1918" s="192"/>
      <c r="D1918" s="191"/>
      <c r="E1918" s="133"/>
    </row>
    <row r="1919">
      <c r="A1919" s="190"/>
      <c r="B1919" s="194" t="str">
        <v>Zhafran</v>
      </c>
      <c r="C1919" s="192" t="str">
        <v>Meeting Karlo jam 11.00</v>
      </c>
      <c r="D1919" s="191" t="str">
        <v>Done</v>
      </c>
      <c r="E1919" s="133"/>
    </row>
    <row r="1920">
      <c r="A1920" s="190"/>
      <c r="B1920" s="194"/>
      <c r="C1920" s="192" t="str">
        <v>Finalisasi dokumen comcentric</v>
      </c>
      <c r="D1920" s="191" t="str">
        <v>Done</v>
      </c>
      <c r="E1920" s="133"/>
    </row>
    <row r="1921">
      <c r="A1921" s="190"/>
      <c r="B1921" s="194"/>
      <c r="C1921" s="192" t="str">
        <v>Kick off erela</v>
      </c>
      <c r="D1921" s="191" t="str">
        <v>Done</v>
      </c>
      <c r="E1921" s="133"/>
    </row>
    <row r="1922">
      <c r="A1922" s="190"/>
      <c r="B1922" s="194"/>
      <c r="C1922" s="192" t="str">
        <v>Meeting survey erela</v>
      </c>
      <c r="D1922" s="191" t="str">
        <v>Done</v>
      </c>
      <c r="E1922" s="133" t="str">
        <v>1. Membuat list pertanyaan dari data RFI
2. Membuat gambaran harga untuk menjadi pertimbangan</v>
      </c>
    </row>
    <row r="1923">
      <c r="A1923" s="190"/>
      <c r="B1923" s="194"/>
      <c r="C1923" s="192"/>
      <c r="D1923" s="191"/>
      <c r="E1923" s="133"/>
    </row>
    <row r="1924">
      <c r="A1924" s="190"/>
      <c r="B1924" s="194"/>
      <c r="C1924" s="192"/>
      <c r="D1924" s="191"/>
      <c r="E1924" s="133"/>
    </row>
    <row r="1925">
      <c r="A1925" s="190"/>
      <c r="B1925" s="194"/>
      <c r="C1925" s="192"/>
      <c r="D1925" s="191"/>
      <c r="E1925" s="133"/>
    </row>
    <row r="1926">
      <c r="A1926" s="190"/>
      <c r="B1926" s="179" t="str">
        <v>Hadi</v>
      </c>
      <c r="C1926" s="192" t="str">
        <v>Monitoring Business (Project + Performance)</v>
      </c>
      <c r="D1926" s="191" t="str">
        <v>Done</v>
      </c>
      <c r="E1926" s="133"/>
    </row>
    <row r="1927">
      <c r="A1927" s="190"/>
      <c r="B1927" s="179"/>
      <c r="C1927" s="192" t="str">
        <v>Meeting Impactto</v>
      </c>
      <c r="D1927" s="191" t="str">
        <v>Done</v>
      </c>
      <c r="E1927" s="133"/>
    </row>
    <row r="1928">
      <c r="A1928" s="190"/>
      <c r="B1928" s="179"/>
      <c r="C1928" s="192" t="str">
        <v>other : update bi dashboard + drafting kanban task</v>
      </c>
      <c r="D1928" s="191" t="str">
        <v>Done</v>
      </c>
      <c r="E1928" s="133"/>
    </row>
    <row r="1929">
      <c r="A1929" s="190"/>
      <c r="B1929" s="179"/>
      <c r="C1929" s="192"/>
      <c r="D1929" s="191"/>
      <c r="E1929" s="133"/>
    </row>
    <row r="1930">
      <c r="A1930" s="190"/>
      <c r="B1930" s="179"/>
      <c r="C1930" s="192"/>
      <c r="D1930" s="191"/>
      <c r="E1930" s="133"/>
    </row>
    <row r="1931">
      <c r="A1931" s="190">
        <v>46099</v>
      </c>
      <c r="B1931" s="179" t="str">
        <v>Fariz</v>
      </c>
      <c r="C1931" s="192" t="str">
        <v>[INT] Cek Kerjaan Dafa</v>
      </c>
      <c r="D1931" s="191" t="str">
        <v>Done</v>
      </c>
      <c r="E1931" s="133"/>
    </row>
    <row r="1932">
      <c r="A1932" s="190"/>
      <c r="B1932" s="179"/>
      <c r="C1932" s="192" t="str">
        <v>[WGA] Blueprint WebGIS Batch 3</v>
      </c>
      <c r="D1932" s="191" t="str">
        <v>Done</v>
      </c>
      <c r="E1932" s="133"/>
    </row>
    <row r="1933">
      <c r="A1933" s="190"/>
      <c r="B1933" s="179"/>
      <c r="C1933" s="192" t="str">
        <v>[THE] Fixed Thematic Trainer Dokumen</v>
      </c>
      <c r="D1933" s="191" t="str">
        <v>Done</v>
      </c>
      <c r="E1933" s="133"/>
    </row>
    <row r="1934">
      <c r="A1934" s="190"/>
      <c r="B1934" s="179"/>
      <c r="C1934" s="192"/>
      <c r="D1934" s="191"/>
      <c r="E1934" s="133"/>
    </row>
    <row r="1935">
      <c r="A1935" s="190"/>
      <c r="B1935" s="179"/>
      <c r="C1935" s="192"/>
      <c r="D1935" s="191"/>
      <c r="E1935" s="133"/>
    </row>
    <row r="1936">
      <c r="A1936" s="190"/>
      <c r="B1936" s="191" t="str">
        <v>Dwi</v>
      </c>
      <c r="C1936" s="192" t="str">
        <v>Ads MAPID Assisted</v>
      </c>
      <c r="D1936" s="191" t="str">
        <v>Done</v>
      </c>
      <c r="E1936" s="133"/>
    </row>
    <row r="1937">
      <c r="A1937" s="190"/>
      <c r="B1937" s="191"/>
      <c r="C1937" s="192" t="str">
        <v>Brief Video Penjelasan</v>
      </c>
      <c r="E1937" s="133"/>
    </row>
    <row r="1938">
      <c r="A1938" s="190"/>
      <c r="B1938" s="191"/>
      <c r="C1938" s="192" t="str">
        <v>Landing Page Lanjutan MAPID Assisted License</v>
      </c>
      <c r="D1938" s="191" t="str">
        <v>In Progress</v>
      </c>
      <c r="E1938" s="133"/>
    </row>
    <row r="1939">
      <c r="A1939" s="190"/>
      <c r="B1939" s="191"/>
      <c r="C1939" s="192"/>
      <c r="D1939" s="191"/>
      <c r="E1939" s="133"/>
    </row>
    <row r="1940">
      <c r="A1940" s="190"/>
      <c r="B1940" s="191"/>
      <c r="C1940" s="192"/>
      <c r="D1940" s="191"/>
      <c r="E1940" s="133"/>
    </row>
    <row r="1941">
      <c r="A1941" s="190"/>
      <c r="B1941" s="191"/>
      <c r="C1941" s="192"/>
      <c r="D1941" s="191"/>
      <c r="E1941" s="133"/>
    </row>
    <row r="1942">
      <c r="A1942" s="190"/>
      <c r="B1942" s="179" t="str">
        <v>Wina</v>
      </c>
      <c r="C1942" s="192" t="str">
        <v>Daily Content</v>
      </c>
      <c r="D1942" s="191" t="str">
        <v>Done</v>
      </c>
      <c r="E1942" s="133"/>
    </row>
    <row r="1943">
      <c r="A1943" s="190"/>
      <c r="B1943" s="179"/>
      <c r="C1943" s="192" t="str">
        <v>Aktivasi PIN-ang THR</v>
      </c>
      <c r="D1943" s="191" t="str">
        <v>Done</v>
      </c>
      <c r="E1943" s="133"/>
    </row>
    <row r="1944">
      <c r="A1944" s="190"/>
      <c r="B1944" s="179"/>
      <c r="C1944" s="192" t="str">
        <v>review brief konten</v>
      </c>
      <c r="D1944" s="191" t="str">
        <v>Done</v>
      </c>
      <c r="E1944" s="133"/>
    </row>
    <row r="1945">
      <c r="A1945" s="190"/>
      <c r="B1945" s="179"/>
      <c r="C1945" s="192"/>
      <c r="D1945" s="191"/>
      <c r="E1945" s="133"/>
    </row>
    <row r="1946">
      <c r="A1946" s="190"/>
      <c r="B1946" s="179"/>
      <c r="C1946" s="192"/>
      <c r="D1946" s="191"/>
      <c r="E1946" s="133"/>
    </row>
    <row r="1947">
      <c r="A1947" s="190"/>
      <c r="B1947" s="191" t="str">
        <v>Annisa</v>
      </c>
      <c r="C1947" s="192" t="str">
        <v>Academy - QGIS</v>
      </c>
      <c r="D1947" s="191" t="str">
        <v>Done</v>
      </c>
      <c r="E1947" s="133"/>
    </row>
    <row r="1948">
      <c r="A1948" s="190"/>
      <c r="B1948" s="191"/>
      <c r="C1948" s="192" t="str">
        <v>finishing video fariz</v>
      </c>
      <c r="D1948" s="191" t="str">
        <v>Done</v>
      </c>
      <c r="E1948" s="133" t="str">
        <v>tinggal kasih filter dll, beresin besok</v>
      </c>
    </row>
    <row r="1949">
      <c r="A1949" s="190"/>
      <c r="B1949" s="191"/>
      <c r="C1949" s="192" t="str">
        <v>BREXIT</v>
      </c>
      <c r="D1949" s="191" t="str">
        <v>Done</v>
      </c>
      <c r="E1949" s="133"/>
    </row>
    <row r="1950">
      <c r="A1950" s="190"/>
      <c r="B1950" s="191"/>
      <c r="C1950" s="192"/>
      <c r="D1950" s="191"/>
      <c r="E1950" s="133"/>
    </row>
    <row r="1951">
      <c r="A1951" s="190"/>
      <c r="B1951" s="191"/>
      <c r="C1951" s="192"/>
      <c r="D1951" s="191"/>
      <c r="E1951" s="133"/>
    </row>
    <row r="1952">
      <c r="A1952" s="190"/>
      <c r="B1952" s="194" t="str">
        <v>Lossa</v>
      </c>
      <c r="C1952" s="192" t="str">
        <v>(nabati survey &amp; dashboard) monitoring</v>
      </c>
      <c r="D1952" s="191" t="str">
        <v>Done</v>
      </c>
      <c r="E1952" s="133"/>
    </row>
    <row r="1953">
      <c r="A1953" s="190"/>
      <c r="B1953" s="194"/>
      <c r="C1953" s="192" t="str">
        <v>(pupuk) nyicil laporan akhir, bikin sertifikat, koordinasi purchasing fee</v>
      </c>
      <c r="D1953" s="191" t="str">
        <v>Done</v>
      </c>
      <c r="E1953" s="133"/>
    </row>
    <row r="1954">
      <c r="A1954" s="190"/>
      <c r="B1954" s="194"/>
      <c r="C1954" s="192"/>
      <c r="D1954" s="191"/>
      <c r="E1954" s="133"/>
    </row>
    <row r="1955">
      <c r="A1955" s="190"/>
      <c r="B1955" s="194"/>
      <c r="C1955" s="192"/>
      <c r="D1955" s="191"/>
      <c r="E1955" s="133"/>
    </row>
    <row r="1956">
      <c r="A1956" s="190"/>
      <c r="B1956" s="194"/>
      <c r="C1956" s="192"/>
      <c r="D1956" s="191"/>
      <c r="E1956" s="133"/>
    </row>
    <row r="1957">
      <c r="A1957" s="190"/>
      <c r="B1957" s="194" t="str">
        <v>Amel</v>
      </c>
      <c r="C1957" s="192" t="str">
        <v>improvement : styling layer pengerukan seluruh kota jkt  berdasarkan status + edit penamaan kolom tabel</v>
      </c>
      <c r="D1957" s="191" t="str">
        <v>Done</v>
      </c>
      <c r="E1957" s="133" t="str">
        <v>req kapusdatin</v>
      </c>
    </row>
    <row r="1958">
      <c r="A1958" s="190"/>
      <c r="B1958" s="194"/>
      <c r="C1958" s="192" t="str">
        <v>weekly meeting dsda</v>
      </c>
      <c r="D1958" s="191" t="str">
        <v>Done</v>
      </c>
      <c r="E1958" s="133"/>
    </row>
    <row r="1959">
      <c r="A1959" s="190"/>
      <c r="B1959" s="194"/>
      <c r="C1959" s="192" t="str">
        <v>Mengisi tasklist dr DSDA</v>
      </c>
      <c r="D1959" s="191" t="str">
        <v>Done</v>
      </c>
      <c r="E1959" s="133"/>
    </row>
    <row r="1960">
      <c r="A1960" s="190"/>
      <c r="B1960" s="194"/>
      <c r="C1960" s="192" t="str">
        <v>nambahin usecase kebencanaan banjir</v>
      </c>
      <c r="D1960" s="191" t="str">
        <v>Done</v>
      </c>
      <c r="E1960" s="133"/>
    </row>
    <row r="1961">
      <c r="A1961" s="190"/>
      <c r="B1961" s="194"/>
      <c r="C1961" s="192"/>
      <c r="D1961" s="191"/>
      <c r="E1961" s="133"/>
    </row>
    <row r="1962">
      <c r="A1962" s="190"/>
      <c r="B1962" s="194" t="str">
        <v>Zhafran</v>
      </c>
      <c r="C1962" s="192" t="str">
        <v>Monitoring project</v>
      </c>
      <c r="D1962" s="191" t="str">
        <v>Done</v>
      </c>
      <c r="E1962" s="133" t="str">
        <v>1. Karlo
2. Data Erela</v>
      </c>
    </row>
    <row r="1963">
      <c r="A1963" s="190"/>
      <c r="B1963" s="194"/>
      <c r="C1963" s="192" t="str">
        <v>Dokumen Survey Erela</v>
      </c>
      <c r="D1963" s="191" t="str">
        <v>Done</v>
      </c>
      <c r="E1963" s="133"/>
    </row>
    <row r="1964">
      <c r="A1964" s="190"/>
      <c r="B1964" s="194"/>
      <c r="C1964" s="192"/>
      <c r="D1964" s="191"/>
      <c r="E1964" s="133"/>
    </row>
    <row r="1965">
      <c r="A1965" s="190"/>
      <c r="B1965" s="194"/>
      <c r="C1965" s="192"/>
      <c r="D1965" s="191"/>
      <c r="E1965" s="133"/>
    </row>
    <row r="1966">
      <c r="A1966" s="190"/>
      <c r="B1966" s="194"/>
      <c r="C1966" s="192"/>
      <c r="D1966" s="191"/>
      <c r="E1966" s="133"/>
    </row>
    <row r="1967">
      <c r="A1967" s="190"/>
      <c r="B1967" s="194"/>
      <c r="C1967" s="192"/>
      <c r="D1967" s="191"/>
      <c r="E1967" s="133"/>
    </row>
    <row r="1968">
      <c r="A1968" s="190"/>
      <c r="B1968" s="194"/>
      <c r="C1968" s="192"/>
      <c r="D1968" s="191"/>
      <c r="E1968" s="133"/>
    </row>
    <row r="1969">
      <c r="A1969" s="190"/>
      <c r="B1969" s="179" t="str">
        <v>Hadi</v>
      </c>
      <c r="C1969" s="192" t="str">
        <v>Monitoring Business</v>
      </c>
      <c r="D1969" s="191" t="str">
        <v>Done</v>
      </c>
      <c r="E1969" s="133"/>
    </row>
    <row r="1970">
      <c r="A1970" s="190"/>
      <c r="B1970" s="179"/>
      <c r="C1970" s="192" t="str">
        <v>Updating bi-dashboard</v>
      </c>
      <c r="D1970" s="191" t="str">
        <v>Done</v>
      </c>
      <c r="E1970" s="133"/>
    </row>
    <row r="1971">
      <c r="A1971" s="190"/>
      <c r="B1971" s="179"/>
      <c r="C1971" s="192"/>
      <c r="D1971" s="191"/>
      <c r="E1971" s="133"/>
    </row>
    <row r="1972">
      <c r="A1972" s="190"/>
      <c r="B1972" s="179"/>
      <c r="C1972" s="192"/>
      <c r="D1972" s="191"/>
      <c r="E1972" s="133"/>
    </row>
    <row r="1973">
      <c r="A1973" s="190"/>
      <c r="B1973" s="179"/>
      <c r="C1973" s="192"/>
      <c r="D1973" s="191"/>
      <c r="E1973" s="133"/>
    </row>
    <row r="1974">
      <c r="A1974" s="190">
        <v>46106</v>
      </c>
      <c r="B1974" s="179" t="str">
        <v>Fariz</v>
      </c>
      <c r="C1974" s="192" t="str">
        <v>[THE] Operasional Thematic Class</v>
      </c>
      <c r="D1974" s="191" t="str">
        <v>Done</v>
      </c>
      <c r="E1974" s="196"/>
    </row>
    <row r="1975">
      <c r="A1975" s="190"/>
      <c r="B1975" s="179"/>
      <c r="C1975" s="192" t="str">
        <v>[LMS] Ngecek Kerjaan Triana, Persiapan Meeting Jumat</v>
      </c>
      <c r="D1975" s="191" t="str">
        <v>Done</v>
      </c>
      <c r="E1975" s="196"/>
    </row>
    <row r="1976">
      <c r="A1976" s="190"/>
      <c r="B1976" s="179"/>
      <c r="C1976" s="192" t="str">
        <v>[DLY] Lanjut Evaluasi Q1: Learning Operation</v>
      </c>
      <c r="D1976" s="191" t="str">
        <v>Done</v>
      </c>
      <c r="E1976" s="196"/>
    </row>
    <row r="1977">
      <c r="A1977" s="190"/>
      <c r="B1977" s="179"/>
      <c r="C1977" s="192"/>
      <c r="D1977" s="191"/>
      <c r="E1977" s="196"/>
    </row>
    <row r="1978">
      <c r="A1978" s="190"/>
      <c r="B1978" s="179"/>
      <c r="C1978" s="192"/>
      <c r="D1978" s="191"/>
      <c r="E1978" s="196"/>
    </row>
    <row r="1979">
      <c r="A1979" s="190"/>
      <c r="B1979" s="191" t="str">
        <v>Dwi</v>
      </c>
      <c r="C1979" s="192" t="str" xml:space="preserve">
        <v>List Pekerjaan </v>
      </c>
      <c r="D1979" s="191" t="str">
        <v>Done</v>
      </c>
      <c r="E1979" s="196"/>
    </row>
    <row r="1980">
      <c r="A1980" s="190"/>
      <c r="B1980" s="191"/>
      <c r="C1980" s="192" t="str" xml:space="preserve">
        <v>Menyelesaikan flow Lanjutan Personal License &amp; Assisted </v>
      </c>
      <c r="D1980" s="191" t="str">
        <v>Done</v>
      </c>
      <c r="E1980" s="196"/>
    </row>
    <row r="1981">
      <c r="A1981" s="190"/>
      <c r="B1981" s="191"/>
      <c r="C1981" s="192" t="str">
        <v>Lanjut Evaluasi Q1: Growth Marketin</v>
      </c>
      <c r="D1981" s="191" t="str">
        <v>In Progress</v>
      </c>
      <c r="E1981" s="196"/>
    </row>
    <row r="1982">
      <c r="A1982" s="190"/>
      <c r="B1982" s="191"/>
      <c r="C1982" s="192" t="str">
        <v>Thematic Class - Optimasi Ads &amp; Tracking</v>
      </c>
      <c r="D1982" s="191" t="str">
        <v>Done</v>
      </c>
      <c r="E1982" s="196"/>
    </row>
    <row r="1983">
      <c r="A1983" s="190"/>
      <c r="B1983" s="191"/>
      <c r="C1983" s="192"/>
      <c r="D1983" s="191"/>
      <c r="E1983" s="196"/>
    </row>
    <row r="1984">
      <c r="A1984" s="190"/>
      <c r="B1984" s="191"/>
      <c r="C1984" s="192"/>
      <c r="D1984" s="191"/>
      <c r="E1984" s="196"/>
    </row>
    <row r="1985">
      <c r="A1985" s="190"/>
      <c r="B1985" s="179" t="str">
        <v>Wina</v>
      </c>
      <c r="C1985" s="192" t="str">
        <v>Daily content (newsletter, WA)</v>
      </c>
      <c r="D1985" s="191" t="str">
        <v>Done</v>
      </c>
      <c r="E1985" s="196"/>
    </row>
    <row r="1986">
      <c r="A1986" s="190"/>
      <c r="B1986" s="179"/>
      <c r="C1986" s="192" t="str">
        <v>Review content</v>
      </c>
      <c r="D1986" s="191" t="str">
        <v>Done</v>
      </c>
      <c r="E1986" s="196"/>
    </row>
    <row r="1987">
      <c r="A1987" s="190"/>
      <c r="B1987" s="179"/>
      <c r="C1987" s="192" t="str">
        <v>recap aktivasi PINANG THR</v>
      </c>
      <c r="D1987" s="191" t="str">
        <v>Done</v>
      </c>
      <c r="E1987" s="196" t="str">
        <v>162 konten</v>
      </c>
    </row>
    <row r="1988">
      <c r="A1988" s="190"/>
      <c r="B1988" s="179"/>
      <c r="C1988" s="192" t="str">
        <v>sales</v>
      </c>
      <c r="D1988" s="191" t="str">
        <v>Done</v>
      </c>
      <c r="E1988" s="196"/>
    </row>
    <row r="1989">
      <c r="A1989" s="190"/>
      <c r="B1989" s="179"/>
      <c r="C1989" s="192"/>
      <c r="D1989" s="191"/>
      <c r="E1989" s="196"/>
    </row>
    <row r="1990">
      <c r="A1990" s="190"/>
      <c r="B1990" s="191" t="str">
        <v>Annisa</v>
      </c>
      <c r="C1990" s="192" t="str">
        <v>cek ulang video fariz mini usecase sebelum setor ke fariz &amp; dwi</v>
      </c>
      <c r="D1990" s="191" t="str">
        <v>Done</v>
      </c>
      <c r="E1990" s="196"/>
    </row>
    <row r="1991">
      <c r="A1991" s="190"/>
      <c r="B1991" s="191"/>
      <c r="C1991" s="192" t="str" xml:space="preserve">
        <v>revisi template business expansion report </v>
      </c>
      <c r="D1991" s="191" t="str">
        <v>Done</v>
      </c>
      <c r="E1991" s="196"/>
    </row>
    <row r="1992">
      <c r="A1992" s="190"/>
      <c r="B1992" s="191"/>
      <c r="C1992" s="192" t="str">
        <v>cicil mindahin dokumen + ringkas  menjadi mini guide book di canva - Brand guidelines</v>
      </c>
      <c r="D1992" s="191"/>
      <c r="E1992" s="196"/>
    </row>
    <row r="1993">
      <c r="A1993" s="190"/>
      <c r="B1993" s="191"/>
      <c r="C1993" s="192"/>
      <c r="D1993" s="191"/>
      <c r="E1993" s="196"/>
    </row>
    <row r="1994">
      <c r="A1994" s="190"/>
      <c r="B1994" s="191"/>
      <c r="C1994" s="192"/>
      <c r="D1994" s="191"/>
      <c r="E1994" s="196"/>
    </row>
    <row r="1995">
      <c r="A1995" s="190"/>
      <c r="B1995" s="194" t="str">
        <v>Lossa</v>
      </c>
      <c r="C1995" s="192" t="str">
        <v>(nabati survey) laporan, meeting user,  proses fee &amp; sertif</v>
      </c>
      <c r="D1995" s="191" t="str">
        <v>Done</v>
      </c>
      <c r="E1995" s="196" t="s">
        <v>359</v>
      </c>
    </row>
    <row r="1996">
      <c r="A1996" s="190"/>
      <c r="B1996" s="194"/>
      <c r="C1996" s="192" t="str">
        <v>(nabati dashboard) monitoring, meeting user</v>
      </c>
      <c r="D1996" s="191" t="str">
        <v>Done</v>
      </c>
      <c r="E1996" s="196"/>
    </row>
    <row r="1997">
      <c r="A1997" s="190"/>
      <c r="B1997" s="194"/>
      <c r="C1997" s="192" t="str">
        <v>(pelindo) dokumen persyaratan (cv tenaga ahli dll)</v>
      </c>
      <c r="D1997" s="191" t="str">
        <v>Done</v>
      </c>
      <c r="E1997" s="196" t="str">
        <v>gakepegang, besok</v>
      </c>
    </row>
    <row r="1998">
      <c r="A1998" s="190"/>
      <c r="B1998" s="194"/>
      <c r="C1998" s="192"/>
      <c r="D1998" s="191"/>
      <c r="E1998" s="196"/>
    </row>
    <row r="1999">
      <c r="A1999" s="190"/>
      <c r="B1999" s="194" t="str">
        <v>Amel</v>
      </c>
      <c r="C1999" s="192" t="str">
        <v>weekly progress DSDA</v>
      </c>
      <c r="D1999" s="191" t="str">
        <v>Done</v>
      </c>
      <c r="E1999" s="196"/>
    </row>
    <row r="2000">
      <c r="A2000" s="190"/>
      <c r="B2000" s="194"/>
      <c r="C2000" s="192" t="str">
        <v>wirefrime dinas cipta karya</v>
      </c>
      <c r="D2000" s="191" t="str">
        <v>Done</v>
      </c>
      <c r="E2000" s="196"/>
    </row>
    <row r="2001">
      <c r="A2001" s="190"/>
      <c r="B2001" s="194"/>
      <c r="C2001" s="192" t="str">
        <v>[DSDA] update task list</v>
      </c>
      <c r="D2001" s="191" t="str">
        <v>Done</v>
      </c>
      <c r="E2001" s="196"/>
    </row>
    <row r="2002">
      <c r="A2002" s="190"/>
      <c r="B2002" s="194"/>
      <c r="C2002" s="192"/>
      <c r="D2002" s="191"/>
      <c r="E2002" s="196"/>
    </row>
    <row r="2003">
      <c r="A2003" s="190"/>
      <c r="B2003" s="194"/>
      <c r="C2003" s="192"/>
      <c r="D2003" s="191"/>
      <c r="E2003" s="196"/>
    </row>
    <row r="2004">
      <c r="A2004" s="190"/>
      <c r="B2004" s="194" t="str">
        <v>Zhafran</v>
      </c>
      <c r="C2004" s="192" t="str">
        <v>Monitoring project Karlo</v>
      </c>
      <c r="D2004" s="191" t="str">
        <v>Done</v>
      </c>
      <c r="E2004" s="196"/>
    </row>
    <row r="2005">
      <c r="A2005" s="190"/>
      <c r="B2005" s="194"/>
      <c r="C2005" s="192" t="str">
        <v>Monitoring ERELA Data</v>
      </c>
      <c r="D2005" s="191" t="str">
        <v>Done</v>
      </c>
      <c r="E2005" s="196"/>
    </row>
    <row r="2006">
      <c r="A2006" s="190"/>
      <c r="B2006" s="194"/>
      <c r="C2006" s="192" t="str">
        <v>Erela Survey</v>
      </c>
      <c r="D2006" s="191" t="str">
        <v>Done</v>
      </c>
      <c r="E2006" s="196"/>
    </row>
    <row r="2007">
      <c r="A2007" s="190"/>
      <c r="B2007" s="194"/>
      <c r="C2007" s="192" t="str">
        <v>Display Data SUBAGA</v>
      </c>
      <c r="D2007" s="191" t="str">
        <v>Done</v>
      </c>
      <c r="E2007" s="196"/>
    </row>
    <row r="2008">
      <c r="A2008" s="190"/>
      <c r="B2008" s="194"/>
      <c r="C2008" s="192"/>
      <c r="D2008" s="191"/>
      <c r="E2008" s="196"/>
    </row>
    <row r="2009">
      <c r="A2009" s="190"/>
      <c r="B2009" s="194"/>
      <c r="C2009" s="192"/>
      <c r="D2009" s="191"/>
      <c r="E2009" s="196"/>
    </row>
    <row r="2010">
      <c r="A2010" s="190"/>
      <c r="B2010" s="194"/>
      <c r="C2010" s="192"/>
      <c r="D2010" s="191"/>
      <c r="E2010" s="196"/>
    </row>
    <row r="2011">
      <c r="A2011" s="190"/>
      <c r="B2011" s="179" t="str">
        <v>Hadi</v>
      </c>
      <c r="C2011" s="192" t="str">
        <v>Monitoring Business (Project &amp; Freelancer)</v>
      </c>
      <c r="D2011" s="191" t="str">
        <v>Done</v>
      </c>
      <c r="E2011" s="196"/>
    </row>
    <row r="2012">
      <c r="A2012" s="190"/>
      <c r="B2012" s="179"/>
      <c r="C2012" s="192" t="str">
        <v>Drafting Deck Q1 Business</v>
      </c>
      <c r="D2012" s="191" t="str">
        <v>Done</v>
      </c>
      <c r="E2012" s="196"/>
    </row>
    <row r="2013">
      <c r="A2013" s="190"/>
      <c r="B2013" s="179"/>
      <c r="C2013" s="192"/>
      <c r="D2013" s="191"/>
      <c r="E2013" s="196"/>
    </row>
    <row r="2014">
      <c r="A2014" s="190"/>
      <c r="B2014" s="179"/>
      <c r="C2014" s="192"/>
      <c r="D2014" s="191"/>
      <c r="E2014" s="196"/>
    </row>
    <row r="2015">
      <c r="A2015" s="190"/>
      <c r="B2015" s="179"/>
      <c r="C2015" s="192"/>
      <c r="D2015" s="191"/>
      <c r="E2015" s="196"/>
    </row>
    <row r="2016">
      <c r="A2016" s="190">
        <v>46107</v>
      </c>
      <c r="B2016" s="179" t="str">
        <v>Fariz</v>
      </c>
      <c r="C2016" s="192" t="str">
        <v>[CTR] Agantry Permata Group</v>
      </c>
      <c r="D2016" s="191" t="str">
        <v>Done</v>
      </c>
      <c r="E2016" s="196"/>
    </row>
    <row r="2017">
      <c r="A2017" s="190"/>
      <c r="B2017" s="179"/>
      <c r="C2017" s="192" t="str">
        <v>[LMS] Meeting LMS MAPID Academy</v>
      </c>
      <c r="D2017" s="191" t="str">
        <v>Done</v>
      </c>
      <c r="E2017" s="196"/>
    </row>
    <row r="2018">
      <c r="A2018" s="190"/>
      <c r="B2018" s="179"/>
      <c r="C2018" s="192" t="str" xml:space="preserve">
        <v>[THE] Operasional Thematic </v>
      </c>
      <c r="D2018" s="191" t="str">
        <v>Done</v>
      </c>
      <c r="E2018" s="196"/>
    </row>
    <row r="2019">
      <c r="A2019" s="190"/>
      <c r="B2019" s="179"/>
      <c r="C2019" s="192"/>
      <c r="D2019" s="191"/>
      <c r="E2019" s="196"/>
    </row>
    <row r="2020">
      <c r="A2020" s="190"/>
      <c r="B2020" s="179"/>
      <c r="C2020" s="192"/>
      <c r="D2020" s="191"/>
      <c r="E2020" s="196"/>
    </row>
    <row r="2021">
      <c r="A2021" s="190"/>
      <c r="B2021" s="191" t="str">
        <v>Dwi</v>
      </c>
      <c r="C2021" s="192" t="str">
        <v>Lanjut Evaluasi Q1: Growth Marketing</v>
      </c>
      <c r="D2021" s="191" t="str">
        <v>Done</v>
      </c>
      <c r="E2021" s="196"/>
    </row>
    <row r="2022">
      <c r="A2022" s="190"/>
      <c r="B2022" s="191"/>
      <c r="C2022" s="192" t="str">
        <v>Draft Strategi Q2: Firm Strategi Upper Funnel untuk Product B2C</v>
      </c>
      <c r="D2022" s="191"/>
      <c r="E2022" s="196"/>
    </row>
    <row r="2023">
      <c r="A2023" s="190"/>
      <c r="B2023" s="191"/>
      <c r="C2023" s="192"/>
      <c r="D2023" s="191"/>
      <c r="E2023" s="196"/>
    </row>
    <row r="2024">
      <c r="A2024" s="190"/>
      <c r="B2024" s="191"/>
      <c r="C2024" s="192"/>
      <c r="D2024" s="191"/>
      <c r="E2024" s="196"/>
    </row>
    <row r="2025">
      <c r="A2025" s="190"/>
      <c r="B2025" s="191"/>
      <c r="C2025" s="192"/>
      <c r="D2025" s="191"/>
      <c r="E2025" s="196"/>
    </row>
    <row r="2026">
      <c r="A2026" s="190"/>
      <c r="B2026" s="191"/>
      <c r="C2026" s="192"/>
      <c r="D2026" s="191"/>
      <c r="E2026" s="196"/>
    </row>
    <row r="2027">
      <c r="A2027" s="190"/>
      <c r="B2027" s="179" t="str">
        <v>Wina</v>
      </c>
      <c r="C2027" s="192" t="str">
        <v>Daily content (newsletter, WA, IGs)</v>
      </c>
      <c r="D2027" s="191" t="str">
        <v>Done</v>
      </c>
      <c r="E2027" s="196" t="str">
        <v>reminder thematic class</v>
      </c>
    </row>
    <row r="2028">
      <c r="A2028" s="190"/>
      <c r="B2028" s="179"/>
      <c r="C2028" s="192" t="str">
        <v>Q1 evaluasi</v>
      </c>
      <c r="D2028" s="191" t="str">
        <v>Done</v>
      </c>
      <c r="E2028" s="196" t="s">
        <v>374</v>
      </c>
    </row>
    <row r="2029">
      <c r="A2029" s="190"/>
      <c r="B2029" s="179"/>
      <c r="C2029" s="192"/>
      <c r="D2029" s="191"/>
      <c r="E2029" s="196"/>
    </row>
    <row r="2030">
      <c r="A2030" s="190"/>
      <c r="B2030" s="179"/>
      <c r="C2030" s="192"/>
      <c r="D2030" s="191"/>
      <c r="E2030" s="196"/>
    </row>
    <row r="2031">
      <c r="A2031" s="190"/>
      <c r="B2031" s="179"/>
      <c r="C2031" s="192"/>
      <c r="D2031" s="191"/>
      <c r="E2031" s="196"/>
    </row>
    <row r="2032">
      <c r="A2032" s="190"/>
      <c r="B2032" s="191" t="str">
        <v>Annisa</v>
      </c>
      <c r="C2032" s="192" t="str">
        <v>ads reminder Thematic Class</v>
      </c>
      <c r="D2032" s="191" t="str">
        <v>Done</v>
      </c>
      <c r="E2032" s="196"/>
    </row>
    <row r="2033">
      <c r="A2033" s="190"/>
      <c r="B2033" s="191"/>
      <c r="C2033" s="192" t="str" xml:space="preserve">
        <v>Mau Liburan ke Bandung? Begini Cara Tahu Titik Kemacetannya! - konten </v>
      </c>
      <c r="D2033" s="191" t="str">
        <v>Done</v>
      </c>
      <c r="E2033" s="196"/>
    </row>
    <row r="2034">
      <c r="A2034" s="190"/>
      <c r="B2034" s="191"/>
      <c r="C2034" s="192" t="str">
        <v>cicil mindahin dokumen + ringkas  menjadi mini guide book di canva - Brand guidelines (2/5)</v>
      </c>
      <c r="D2034" s="191" t="str">
        <v>Done</v>
      </c>
      <c r="E2034" s="196"/>
    </row>
    <row r="2035">
      <c r="A2035" s="190"/>
      <c r="B2035" s="191"/>
      <c r="C2035" s="192"/>
      <c r="D2035" s="191"/>
      <c r="E2035" s="196"/>
    </row>
    <row r="2036">
      <c r="A2036" s="190"/>
      <c r="B2036" s="191"/>
      <c r="C2036" s="192"/>
      <c r="D2036" s="191"/>
      <c r="E2036" s="196"/>
    </row>
    <row r="2037">
      <c r="A2037" s="190"/>
      <c r="B2037" s="194" t="str">
        <v>Lossa</v>
      </c>
      <c r="C2037" s="192" t="str">
        <v>(nabati survey) resolve unmatched data, revisi laporan</v>
      </c>
      <c r="D2037" s="191" t="str">
        <v>Done</v>
      </c>
      <c r="E2037" s="196"/>
    </row>
    <row r="2038">
      <c r="A2038" s="190"/>
      <c r="B2038" s="194"/>
      <c r="C2038" s="192" t="str">
        <v>(nabati dashboard) monitoring</v>
      </c>
      <c r="D2038" s="191" t="str">
        <v>Done</v>
      </c>
      <c r="E2038" s="196" t="str">
        <v>mas attariqnya ngilang, sedang aku followup lagi</v>
      </c>
    </row>
    <row r="2039">
      <c r="A2039" s="190"/>
      <c r="B2039" s="194"/>
      <c r="C2039" s="192" t="str">
        <v>(pelindo) dokumen persyaratan (cv tenaga ahli dll)</v>
      </c>
      <c r="D2039" s="191" t="str">
        <v>Done</v>
      </c>
      <c r="E2039" s="196"/>
    </row>
    <row customHeight="true" ht="19" r="2040">
      <c r="A2040" s="190"/>
      <c r="B2040" s="194"/>
      <c r="C2040" s="192"/>
      <c r="D2040" s="191"/>
      <c r="E2040" s="196"/>
    </row>
    <row customHeight="true" ht="19" r="2041">
      <c r="A2041" s="190"/>
      <c r="B2041" s="194"/>
      <c r="C2041" s="192"/>
      <c r="D2041" s="191"/>
      <c r="E2041" s="196"/>
    </row>
    <row r="2042">
      <c r="A2042" s="190"/>
      <c r="B2042" s="194" t="str">
        <v>Amel</v>
      </c>
      <c r="C2042" s="192" t="str">
        <v>monitoring DSDA + meeting</v>
      </c>
      <c r="D2042" s="191" t="str">
        <v>Done</v>
      </c>
      <c r="E2042" s="196"/>
    </row>
    <row r="2043">
      <c r="A2043" s="190"/>
      <c r="B2043" s="194"/>
      <c r="C2043" s="192" t="str">
        <v>weekly PSE</v>
      </c>
      <c r="D2043" s="191" t="str">
        <v>Done</v>
      </c>
      <c r="E2043" s="196"/>
    </row>
    <row r="2044">
      <c r="A2044" s="190"/>
      <c r="B2044" s="194"/>
      <c r="C2044" s="192" t="str">
        <v>Edit field dashboard dsda</v>
      </c>
      <c r="D2044" s="191" t="str">
        <v>Done</v>
      </c>
      <c r="E2044" s="196" t="str">
        <v>penambahan field upload dokumen di seluruh dashboard pengerukan</v>
      </c>
    </row>
    <row r="2045">
      <c r="A2045" s="190"/>
      <c r="B2045" s="194"/>
      <c r="C2045" s="192"/>
      <c r="D2045" s="191"/>
      <c r="E2045" s="196"/>
    </row>
    <row r="2046">
      <c r="A2046" s="190"/>
      <c r="B2046" s="194"/>
      <c r="C2046" s="192"/>
      <c r="D2046" s="191"/>
      <c r="E2046" s="196"/>
    </row>
    <row r="2047">
      <c r="A2047" s="190"/>
      <c r="B2047" s="194" t="str">
        <v>Zhafran</v>
      </c>
      <c r="C2047" s="192" t="str">
        <v>Monitoring project karlo</v>
      </c>
      <c r="D2047" s="191" t="str">
        <v>Done</v>
      </c>
      <c r="E2047" s="196"/>
    </row>
    <row r="2048">
      <c r="A2048" s="190"/>
      <c r="B2048" s="194"/>
      <c r="C2048" s="192" t="str">
        <v>Persiapan modul erela data</v>
      </c>
      <c r="D2048" s="191" t="str">
        <v>Done</v>
      </c>
      <c r="E2048" s="196"/>
    </row>
    <row r="2049">
      <c r="A2049" s="190"/>
      <c r="B2049" s="194"/>
      <c r="C2049" s="192" t="str">
        <v>Weekly PSE</v>
      </c>
      <c r="D2049" s="191" t="str">
        <v>Done</v>
      </c>
      <c r="E2049" s="196"/>
    </row>
    <row r="2050">
      <c r="A2050" s="190"/>
      <c r="B2050" s="194"/>
      <c r="C2050" s="192" t="str" xml:space="preserve">
        <v>Report Bulan Maret </v>
      </c>
      <c r="D2050" s="191" t="str">
        <v>Done</v>
      </c>
      <c r="E2050" s="196"/>
    </row>
    <row r="2051">
      <c r="A2051" s="190"/>
      <c r="B2051" s="194"/>
      <c r="C2051" s="192"/>
      <c r="D2051" s="191"/>
      <c r="E2051" s="196"/>
    </row>
    <row r="2052">
      <c r="A2052" s="190"/>
      <c r="B2052" s="194"/>
      <c r="C2052" s="192"/>
      <c r="D2052" s="191"/>
      <c r="E2052" s="196"/>
    </row>
    <row r="2053">
      <c r="A2053" s="190"/>
      <c r="B2053" s="194"/>
      <c r="C2053" s="192"/>
      <c r="D2053" s="191"/>
      <c r="E2053" s="196"/>
    </row>
    <row r="2054">
      <c r="A2054" s="190"/>
      <c r="B2054" s="179" t="str">
        <v>Hadi</v>
      </c>
      <c r="C2054" s="192" t="str">
        <v>Monitoring Business</v>
      </c>
      <c r="D2054" s="191" t="str">
        <v>Done</v>
      </c>
      <c r="E2054" s="196"/>
    </row>
    <row r="2055">
      <c r="A2055" s="190"/>
      <c r="B2055" s="179"/>
      <c r="C2055" s="192" t="str">
        <v>Updating BI-Dashboard</v>
      </c>
      <c r="D2055" s="191" t="str">
        <v>Done</v>
      </c>
      <c r="E2055" s="196"/>
    </row>
    <row r="2056">
      <c r="A2056" s="190"/>
      <c r="B2056" s="179"/>
      <c r="C2056" s="192" t="str">
        <v>Drafting Deck Q1 Business</v>
      </c>
      <c r="D2056" s="191" t="str">
        <v>Done</v>
      </c>
      <c r="E2056" s="196"/>
    </row>
    <row r="2057">
      <c r="A2057" s="190"/>
      <c r="B2057" s="179"/>
      <c r="C2057" s="192"/>
      <c r="D2057" s="191"/>
      <c r="E2057" s="196"/>
    </row>
    <row r="2058">
      <c r="A2058" s="190"/>
      <c r="B2058" s="179"/>
      <c r="C2058" s="192"/>
      <c r="D2058" s="191"/>
      <c r="E2058" s="196"/>
    </row>
    <row customHeight="true" ht="19" r="2059">
      <c r="A2059" s="190">
        <v>46108</v>
      </c>
      <c r="B2059" s="179" t="str">
        <v>Fariz</v>
      </c>
      <c r="C2059" s="192" t="str">
        <v>[INT] Interview Intern Pengganti Dafa</v>
      </c>
      <c r="D2059" s="191" t="str">
        <v>Done</v>
      </c>
      <c r="E2059" s="196"/>
    </row>
    <row r="2060">
      <c r="A2060" s="190"/>
      <c r="B2060" s="179"/>
      <c r="C2060" s="192" t="str">
        <v>[CTR] Meeting Breakdown Materi Permata Group with Mas Faiz</v>
      </c>
      <c r="D2060" s="191" t="str">
        <v>Done</v>
      </c>
      <c r="E2060" s="196"/>
    </row>
    <row r="2061">
      <c r="A2061" s="190"/>
      <c r="B2061" s="179"/>
      <c r="C2061" s="192" t="str">
        <v>[CTR] Materi Permata Group</v>
      </c>
      <c r="D2061" s="191" t="str">
        <v>Done</v>
      </c>
      <c r="E2061" s="196"/>
    </row>
    <row r="2062">
      <c r="A2062" s="190"/>
      <c r="B2062" s="179"/>
      <c r="C2062" s="192" t="str">
        <v>[THE] Meeting Koordinasi Andreas dan Ferel</v>
      </c>
      <c r="D2062" s="191" t="str">
        <v>Done</v>
      </c>
      <c r="E2062" s="196"/>
    </row>
    <row r="2063">
      <c r="A2063" s="190"/>
      <c r="B2063" s="179"/>
      <c r="C2063" s="192"/>
      <c r="D2063" s="191"/>
      <c r="E2063" s="196"/>
    </row>
    <row r="2064">
      <c r="A2064" s="190"/>
      <c r="B2064" s="191" t="str">
        <v>Dwi</v>
      </c>
      <c r="C2064" s="192" t="str">
        <v>Draft Strategi Q2: Firm Strategi Upper Funnel untuk Product B2C</v>
      </c>
      <c r="D2064" s="191"/>
      <c r="E2064" s="196"/>
    </row>
    <row r="2065">
      <c r="A2065" s="190"/>
      <c r="B2065" s="191"/>
      <c r="C2065" s="192" t="str">
        <v>Cicil Report Maret</v>
      </c>
      <c r="D2065" s="191"/>
      <c r="E2065" s="196"/>
    </row>
    <row r="2066">
      <c r="A2066" s="190"/>
      <c r="B2066" s="191"/>
      <c r="C2066" s="192" t="str">
        <v>Recap Marketing Spend Q1 setiap product</v>
      </c>
      <c r="D2066" s="191" t="str">
        <v>Done</v>
      </c>
      <c r="E2066" s="196"/>
    </row>
    <row r="2067">
      <c r="A2067" s="190"/>
      <c r="B2067" s="191"/>
      <c r="C2067" s="192"/>
      <c r="D2067" s="191"/>
      <c r="E2067" s="196"/>
    </row>
    <row r="2068">
      <c r="A2068" s="190"/>
      <c r="B2068" s="191"/>
      <c r="C2068" s="192"/>
      <c r="D2068" s="191"/>
      <c r="E2068" s="196"/>
    </row>
    <row r="2069">
      <c r="A2069" s="190"/>
      <c r="B2069" s="191"/>
      <c r="C2069" s="192"/>
      <c r="D2069" s="191"/>
      <c r="E2069" s="196"/>
    </row>
    <row r="2070">
      <c r="A2070" s="190"/>
      <c r="B2070" s="179" t="str">
        <v>Wina</v>
      </c>
      <c r="C2070" s="192" t="str">
        <v>daily content (WA)</v>
      </c>
      <c r="D2070" s="191" t="str">
        <v>In Progress</v>
      </c>
      <c r="E2070" s="196"/>
    </row>
    <row r="2071">
      <c r="A2071" s="190"/>
      <c r="B2071" s="179"/>
      <c r="C2071" s="192" t="str">
        <v>listing content all sosmed &amp; community</v>
      </c>
      <c r="D2071" s="191" t="str">
        <v>In Progress</v>
      </c>
      <c r="E2071" s="196"/>
    </row>
    <row r="2072">
      <c r="A2072" s="190"/>
      <c r="B2072" s="179"/>
      <c r="C2072" s="192" t="str">
        <v>recap mapid apps (PINANG THR)</v>
      </c>
      <c r="D2072" s="191" t="str">
        <v>In Progress</v>
      </c>
      <c r="E2072" s="196"/>
    </row>
    <row r="2073">
      <c r="A2073" s="190"/>
      <c r="B2073" s="179"/>
      <c r="C2073" s="192"/>
      <c r="D2073" s="191"/>
      <c r="E2073" s="196"/>
    </row>
    <row r="2074">
      <c r="A2074" s="190"/>
      <c r="B2074" s="179"/>
      <c r="C2074" s="192"/>
      <c r="D2074" s="191"/>
      <c r="E2074" s="196"/>
    </row>
    <row r="2075">
      <c r="A2075" s="190"/>
      <c r="B2075" s="191" t="str">
        <v>Annisa</v>
      </c>
      <c r="C2075" s="192" t="str">
        <v>Alfa dan Indo -konten</v>
      </c>
      <c r="D2075" s="191" t="str">
        <v>Done</v>
      </c>
      <c r="E2075" s="196"/>
    </row>
    <row r="2076">
      <c r="A2076" s="190"/>
      <c r="B2076" s="191"/>
      <c r="C2076" s="192" t="str">
        <v>background &amp; live report frame - thematic class</v>
      </c>
      <c r="D2076" s="191" t="str">
        <v>Done</v>
      </c>
      <c r="E2076" s="196"/>
    </row>
    <row r="2077">
      <c r="A2077" s="190"/>
      <c r="B2077" s="191"/>
      <c r="C2077" s="192" t="str">
        <v>cicil mindahin dokumen + ringkas  menjadi mini guide book di canva - Brand guidelines (2/5)</v>
      </c>
      <c r="D2077" s="191"/>
      <c r="E2077" s="196"/>
    </row>
    <row r="2078">
      <c r="A2078" s="190"/>
      <c r="B2078" s="191"/>
      <c r="C2078" s="192"/>
      <c r="D2078" s="191"/>
      <c r="E2078" s="196"/>
    </row>
    <row r="2079">
      <c r="A2079" s="190"/>
      <c r="B2079" s="191"/>
      <c r="C2079" s="192"/>
      <c r="D2079" s="191"/>
      <c r="E2079" s="196"/>
    </row>
    <row r="2080">
      <c r="A2080" s="190"/>
      <c r="B2080" s="194" t="str">
        <v>Lossa</v>
      </c>
      <c r="C2080" s="192" t="str">
        <v>(pupuk) laporan</v>
      </c>
      <c r="D2080" s="191" t="str">
        <v>Done</v>
      </c>
      <c r="E2080" s="196"/>
    </row>
    <row r="2081">
      <c r="A2081" s="190"/>
      <c r="B2081" s="194"/>
      <c r="C2081" s="192" t="str">
        <v>(nabati dashboard) monitoring</v>
      </c>
      <c r="D2081" s="191" t="str">
        <v>Done</v>
      </c>
      <c r="E2081" s="196"/>
    </row>
    <row r="2082">
      <c r="A2082" s="190"/>
      <c r="B2082" s="194"/>
      <c r="C2082" s="192" t="str">
        <v>(astra infra) usecase based on tor</v>
      </c>
      <c r="D2082" s="191" t="str">
        <v>Done</v>
      </c>
      <c r="E2082" s="196" t="s">
        <v>353</v>
      </c>
    </row>
    <row r="2083">
      <c r="A2083" s="190"/>
      <c r="B2083" s="194"/>
      <c r="C2083" s="192" t="str">
        <v>(cilicis) koordinasi sourcecode</v>
      </c>
      <c r="D2083" s="191" t="str">
        <v>Done</v>
      </c>
      <c r="E2083" s="196"/>
    </row>
    <row r="2084">
      <c r="A2084" s="190"/>
      <c r="B2084" s="194"/>
      <c r="C2084" s="192"/>
      <c r="D2084" s="191"/>
      <c r="E2084" s="196"/>
    </row>
    <row r="2085">
      <c r="A2085" s="190"/>
      <c r="B2085" s="194" t="str">
        <v>Amel</v>
      </c>
      <c r="C2085" s="192" t="str" xml:space="preserve">
        <v>Rapihin kanban DSDA </v>
      </c>
      <c r="D2085" s="191" t="str">
        <v>Done</v>
      </c>
      <c r="E2085" s="196"/>
    </row>
    <row r="2086">
      <c r="A2086" s="190"/>
      <c r="B2086" s="194"/>
      <c r="C2086" s="192" t="str">
        <v>Monitoring project DSDA</v>
      </c>
      <c r="D2086" s="191" t="str">
        <v>Done</v>
      </c>
      <c r="E2086" s="196"/>
    </row>
    <row r="2087">
      <c r="A2087" s="190"/>
      <c r="B2087" s="194"/>
      <c r="C2087" s="192" t="str">
        <v>Koordinasi + Membuat penawaran harga Madiun</v>
      </c>
      <c r="D2087" s="191" t="str">
        <v>Done</v>
      </c>
      <c r="E2087" s="196"/>
    </row>
    <row r="2088">
      <c r="A2088" s="190"/>
      <c r="B2088" s="194"/>
      <c r="C2088" s="192"/>
      <c r="D2088" s="191"/>
      <c r="E2088" s="196"/>
    </row>
    <row r="2089">
      <c r="A2089" s="190"/>
      <c r="B2089" s="194"/>
      <c r="C2089" s="192"/>
      <c r="D2089" s="191"/>
      <c r="E2089" s="196"/>
    </row>
    <row r="2090">
      <c r="A2090" s="190"/>
      <c r="B2090" s="194" t="str">
        <v>Zhafran</v>
      </c>
      <c r="C2090" s="192" t="str">
        <v>Monitoring project Karlo</v>
      </c>
      <c r="D2090" s="191" t="str">
        <v>Done</v>
      </c>
      <c r="E2090" s="196"/>
    </row>
    <row r="2091">
      <c r="A2091" s="190"/>
      <c r="B2091" s="194"/>
      <c r="C2091" s="192" t="str">
        <v>Report Evaluasi Q1</v>
      </c>
      <c r="D2091" s="191" t="str">
        <v>Done</v>
      </c>
      <c r="E2091" s="196"/>
    </row>
    <row r="2092">
      <c r="A2092" s="190"/>
      <c r="B2092" s="194"/>
      <c r="C2092" s="192"/>
      <c r="D2092" s="191"/>
      <c r="E2092" s="196"/>
    </row>
    <row r="2093">
      <c r="A2093" s="190"/>
      <c r="B2093" s="194"/>
      <c r="C2093" s="192"/>
      <c r="D2093" s="191"/>
      <c r="E2093" s="196"/>
    </row>
    <row r="2094">
      <c r="A2094" s="190"/>
      <c r="B2094" s="194"/>
      <c r="C2094" s="192"/>
      <c r="D2094" s="191"/>
      <c r="E2094" s="196"/>
    </row>
    <row r="2095">
      <c r="A2095" s="190"/>
      <c r="B2095" s="194"/>
      <c r="C2095" s="192"/>
      <c r="D2095" s="191"/>
      <c r="E2095" s="196"/>
    </row>
    <row r="2096">
      <c r="A2096" s="190"/>
      <c r="B2096" s="194"/>
      <c r="C2096" s="192"/>
      <c r="D2096" s="191"/>
      <c r="E2096" s="196"/>
    </row>
    <row r="2097">
      <c r="A2097" s="190"/>
      <c r="B2097" s="179" t="str">
        <v>Hadi</v>
      </c>
      <c r="C2097" s="192" t="str">
        <v>Monitoring Business</v>
      </c>
      <c r="D2097" s="191" t="str">
        <v>Done</v>
      </c>
      <c r="E2097" s="196"/>
    </row>
    <row r="2098">
      <c r="A2098" s="190"/>
      <c r="B2098" s="179"/>
      <c r="C2098" s="192" t="str">
        <v>Weekly Sales CRM</v>
      </c>
      <c r="D2098" s="191" t="str">
        <v>Done</v>
      </c>
      <c r="E2098" s="196"/>
    </row>
    <row r="2099">
      <c r="A2099" s="190"/>
      <c r="B2099" s="179"/>
      <c r="C2099" s="192" t="str">
        <v>Updating BI-Dashboard</v>
      </c>
      <c r="D2099" s="191" t="str">
        <v>Done</v>
      </c>
      <c r="E2099" s="196"/>
    </row>
    <row r="2100">
      <c r="A2100" s="190"/>
      <c r="B2100" s="179"/>
      <c r="C2100" s="192"/>
      <c r="D2100" s="191"/>
      <c r="E2100" s="196"/>
    </row>
    <row r="2101">
      <c r="A2101" s="190"/>
      <c r="B2101" s="179"/>
      <c r="C2101" s="208"/>
      <c r="D2101" s="198"/>
      <c r="E2101" s="196"/>
    </row>
    <row customHeight="true" ht="19" r="2102">
      <c r="A2102" s="190">
        <v>46111</v>
      </c>
      <c r="B2102" s="191" t="str">
        <v>Fariz</v>
      </c>
      <c r="C2102" s="192" t="str">
        <v>[WGA] Persiapan Operasional WebGIS Academy</v>
      </c>
      <c r="D2102" s="179" t="str">
        <v>Done</v>
      </c>
      <c r="E2102" s="212"/>
    </row>
    <row r="2103">
      <c r="A2103" s="190"/>
      <c r="B2103" s="191"/>
      <c r="C2103" s="19" t="str">
        <v>[INT] Koreksi Kerjaan Dafa</v>
      </c>
      <c r="D2103" s="179" t="str">
        <v>Done</v>
      </c>
      <c r="E2103" s="212"/>
    </row>
    <row r="2104">
      <c r="A2104" s="190"/>
      <c r="B2104" s="191"/>
      <c r="C2104" s="19" t="str" xml:space="preserve">
        <v>[INT] Presentasi Dafa </v>
      </c>
      <c r="D2104" s="179" t="str">
        <v>Done</v>
      </c>
      <c r="E2104" s="212"/>
    </row>
    <row r="2105">
      <c r="A2105" s="190"/>
      <c r="B2105" s="191"/>
      <c r="C2105" s="192"/>
      <c r="D2105" s="179"/>
      <c r="E2105" s="212"/>
    </row>
    <row r="2106">
      <c r="A2106" s="190"/>
      <c r="B2106" s="179"/>
      <c r="C2106" s="200"/>
      <c r="D2106" s="203"/>
      <c r="E2106" s="196"/>
    </row>
    <row r="2107">
      <c r="A2107" s="190"/>
      <c r="B2107" s="191" t="str">
        <v>Dwi</v>
      </c>
      <c r="C2107" s="192" t="str">
        <v>Meeting Evaluasi B2C</v>
      </c>
      <c r="D2107" s="191" t="str">
        <v>Done</v>
      </c>
      <c r="E2107" s="196"/>
    </row>
    <row r="2108">
      <c r="A2108" s="190"/>
      <c r="B2108" s="191"/>
      <c r="C2108" s="192" t="str">
        <v>Meeting Evaluasi MAPID Academy</v>
      </c>
      <c r="D2108" s="191" t="str">
        <v>Done</v>
      </c>
      <c r="E2108" s="196"/>
    </row>
    <row r="2109">
      <c r="A2109" s="190"/>
      <c r="B2109" s="191"/>
      <c r="C2109" s="192" t="str">
        <v>Menyicil Strategy Q2</v>
      </c>
      <c r="D2109" s="191" t="str">
        <v>Done</v>
      </c>
      <c r="E2109" s="196"/>
    </row>
    <row r="2110">
      <c r="A2110" s="190"/>
      <c r="B2110" s="191"/>
      <c r="C2110" s="192"/>
      <c r="D2110" s="191"/>
      <c r="E2110" s="196"/>
    </row>
    <row r="2111">
      <c r="A2111" s="190"/>
      <c r="B2111" s="191"/>
      <c r="C2111" s="192"/>
      <c r="D2111" s="191"/>
      <c r="E2111" s="196"/>
    </row>
    <row r="2112">
      <c r="A2112" s="190"/>
      <c r="B2112" s="191"/>
      <c r="C2112" s="192"/>
      <c r="D2112" s="191"/>
      <c r="E2112" s="196"/>
    </row>
    <row r="2113">
      <c r="A2113" s="190"/>
      <c r="B2113" s="179" t="str">
        <v>Wina</v>
      </c>
      <c r="C2113" s="192" t="str">
        <v>Daily content (newsletter, WA)</v>
      </c>
      <c r="D2113" s="191" t="str">
        <v>Done</v>
      </c>
      <c r="E2113" s="196"/>
    </row>
    <row r="2114">
      <c r="A2114" s="190"/>
      <c r="B2114" s="179"/>
      <c r="C2114" s="192" t="str">
        <v>Sales WA</v>
      </c>
      <c r="D2114" s="191" t="str">
        <v>Done</v>
      </c>
      <c r="E2114" s="196"/>
    </row>
    <row r="2115">
      <c r="A2115" s="190"/>
      <c r="B2115" s="179"/>
      <c r="C2115" s="192" t="str">
        <v>Listing content</v>
      </c>
      <c r="D2115" s="191" t="str">
        <v>Done</v>
      </c>
      <c r="E2115" s="196"/>
    </row>
    <row r="2116">
      <c r="A2116" s="190"/>
      <c r="B2116" s="179"/>
      <c r="C2116" s="192"/>
      <c r="D2116" s="191"/>
      <c r="E2116" s="196"/>
    </row>
    <row r="2117">
      <c r="A2117" s="190"/>
      <c r="B2117" s="179"/>
      <c r="C2117" s="192"/>
      <c r="D2117" s="191"/>
      <c r="E2117" s="196"/>
    </row>
    <row r="2118">
      <c r="A2118" s="190"/>
      <c r="B2118" s="191" t="str">
        <v>Annisa</v>
      </c>
      <c r="C2118" s="192"/>
      <c r="D2118" s="191"/>
      <c r="E2118" s="196"/>
    </row>
    <row r="2119">
      <c r="A2119" s="190"/>
      <c r="B2119" s="191"/>
      <c r="C2119" s="192"/>
      <c r="D2119" s="191"/>
      <c r="E2119" s="196"/>
    </row>
    <row r="2120">
      <c r="A2120" s="190"/>
      <c r="B2120" s="191"/>
      <c r="C2120" s="192"/>
      <c r="D2120" s="191"/>
      <c r="E2120" s="196"/>
    </row>
    <row r="2121">
      <c r="A2121" s="190"/>
      <c r="B2121" s="191"/>
      <c r="C2121" s="192"/>
      <c r="D2121" s="191"/>
      <c r="E2121" s="196"/>
    </row>
    <row r="2122">
      <c r="A2122" s="190"/>
      <c r="B2122" s="191"/>
      <c r="C2122" s="192"/>
      <c r="D2122" s="191"/>
      <c r="E2122" s="196"/>
    </row>
    <row r="2123">
      <c r="A2123" s="190"/>
      <c r="B2123" s="194" t="str">
        <v>Lossa</v>
      </c>
      <c r="C2123" s="192" t="str">
        <v>meeting internal prodia</v>
      </c>
      <c r="D2123" s="191" t="str">
        <v>Done</v>
      </c>
      <c r="E2123" s="195" t="str">
        <v>10.00</v>
      </c>
    </row>
    <row r="2124">
      <c r="A2124" s="190"/>
      <c r="B2124" s="194"/>
      <c r="C2124" s="192" t="str">
        <v>meeting astra infra</v>
      </c>
      <c r="D2124" s="191" t="str">
        <v>Done</v>
      </c>
      <c r="E2124" s="199" t="str">
        <v>13.00</v>
      </c>
    </row>
    <row r="2125">
      <c r="A2125" s="190"/>
      <c r="B2125" s="194"/>
      <c r="C2125" s="192" t="str">
        <v>meeting ilcs</v>
      </c>
      <c r="D2125" s="191" t="str">
        <v>Done</v>
      </c>
      <c r="E2125" s="199" t="str">
        <v>15.00 (tentative)</v>
      </c>
    </row>
    <row customHeight="true" ht="19" r="2126">
      <c r="A2126" s="190"/>
      <c r="B2126" s="194"/>
      <c r="C2126" s="192" t="str">
        <v>meeting nabati</v>
      </c>
      <c r="D2126" s="191" t="str">
        <v>Done</v>
      </c>
      <c r="E2126" s="199" t="str">
        <v>15.30</v>
      </c>
    </row>
    <row r="2127">
      <c r="A2127" s="190"/>
      <c r="B2127" s="194"/>
      <c r="C2127" s="192" t="str">
        <v>laporan pupuk</v>
      </c>
      <c r="D2127" s="191" t="str">
        <v>Done</v>
      </c>
      <c r="E2127" s="196" t="str">
        <v>presentasi akhir bsk</v>
      </c>
    </row>
    <row r="2128">
      <c r="A2128" s="190"/>
      <c r="B2128" s="194"/>
      <c r="C2128" s="192"/>
      <c r="D2128" s="191"/>
      <c r="E2128" s="196"/>
    </row>
    <row r="2129">
      <c r="A2129" s="190"/>
      <c r="B2129" s="194" t="str">
        <v>Amel</v>
      </c>
      <c r="C2129" s="192" t="str">
        <v>Demo call BNI</v>
      </c>
      <c r="D2129" s="191" t="str">
        <v>Done</v>
      </c>
      <c r="E2129" s="195" t="str">
        <v>10:00</v>
      </c>
    </row>
    <row r="2130">
      <c r="A2130" s="190"/>
      <c r="B2130" s="194"/>
      <c r="C2130" s="192" t="str">
        <v>Deck Madiun</v>
      </c>
      <c r="D2130" s="191" t="str">
        <v>Done</v>
      </c>
      <c r="E2130" s="196"/>
    </row>
    <row r="2131">
      <c r="A2131" s="190"/>
      <c r="B2131" s="194"/>
      <c r="C2131" s="192" t="str">
        <v>Testing DSDA (notification)</v>
      </c>
      <c r="D2131" s="191" t="str">
        <v>Done</v>
      </c>
      <c r="E2131" s="196"/>
    </row>
    <row r="2132">
      <c r="A2132" s="190"/>
      <c r="B2132" s="194"/>
      <c r="C2132" s="192" t="str">
        <v>Meeting Q1</v>
      </c>
      <c r="D2132" s="191" t="str">
        <v>Done</v>
      </c>
      <c r="E2132" s="196"/>
    </row>
    <row r="2133">
      <c r="A2133" s="190"/>
      <c r="B2133" s="194"/>
      <c r="C2133" s="192"/>
      <c r="D2133" s="191"/>
      <c r="E2133" s="196"/>
    </row>
    <row r="2134">
      <c r="A2134" s="190"/>
      <c r="B2134" s="194" t="str">
        <v>Zhafran</v>
      </c>
      <c r="C2134" s="192" t="str">
        <v>Monitoring project</v>
      </c>
      <c r="D2134" s="191" t="str">
        <v>Done</v>
      </c>
      <c r="E2134" s="196"/>
    </row>
    <row r="2135">
      <c r="A2135" s="190"/>
      <c r="B2135" s="194"/>
      <c r="C2135" s="192" t="str">
        <v>Meeting astra infra</v>
      </c>
      <c r="D2135" s="191" t="str">
        <v>Done</v>
      </c>
      <c r="E2135" s="196"/>
    </row>
    <row r="2136">
      <c r="A2136" s="190"/>
      <c r="B2136" s="194"/>
      <c r="C2136" s="192" t="str">
        <v>Meeting Q1</v>
      </c>
      <c r="D2136" s="191" t="str">
        <v>Done</v>
      </c>
      <c r="E2136" s="196"/>
    </row>
    <row r="2137">
      <c r="A2137" s="190"/>
      <c r="B2137" s="194"/>
      <c r="C2137" s="192"/>
      <c r="D2137" s="191"/>
      <c r="E2137" s="196"/>
    </row>
    <row r="2138">
      <c r="A2138" s="190"/>
      <c r="B2138" s="194"/>
      <c r="C2138" s="192"/>
      <c r="D2138" s="191"/>
      <c r="E2138" s="196"/>
    </row>
    <row r="2139">
      <c r="A2139" s="190"/>
      <c r="B2139" s="194"/>
      <c r="C2139" s="192"/>
      <c r="D2139" s="191"/>
      <c r="E2139" s="196"/>
    </row>
    <row r="2140">
      <c r="A2140" s="190"/>
      <c r="B2140" s="194"/>
      <c r="C2140" s="192"/>
      <c r="D2140" s="191"/>
      <c r="E2140" s="196"/>
    </row>
    <row r="2141">
      <c r="A2141" s="190"/>
      <c r="B2141" s="179" t="str">
        <v>Hadi</v>
      </c>
      <c r="C2141" s="192" t="str">
        <v>Monitoring Business (Q1 Evaluation Review)</v>
      </c>
      <c r="D2141" s="191" t="str">
        <v>Done</v>
      </c>
      <c r="E2141" s="196"/>
    </row>
    <row r="2142">
      <c r="A2142" s="190"/>
      <c r="B2142" s="179"/>
      <c r="C2142" s="192" t="str">
        <v>Meeting w/ Mas Bagus : Alignment Q2</v>
      </c>
      <c r="D2142" s="191" t="str">
        <v>Done</v>
      </c>
      <c r="E2142" s="196"/>
    </row>
    <row r="2143">
      <c r="A2143" s="190"/>
      <c r="B2143" s="179"/>
      <c r="C2143" s="192" t="str">
        <v>Meeting Legal Prodia</v>
      </c>
      <c r="D2143" s="191" t="str">
        <v>Done</v>
      </c>
      <c r="E2143" s="196"/>
    </row>
    <row r="2144">
      <c r="A2144" s="190"/>
      <c r="B2144" s="179"/>
      <c r="C2144" s="192" t="str">
        <v>Updating BI-Dashboard</v>
      </c>
      <c r="D2144" s="191" t="str">
        <v>Done</v>
      </c>
      <c r="E2144" s="196"/>
    </row>
    <row r="2145">
      <c r="A2145" s="190"/>
      <c r="B2145" s="179"/>
      <c r="C2145" s="192"/>
      <c r="D2145" s="191"/>
      <c r="E2145" s="196"/>
    </row>
    <row r="2146">
      <c r="A2146" s="190">
        <v>46112</v>
      </c>
      <c r="B2146" s="179" t="str">
        <v>Fariz</v>
      </c>
      <c r="C2146" s="192" t="str">
        <v>[CTR] PPT Materi GeoNode Agantry</v>
      </c>
      <c r="D2146" s="191" t="str">
        <v>Done</v>
      </c>
      <c r="E2146" s="196"/>
    </row>
    <row r="2147">
      <c r="A2147" s="190"/>
      <c r="B2147" s="179"/>
      <c r="C2147" s="192" t="str" xml:space="preserve">
        <v>[DLY] Report Maret </v>
      </c>
      <c r="D2147" s="191" t="str">
        <v>Done</v>
      </c>
      <c r="E2147" s="196"/>
    </row>
    <row r="2148">
      <c r="A2148" s="190"/>
      <c r="B2148" s="179"/>
      <c r="C2148" s="192"/>
      <c r="D2148" s="191"/>
      <c r="E2148" s="196"/>
    </row>
    <row r="2149">
      <c r="A2149" s="190"/>
      <c r="B2149" s="179"/>
      <c r="C2149" s="192"/>
      <c r="D2149" s="191"/>
      <c r="E2149" s="196"/>
    </row>
    <row r="2150">
      <c r="A2150" s="190"/>
      <c r="B2150" s="179"/>
      <c r="C2150" s="192"/>
      <c r="D2150" s="191"/>
      <c r="E2150" s="196"/>
    </row>
    <row r="2151">
      <c r="A2151" s="190"/>
      <c r="B2151" s="191" t="str">
        <v>Dwi</v>
      </c>
      <c r="C2151" s="192" t="str">
        <v>Discuss MAPID Academy Corporate training</v>
      </c>
      <c r="D2151" s="191" t="str">
        <v>Done</v>
      </c>
      <c r="E2151" s="196"/>
    </row>
    <row r="2152">
      <c r="A2152" s="190"/>
      <c r="B2152" s="191"/>
      <c r="C2152" s="192" t="str" xml:space="preserve">
        <v>Perubahan website homepage &amp; personal license </v>
      </c>
      <c r="D2152" s="191" t="str">
        <v>Done</v>
      </c>
      <c r="E2152" s="196"/>
    </row>
    <row r="2153">
      <c r="A2153" s="190"/>
      <c r="B2153" s="191"/>
      <c r="C2153" s="192" t="str">
        <v>Brainstorm MAPID Academy for Growth Engine</v>
      </c>
      <c r="D2153" s="191" t="str">
        <v>In Progress</v>
      </c>
      <c r="E2153" s="196"/>
    </row>
    <row r="2154">
      <c r="A2154" s="190"/>
      <c r="B2154" s="191"/>
      <c r="C2154" s="192" t="str">
        <v>Report March</v>
      </c>
      <c r="D2154" s="191" t="str">
        <v>Done</v>
      </c>
      <c r="E2154" s="196"/>
    </row>
    <row r="2155">
      <c r="A2155" s="190"/>
      <c r="B2155" s="191"/>
      <c r="C2155" s="192"/>
      <c r="D2155" s="191"/>
      <c r="E2155" s="196"/>
    </row>
    <row r="2156">
      <c r="A2156" s="190"/>
      <c r="B2156" s="191"/>
      <c r="C2156" s="192"/>
      <c r="D2156" s="191"/>
      <c r="E2156" s="196"/>
    </row>
    <row r="2157">
      <c r="A2157" s="190"/>
      <c r="B2157" s="179" t="str">
        <v>Wina</v>
      </c>
      <c r="C2157" s="192" t="str">
        <v>Daily content (newsletter, IG)</v>
      </c>
      <c r="D2157" s="191" t="str">
        <v>Done</v>
      </c>
      <c r="E2157" s="196"/>
    </row>
    <row r="2158">
      <c r="A2158" s="190"/>
      <c r="B2158" s="179"/>
      <c r="C2158" s="192" t="str">
        <v>Listing content all channel (W1-W2)</v>
      </c>
      <c r="D2158" s="191" t="str">
        <v>Done</v>
      </c>
      <c r="E2158" s="196"/>
    </row>
    <row r="2159">
      <c r="A2159" s="190"/>
      <c r="B2159" s="179"/>
      <c r="C2159" s="192"/>
      <c r="D2159" s="191"/>
      <c r="E2159" s="196"/>
    </row>
    <row r="2160">
      <c r="A2160" s="190"/>
      <c r="B2160" s="179"/>
      <c r="C2160" s="192"/>
      <c r="D2160" s="191"/>
      <c r="E2160" s="196"/>
    </row>
    <row r="2161">
      <c r="A2161" s="190"/>
      <c r="B2161" s="179"/>
      <c r="C2161" s="192"/>
      <c r="D2161" s="191"/>
      <c r="E2161" s="196"/>
    </row>
    <row r="2162">
      <c r="A2162" s="190"/>
      <c r="B2162" s="191" t="str">
        <v>Annisa</v>
      </c>
      <c r="C2162" s="192" t="str">
        <v>Koperasi Merah Putih - konten</v>
      </c>
      <c r="D2162" s="191" t="str">
        <v>Done</v>
      </c>
      <c r="E2162" s="196"/>
    </row>
    <row r="2163">
      <c r="A2163" s="190"/>
      <c r="B2163" s="191"/>
      <c r="C2163" s="192" t="str">
        <v>Business Expansion report fix</v>
      </c>
      <c r="D2163" s="191" t="str">
        <v>Done</v>
      </c>
      <c r="E2163" s="196"/>
    </row>
    <row r="2164">
      <c r="A2164" s="190"/>
      <c r="B2164" s="191"/>
      <c r="C2164" s="192" t="str">
        <v>revisi video mini use case, editing untuk fitur import data, upload youtube</v>
      </c>
      <c r="D2164" s="191" t="str">
        <v>Done</v>
      </c>
      <c r="E2164" s="196"/>
    </row>
    <row r="2165">
      <c r="A2165" s="190"/>
      <c r="B2165" s="191"/>
      <c r="C2165" s="192" t="str">
        <v>cicil Business Expansion Deck</v>
      </c>
      <c r="D2165" s="191"/>
      <c r="E2165" s="196"/>
    </row>
    <row r="2166">
      <c r="A2166" s="190"/>
      <c r="B2166" s="191"/>
      <c r="C2166" s="192"/>
      <c r="D2166" s="191"/>
      <c r="E2166" s="196"/>
    </row>
    <row r="2167">
      <c r="A2167" s="190"/>
      <c r="B2167" s="194" t="str">
        <v>Lossa</v>
      </c>
      <c r="C2167" s="192" t="str">
        <v>presentasi akhir pilot project pupuk</v>
      </c>
      <c r="D2167" s="191" t="str">
        <v>Done</v>
      </c>
      <c r="E2167" s="195"/>
    </row>
    <row r="2168">
      <c r="A2168" s="190"/>
      <c r="B2168" s="194"/>
      <c r="C2168" s="192" t="str">
        <v>revisi crf prodia</v>
      </c>
      <c r="D2168" s="191" t="str">
        <v>Done</v>
      </c>
      <c r="E2168" s="199"/>
    </row>
    <row r="2169">
      <c r="A2169" s="190"/>
      <c r="B2169" s="194"/>
      <c r="C2169" s="192" t="str">
        <v>discuss komersial btid</v>
      </c>
      <c r="D2169" s="191" t="str">
        <v>Done</v>
      </c>
      <c r="E2169" s="199"/>
    </row>
    <row r="2170">
      <c r="A2170" s="190"/>
      <c r="B2170" s="194"/>
      <c r="C2170" s="192"/>
      <c r="D2170" s="191"/>
      <c r="E2170" s="199"/>
    </row>
    <row r="2171">
      <c r="A2171" s="190"/>
      <c r="B2171" s="194"/>
      <c r="C2171" s="192"/>
      <c r="D2171" s="191"/>
      <c r="E2171" s="196"/>
    </row>
    <row r="2172">
      <c r="A2172" s="190"/>
      <c r="B2172" s="194" t="str">
        <v>Amel</v>
      </c>
      <c r="C2172" s="192" t="str">
        <v>Revisi KAK dan spektek Distaru Semarang</v>
      </c>
      <c r="D2172" s="191" t="str">
        <v>Done</v>
      </c>
      <c r="E2172" s="195"/>
    </row>
    <row r="2173">
      <c r="A2173" s="190"/>
      <c r="B2173" s="194"/>
      <c r="C2173" s="192" t="str">
        <v>Mockup Landing Page Madiun</v>
      </c>
      <c r="D2173" s="191" t="str">
        <v>Done</v>
      </c>
      <c r="E2173" s="196"/>
    </row>
    <row r="2174">
      <c r="A2174" s="190"/>
      <c r="B2174" s="194"/>
      <c r="C2174" s="192" t="str">
        <v>FU dsda (rencana ttd kontrak)</v>
      </c>
      <c r="D2174" s="191" t="str">
        <v>Done</v>
      </c>
      <c r="E2174" s="196"/>
    </row>
    <row r="2175">
      <c r="A2175" s="190"/>
      <c r="B2175" s="194"/>
      <c r="C2175" s="192" t="str">
        <v>Monitoring project dsda</v>
      </c>
      <c r="D2175" s="191" t="str">
        <v>Done</v>
      </c>
      <c r="E2175" s="196"/>
    </row>
    <row r="2176">
      <c r="A2176" s="190"/>
      <c r="B2176" s="194"/>
      <c r="C2176" s="192"/>
      <c r="D2176" s="191"/>
      <c r="E2176" s="196"/>
    </row>
    <row r="2177">
      <c r="A2177" s="190"/>
      <c r="B2177" s="194" t="str">
        <v>Zhafran</v>
      </c>
      <c r="C2177" s="192" t="str">
        <v>Monitoring Project Karlo</v>
      </c>
      <c r="D2177" s="191" t="str">
        <v>Done</v>
      </c>
      <c r="E2177" s="196"/>
    </row>
    <row r="2178">
      <c r="A2178" s="190"/>
      <c r="B2178" s="194"/>
      <c r="C2178" s="192" t="str">
        <v>Meeting Kick off ERELA</v>
      </c>
      <c r="D2178" s="191" t="str">
        <v>Done</v>
      </c>
      <c r="E2178" s="196"/>
    </row>
    <row r="2179">
      <c r="A2179" s="190"/>
      <c r="B2179" s="194"/>
      <c r="C2179" s="192" t="str">
        <v>Perapian template template (Kanban)</v>
      </c>
      <c r="D2179" s="191" t="str">
        <v>Done</v>
      </c>
      <c r="E2179" s="196"/>
    </row>
    <row r="2180">
      <c r="A2180" s="190"/>
      <c r="B2180" s="194"/>
      <c r="C2180" s="192"/>
      <c r="D2180" s="191"/>
      <c r="E2180" s="196"/>
    </row>
    <row r="2181">
      <c r="A2181" s="190"/>
      <c r="B2181" s="194"/>
      <c r="C2181" s="192"/>
      <c r="D2181" s="191"/>
      <c r="E2181" s="196"/>
    </row>
    <row r="2182">
      <c r="A2182" s="190"/>
      <c r="B2182" s="194"/>
      <c r="C2182" s="192"/>
      <c r="D2182" s="191"/>
      <c r="E2182" s="196"/>
    </row>
    <row r="2183">
      <c r="A2183" s="190"/>
      <c r="B2183" s="194"/>
      <c r="C2183" s="192"/>
      <c r="D2183" s="191"/>
      <c r="E2183" s="196"/>
    </row>
    <row r="2184">
      <c r="A2184" s="190"/>
      <c r="B2184" s="179" t="str">
        <v>Hadi</v>
      </c>
      <c r="C2184" s="192" t="str">
        <v>Monitoring Business</v>
      </c>
      <c r="D2184" s="191" t="str">
        <v>Done</v>
      </c>
      <c r="E2184" s="196"/>
    </row>
    <row r="2185">
      <c r="A2185" s="190"/>
      <c r="B2185" s="179"/>
      <c r="C2185" s="192" t="str">
        <v>Meeting Head</v>
      </c>
      <c r="D2185" s="191" t="str">
        <v>Done</v>
      </c>
      <c r="E2185" s="196"/>
    </row>
    <row r="2186">
      <c r="A2186" s="190"/>
      <c r="B2186" s="179"/>
      <c r="C2186" s="192"/>
      <c r="D2186" s="191"/>
      <c r="E2186" s="196"/>
    </row>
    <row r="2187">
      <c r="A2187" s="190"/>
      <c r="B2187" s="179"/>
      <c r="C2187" s="192"/>
      <c r="D2187" s="191"/>
      <c r="E2187" s="196"/>
    </row>
    <row r="2188">
      <c r="A2188" s="190"/>
      <c r="B2188" s="179"/>
      <c r="C2188" s="192"/>
      <c r="D2188" s="191"/>
      <c r="E2188" s="196"/>
    </row>
    <row r="2189">
      <c r="A2189" s="190">
        <v>46113</v>
      </c>
      <c r="B2189" s="179" t="str">
        <v>Fariz</v>
      </c>
      <c r="C2189" s="192" t="str">
        <v>[CTR] Meeting with Mas Faiz Materials</v>
      </c>
      <c r="D2189" s="191" t="str">
        <v>Done</v>
      </c>
      <c r="E2189" s="196"/>
    </row>
    <row r="2190">
      <c r="A2190" s="190"/>
      <c r="B2190" s="179"/>
      <c r="C2190" s="192" t="str">
        <v>[CTR] Rekap Nilai Corporate Training</v>
      </c>
      <c r="D2190" s="191" t="str">
        <v>Done</v>
      </c>
      <c r="E2190" s="196"/>
    </row>
    <row r="2191">
      <c r="A2191" s="190"/>
      <c r="B2191" s="179"/>
      <c r="C2191" s="192" t="str">
        <v>[WGA] Meeting with Dwi</v>
      </c>
      <c r="D2191" s="191" t="str">
        <v>Done</v>
      </c>
      <c r="E2191" s="196"/>
    </row>
    <row r="2192">
      <c r="A2192" s="190"/>
      <c r="B2192" s="179"/>
      <c r="C2192" s="192"/>
      <c r="D2192" s="191"/>
      <c r="E2192" s="196"/>
    </row>
    <row r="2193">
      <c r="A2193" s="190"/>
      <c r="B2193" s="179"/>
      <c r="C2193" s="192"/>
      <c r="D2193" s="191"/>
      <c r="E2193" s="196"/>
    </row>
    <row r="2194">
      <c r="A2194" s="190"/>
      <c r="B2194" s="191" t="str">
        <v>Dwi</v>
      </c>
      <c r="C2194" s="192" t="str">
        <v>Discuss MAPID Academy Q2 dengan Learning Ops</v>
      </c>
      <c r="D2194" s="191" t="str">
        <v>Done</v>
      </c>
      <c r="E2194" s="196"/>
    </row>
    <row r="2195">
      <c r="A2195" s="190"/>
      <c r="B2195" s="191"/>
      <c r="C2195" s="192" t="str">
        <v>Growth Marketing for MAPID Academy:
- Menentukan kembali visi, goals, positioning MAPID Academy</v>
      </c>
      <c r="D2195" s="191" t="str">
        <v>Done</v>
      </c>
      <c r="E2195" s="196"/>
    </row>
    <row r="2196">
      <c r="A2196" s="190"/>
      <c r="B2196" s="191"/>
      <c r="C2196" s="192" t="str">
        <v>Riset Growth Engine - upper funnel (Socmed, community) untuk diskusi besok</v>
      </c>
      <c r="D2196" s="191"/>
      <c r="E2196" s="196"/>
    </row>
    <row r="2197">
      <c r="A2197" s="190"/>
      <c r="B2197" s="191"/>
      <c r="C2197" s="192" t="str">
        <v>Persiapan materi intern</v>
      </c>
      <c r="D2197" s="191" t="str">
        <v>Done</v>
      </c>
      <c r="E2197" s="196"/>
    </row>
    <row r="2198">
      <c r="A2198" s="190"/>
      <c r="B2198" s="191"/>
      <c r="C2198" s="192"/>
      <c r="D2198" s="191"/>
      <c r="E2198" s="196"/>
    </row>
    <row r="2199">
      <c r="A2199" s="190"/>
      <c r="B2199" s="191"/>
      <c r="C2199" s="192"/>
      <c r="D2199" s="191"/>
      <c r="E2199" s="196"/>
    </row>
    <row r="2200">
      <c r="A2200" s="190"/>
      <c r="B2200" s="179" t="str">
        <v>Wina</v>
      </c>
      <c r="C2200" s="192" t="str">
        <v>daily content (newsletter, WA Group)</v>
      </c>
      <c r="D2200" s="191" t="str">
        <v>Done</v>
      </c>
      <c r="E2200" s="196"/>
    </row>
    <row r="2201">
      <c r="A2201" s="190"/>
      <c r="B2201" s="179"/>
      <c r="C2201" s="192" t="str">
        <v>Announcement MAPID Pinang THR</v>
      </c>
      <c r="D2201" s="191" t="str">
        <v>Done</v>
      </c>
      <c r="E2201" s="196"/>
    </row>
    <row r="2202">
      <c r="A2202" s="190"/>
      <c r="B2202" s="179"/>
      <c r="C2202" s="192" t="str" xml:space="preserve">
        <v>Listing content all sosmed </v>
      </c>
      <c r="D2202" s="191" t="str">
        <v>Done</v>
      </c>
      <c r="E2202" s="196"/>
    </row>
    <row r="2203">
      <c r="A2203" s="190"/>
      <c r="B2203" s="179"/>
      <c r="C2203" s="192"/>
      <c r="D2203" s="191"/>
      <c r="E2203" s="196"/>
    </row>
    <row r="2204">
      <c r="A2204" s="190"/>
      <c r="B2204" s="179"/>
      <c r="C2204" s="192"/>
      <c r="D2204" s="191"/>
      <c r="E2204" s="196"/>
    </row>
    <row r="2205">
      <c r="A2205" s="190"/>
      <c r="B2205" s="191" t="str">
        <v>Annisa</v>
      </c>
      <c r="C2205" s="192" t="str">
        <v>Business Expansion Deck</v>
      </c>
      <c r="D2205" s="191" t="str">
        <v>Done</v>
      </c>
      <c r="E2205" s="196"/>
    </row>
    <row r="2206">
      <c r="A2206" s="190"/>
      <c r="B2206" s="191"/>
      <c r="C2206" s="192" t="str">
        <v>Wafat Kristus</v>
      </c>
      <c r="D2206" s="191" t="str">
        <v>Done</v>
      </c>
      <c r="E2206" s="196"/>
    </row>
    <row r="2207">
      <c r="A2207" s="190"/>
      <c r="B2207" s="191"/>
      <c r="C2207" s="192" t="str">
        <v>Paskah</v>
      </c>
      <c r="D2207" s="191" t="str">
        <v>Done</v>
      </c>
      <c r="E2207" s="196"/>
    </row>
    <row r="2208">
      <c r="A2208" s="190"/>
      <c r="B2208" s="191"/>
      <c r="C2208" s="192"/>
      <c r="D2208" s="191"/>
      <c r="E2208" s="196"/>
    </row>
    <row r="2209">
      <c r="A2209" s="190"/>
      <c r="B2209" s="191"/>
      <c r="C2209" s="192"/>
      <c r="D2209" s="191"/>
      <c r="E2209" s="196"/>
    </row>
    <row r="2210">
      <c r="A2210" s="190"/>
      <c r="B2210" s="194" t="str">
        <v>Lossa</v>
      </c>
      <c r="C2210" s="192" t="str">
        <v>dokumen issue dashboard nabati</v>
      </c>
      <c r="D2210" s="191" t="str">
        <v>Done</v>
      </c>
      <c r="E2210" s="196" t="s">
        <v>345</v>
      </c>
    </row>
    <row r="2211">
      <c r="A2211" s="190"/>
      <c r="B2211" s="194"/>
      <c r="C2211" s="192" t="str">
        <v>meeting prodia</v>
      </c>
      <c r="D2211" s="191" t="str">
        <v>Done</v>
      </c>
      <c r="E2211" s="196"/>
    </row>
    <row customHeight="true" ht="19" r="2212">
      <c r="A2212" s="190"/>
      <c r="B2212" s="194"/>
      <c r="C2212" s="192" t="str">
        <v>meeting nabati</v>
      </c>
      <c r="D2212" s="191" t="str">
        <v>Done</v>
      </c>
      <c r="E2212" s="196"/>
    </row>
    <row r="2213">
      <c r="A2213" s="190"/>
      <c r="B2213" s="194"/>
      <c r="C2213" s="192" t="str">
        <v>revisi laporan akhir pupuk</v>
      </c>
      <c r="D2213" s="191" t="str">
        <v>Done</v>
      </c>
      <c r="E2213" s="196"/>
    </row>
    <row r="2214">
      <c r="A2214" s="190"/>
      <c r="B2214" s="194"/>
      <c r="C2214" s="192"/>
      <c r="D2214" s="191"/>
      <c r="E2214" s="196"/>
    </row>
    <row r="2215">
      <c r="A2215" s="190"/>
      <c r="B2215" s="194"/>
      <c r="C2215" s="192"/>
      <c r="D2215" s="191"/>
      <c r="E2215" s="196"/>
    </row>
    <row r="2216">
      <c r="A2216" s="190"/>
      <c r="B2216" s="194" t="str">
        <v>Amel</v>
      </c>
      <c r="C2216" s="192" t="str">
        <v>Finalisasi spektek distaru semarang</v>
      </c>
      <c r="D2216" s="191" t="str">
        <v>Done</v>
      </c>
      <c r="E2216" s="196" t="s">
        <v>344</v>
      </c>
    </row>
    <row r="2217">
      <c r="A2217" s="190"/>
      <c r="B2217" s="194"/>
      <c r="C2217" s="192" t="str">
        <v>Meeting Distaru Semarang</v>
      </c>
      <c r="D2217" s="191" t="str">
        <v>Done</v>
      </c>
      <c r="E2217" s="196" t="str">
        <v>reschedule</v>
      </c>
    </row>
    <row r="2218">
      <c r="A2218" s="190"/>
      <c r="B2218" s="194"/>
      <c r="C2218" s="192" t="str">
        <v>Weekly progress DSDA</v>
      </c>
      <c r="D2218" s="191" t="str">
        <v>Done</v>
      </c>
      <c r="E2218" s="196"/>
    </row>
    <row r="2219">
      <c r="A2219" s="190"/>
      <c r="B2219" s="194"/>
      <c r="C2219" s="192" t="str">
        <v>Monitoring project</v>
      </c>
      <c r="D2219" s="191" t="str">
        <v>Done</v>
      </c>
      <c r="E2219" s="196"/>
    </row>
    <row r="2220">
      <c r="A2220" s="190"/>
      <c r="B2220" s="194"/>
      <c r="C2220" s="192"/>
      <c r="D2220" s="191"/>
      <c r="E2220" s="196"/>
    </row>
    <row r="2221">
      <c r="A2221" s="190"/>
      <c r="B2221" s="194" t="str">
        <v>Zhafran</v>
      </c>
      <c r="C2221" s="192" t="str">
        <v>Monitoring Project Karlo</v>
      </c>
      <c r="D2221" s="191" t="str">
        <v>Done</v>
      </c>
      <c r="E2221" s="196"/>
    </row>
    <row r="2222">
      <c r="A2222" s="190"/>
      <c r="B2222" s="194"/>
      <c r="C2222" s="192" t="str">
        <v>Stanby project ERELA (Diminta bantu pembuatan site selection)</v>
      </c>
      <c r="D2222" s="191" t="str">
        <v>Done</v>
      </c>
      <c r="E2222" s="196"/>
    </row>
    <row r="2223">
      <c r="A2223" s="190"/>
      <c r="B2223" s="194"/>
      <c r="C2223" s="192" t="str">
        <v>Update Q1 Review</v>
      </c>
      <c r="D2223" s="191" t="str">
        <v>Done</v>
      </c>
      <c r="E2223" s="196"/>
    </row>
    <row r="2224">
      <c r="A2224" s="190"/>
      <c r="B2224" s="194"/>
      <c r="C2224" s="192" t="str">
        <v>Pembuatan SOW dan SLA Karlo API Service</v>
      </c>
      <c r="D2224" s="191" t="str">
        <v>Done</v>
      </c>
      <c r="E2224" s="196"/>
    </row>
    <row r="2225">
      <c r="A2225" s="190"/>
      <c r="B2225" s="194"/>
      <c r="C2225" s="192"/>
      <c r="D2225" s="191"/>
      <c r="E2225" s="196"/>
    </row>
    <row r="2226">
      <c r="A2226" s="190"/>
      <c r="B2226" s="194"/>
      <c r="C2226" s="192"/>
      <c r="D2226" s="191"/>
      <c r="E2226" s="196"/>
    </row>
    <row r="2227">
      <c r="A2227" s="190"/>
      <c r="B2227" s="194"/>
      <c r="C2227" s="192"/>
      <c r="D2227" s="191"/>
      <c r="E2227" s="196"/>
    </row>
    <row r="2228">
      <c r="A2228" s="190"/>
      <c r="B2228" s="179" t="str">
        <v>Hadi</v>
      </c>
      <c r="C2228" s="192"/>
      <c r="D2228" s="191"/>
      <c r="E2228" s="196"/>
    </row>
    <row r="2229">
      <c r="A2229" s="190"/>
      <c r="B2229" s="179"/>
      <c r="C2229" s="192"/>
      <c r="D2229" s="191"/>
      <c r="E2229" s="196"/>
    </row>
    <row r="2230">
      <c r="A2230" s="190"/>
      <c r="B2230" s="179"/>
      <c r="C2230" s="192"/>
      <c r="D2230" s="191"/>
      <c r="E2230" s="196"/>
    </row>
    <row r="2231">
      <c r="A2231" s="190"/>
      <c r="B2231" s="179"/>
      <c r="C2231" s="192"/>
      <c r="D2231" s="191"/>
      <c r="E2231" s="196"/>
    </row>
    <row r="2232">
      <c r="A2232" s="190"/>
      <c r="B2232" s="179"/>
      <c r="C2232" s="192"/>
      <c r="D2232" s="191"/>
      <c r="E2232" s="196"/>
    </row>
    <row r="2233">
      <c r="A2233" s="190">
        <v>46114</v>
      </c>
      <c r="B2233" s="179" t="str">
        <v>Fariz</v>
      </c>
      <c r="C2233" s="192" t="str">
        <v>[CTR] Meeting with Agantry</v>
      </c>
      <c r="D2233" s="191" t="str">
        <v>Done</v>
      </c>
      <c r="E2233" s="196"/>
    </row>
    <row r="2234">
      <c r="A2234" s="190"/>
      <c r="B2234" s="179"/>
      <c r="C2234" s="192" t="str">
        <v>[WGA] Plan for Q2 dari Evaluasi Dwi</v>
      </c>
      <c r="D2234" s="191" t="str">
        <v>Done</v>
      </c>
      <c r="E2234" s="196"/>
    </row>
    <row r="2235">
      <c r="A2235" s="190"/>
      <c r="B2235" s="179"/>
      <c r="C2235" s="192" t="str">
        <v>[LMS] Meeting with Triana</v>
      </c>
      <c r="D2235" s="191" t="str">
        <v>Done</v>
      </c>
      <c r="E2235" s="196"/>
    </row>
    <row r="2236">
      <c r="A2236" s="190"/>
      <c r="B2236" s="179"/>
      <c r="C2236" s="192"/>
      <c r="D2236" s="191"/>
      <c r="E2236" s="196"/>
    </row>
    <row r="2237">
      <c r="A2237" s="190"/>
      <c r="B2237" s="179"/>
      <c r="C2237" s="192"/>
      <c r="D2237" s="191"/>
      <c r="E2237" s="196"/>
    </row>
    <row r="2238">
      <c r="A2238" s="190"/>
      <c r="B2238" s="191" t="str">
        <v>Dwi</v>
      </c>
      <c r="C2238" s="192" t="str">
        <v>Discuss with HR &amp; Legal regarding B2C Products</v>
      </c>
      <c r="D2238" s="191" t="str">
        <v>Done</v>
      </c>
      <c r="E2238" s="196"/>
    </row>
    <row r="2239">
      <c r="A2239" s="190"/>
      <c r="B2239" s="191"/>
      <c r="C2239" s="192" t="str">
        <v>Pemberian Materi Intern</v>
      </c>
      <c r="D2239" s="191" t="str">
        <v>Done</v>
      </c>
      <c r="E2239" s="196"/>
    </row>
    <row r="2240">
      <c r="A2240" s="190"/>
      <c r="B2240" s="191"/>
      <c r="C2240" s="192" t="str">
        <v>Discuss Activation Specialist</v>
      </c>
      <c r="D2240" s="191" t="str">
        <v>Done</v>
      </c>
      <c r="E2240" s="196"/>
    </row>
    <row r="2241">
      <c r="A2241" s="190"/>
      <c r="B2241" s="191"/>
      <c r="C2241" s="192" t="str">
        <v>Meeting Website</v>
      </c>
      <c r="D2241" s="191"/>
      <c r="E2241" s="196"/>
    </row>
    <row r="2242">
      <c r="A2242" s="190"/>
      <c r="B2242" s="191"/>
      <c r="C2242" s="192"/>
      <c r="D2242" s="191"/>
      <c r="E2242" s="196"/>
    </row>
    <row r="2243">
      <c r="A2243" s="190"/>
      <c r="B2243" s="191"/>
      <c r="C2243" s="192"/>
      <c r="D2243" s="191"/>
      <c r="E2243" s="196"/>
    </row>
    <row r="2244">
      <c r="A2244" s="190"/>
      <c r="B2244" s="179" t="str">
        <v>Wina</v>
      </c>
      <c r="C2244" s="192" t="str">
        <v>daily content (newsletter)</v>
      </c>
      <c r="D2244" s="191" t="str">
        <v>Done</v>
      </c>
      <c r="E2244" s="196"/>
    </row>
    <row r="2245">
      <c r="A2245" s="190"/>
      <c r="B2245" s="179"/>
      <c r="C2245" s="192" t="str">
        <v>strategi activation specialist Q2</v>
      </c>
      <c r="D2245" s="191" t="str">
        <v>Done</v>
      </c>
      <c r="E2245" s="196"/>
    </row>
    <row r="2246">
      <c r="A2246" s="190"/>
      <c r="B2246" s="179"/>
      <c r="C2246" s="192" t="str">
        <v>meeting sama dwi, feedback strategi Q2</v>
      </c>
      <c r="D2246" s="191" t="str">
        <v>Done</v>
      </c>
      <c r="E2246" s="196"/>
    </row>
    <row r="2247">
      <c r="A2247" s="190"/>
      <c r="B2247" s="179"/>
      <c r="C2247" s="192"/>
      <c r="D2247" s="191"/>
      <c r="E2247" s="196"/>
    </row>
    <row r="2248">
      <c r="A2248" s="190"/>
      <c r="B2248" s="179"/>
      <c r="C2248" s="192"/>
      <c r="D2248" s="191"/>
      <c r="E2248" s="196"/>
    </row>
    <row r="2249">
      <c r="A2249" s="190"/>
      <c r="B2249" s="191" t="str">
        <v>Annisa</v>
      </c>
      <c r="C2249" s="192" t="str">
        <v>Bikin design job vacancy full stack project based</v>
      </c>
      <c r="D2249" s="191" t="str">
        <v>Done</v>
      </c>
      <c r="E2249" s="196"/>
    </row>
    <row r="2250">
      <c r="A2250" s="190"/>
      <c r="B2250" s="191"/>
      <c r="C2250" s="192" t="str" xml:space="preserve">
        <v>deck business expansion </v>
      </c>
      <c r="D2250" s="191" t="str">
        <v>Done</v>
      </c>
      <c r="E2250" s="196"/>
    </row>
    <row r="2251">
      <c r="A2251" s="190"/>
      <c r="B2251" s="191"/>
      <c r="C2251" s="192"/>
      <c r="D2251" s="191"/>
      <c r="E2251" s="196"/>
    </row>
    <row r="2252">
      <c r="A2252" s="190"/>
      <c r="B2252" s="191"/>
      <c r="C2252" s="192"/>
      <c r="D2252" s="191"/>
      <c r="E2252" s="196"/>
    </row>
    <row r="2253">
      <c r="A2253" s="190"/>
      <c r="B2253" s="191"/>
      <c r="C2253" s="192"/>
      <c r="D2253" s="191"/>
      <c r="E2253" s="196"/>
    </row>
    <row r="2254">
      <c r="A2254" s="190"/>
      <c r="B2254" s="194" t="str">
        <v>Lossa</v>
      </c>
      <c r="C2254" s="192" t="str">
        <v>cuti</v>
      </c>
      <c r="D2254" s="191" t="str">
        <v>Done</v>
      </c>
      <c r="E2254" s="196"/>
    </row>
    <row r="2255">
      <c r="A2255" s="190"/>
      <c r="B2255" s="194"/>
      <c r="C2255" s="192"/>
      <c r="D2255" s="191"/>
      <c r="E2255" s="196"/>
    </row>
    <row r="2256">
      <c r="A2256" s="190"/>
      <c r="B2256" s="194"/>
      <c r="C2256" s="192"/>
      <c r="D2256" s="191"/>
      <c r="E2256" s="196"/>
    </row>
    <row r="2257">
      <c r="A2257" s="190"/>
      <c r="B2257" s="194"/>
      <c r="C2257" s="192"/>
      <c r="D2257" s="191"/>
      <c r="E2257" s="196"/>
    </row>
    <row r="2258">
      <c r="A2258" s="190"/>
      <c r="B2258" s="194"/>
      <c r="C2258" s="192"/>
      <c r="D2258" s="191"/>
      <c r="E2258" s="196"/>
    </row>
    <row r="2259">
      <c r="A2259" s="190"/>
      <c r="B2259" s="194"/>
      <c r="C2259" s="192"/>
      <c r="D2259" s="191"/>
      <c r="E2259" s="196"/>
    </row>
    <row r="2260">
      <c r="A2260" s="190"/>
      <c r="B2260" s="194" t="str">
        <v>Amel</v>
      </c>
      <c r="C2260" s="192" t="str">
        <v>Meeting distaru semarang</v>
      </c>
      <c r="D2260" s="191" t="str">
        <v>Done</v>
      </c>
      <c r="E2260" s="196" t="str">
        <v>to do : bikin sheet excel untuk pengumpulan data</v>
      </c>
    </row>
    <row customHeight="true" ht="19" r="2261">
      <c r="A2261" s="190"/>
      <c r="B2261" s="194"/>
      <c r="C2261" s="192" t="str">
        <v>HR x business sync</v>
      </c>
      <c r="D2261" s="191" t="str">
        <v>Done</v>
      </c>
      <c r="E2261" s="196"/>
    </row>
    <row r="2262">
      <c r="A2262" s="190"/>
      <c r="B2262" s="194"/>
      <c r="C2262" s="192" t="str">
        <v>Meeting Bapperida Madiun</v>
      </c>
      <c r="D2262" s="191" t="str">
        <v>Done</v>
      </c>
      <c r="E2262" s="195" t="str">
        <v>13:30</v>
      </c>
    </row>
    <row r="2263">
      <c r="A2263" s="190"/>
      <c r="B2263" s="194"/>
      <c r="C2263" s="192" t="str">
        <v>Meeting progress dgn tim GIS DSDA</v>
      </c>
      <c r="D2263" s="191" t="str">
        <v>Done</v>
      </c>
      <c r="E2263" s="195" t="str">
        <v>3:00:00 PM (cancel)</v>
      </c>
    </row>
    <row r="2264">
      <c r="A2264" s="190"/>
      <c r="B2264" s="194"/>
      <c r="C2264" s="192" t="str">
        <v>Meeting koordinasi progress dgn freelance</v>
      </c>
      <c r="D2264" s="191" t="str">
        <v>Done</v>
      </c>
      <c r="E2264" s="196" t="str">
        <v>14:00 (tentative sblm jam 3)</v>
      </c>
    </row>
    <row r="2265">
      <c r="A2265" s="190"/>
      <c r="B2265" s="194"/>
      <c r="C2265" s="192" t="str">
        <v>Meeting w/ HR (nyari freelance)</v>
      </c>
      <c r="D2265" s="191" t="str">
        <v>Done</v>
      </c>
      <c r="E2265" s="196"/>
    </row>
    <row r="2266">
      <c r="A2266" s="190"/>
      <c r="B2266" s="194" t="str">
        <v>Zhafran</v>
      </c>
      <c r="C2266" s="192" t="str">
        <v>Monitoring Project Karlo Data</v>
      </c>
      <c r="D2266" s="191" t="str">
        <v>Done</v>
      </c>
      <c r="E2266" s="196"/>
    </row>
    <row r="2267">
      <c r="A2267" s="190"/>
      <c r="B2267" s="194"/>
      <c r="C2267" s="192" t="str">
        <v>Meeting Internal Project Karlo API Service</v>
      </c>
      <c r="D2267" s="191" t="str">
        <v>Done</v>
      </c>
      <c r="E2267" s="196"/>
    </row>
    <row r="2268">
      <c r="A2268" s="190"/>
      <c r="B2268" s="194"/>
      <c r="C2268" s="192" t="str">
        <v>Meeting dengan HR</v>
      </c>
      <c r="D2268" s="191" t="str">
        <v>Done</v>
      </c>
      <c r="E2268" s="196"/>
    </row>
    <row r="2269">
      <c r="A2269" s="190"/>
      <c r="B2269" s="194"/>
      <c r="C2269" s="192"/>
      <c r="D2269" s="191"/>
      <c r="E2269" s="196"/>
    </row>
    <row r="2270">
      <c r="A2270" s="190"/>
      <c r="B2270" s="194"/>
      <c r="C2270" s="192"/>
      <c r="D2270" s="191"/>
      <c r="E2270" s="196"/>
    </row>
    <row r="2271">
      <c r="A2271" s="190"/>
      <c r="B2271" s="194"/>
      <c r="C2271" s="192"/>
      <c r="D2271" s="191"/>
      <c r="E2271" s="196"/>
    </row>
    <row r="2272">
      <c r="A2272" s="190"/>
      <c r="B2272" s="194"/>
      <c r="C2272" s="192"/>
      <c r="D2272" s="191"/>
      <c r="E2272" s="196"/>
    </row>
    <row r="2273">
      <c r="A2273" s="190"/>
      <c r="B2273" s="179" t="str">
        <v>Hadi</v>
      </c>
      <c r="C2273" s="192" t="str">
        <v>Monitoring Business</v>
      </c>
      <c r="D2273" s="191" t="str">
        <v>Done</v>
      </c>
      <c r="E2273" s="196"/>
    </row>
    <row r="2274">
      <c r="A2274" s="190"/>
      <c r="B2274" s="179"/>
      <c r="C2274" s="192" t="str">
        <v>HR x Business Sync</v>
      </c>
      <c r="D2274" s="191" t="str">
        <v>Done</v>
      </c>
      <c r="E2274" s="196"/>
    </row>
    <row r="2275">
      <c r="A2275" s="190"/>
      <c r="B2275" s="179"/>
      <c r="C2275" s="192" t="str">
        <v>Meeting Karlo Sync</v>
      </c>
      <c r="D2275" s="191" t="str">
        <v>Done</v>
      </c>
      <c r="E2275" s="196"/>
    </row>
    <row r="2276">
      <c r="A2276" s="190"/>
      <c r="B2276" s="179"/>
      <c r="C2276" s="192" t="str">
        <v>Webinar Aksara</v>
      </c>
      <c r="D2276" s="191" t="str">
        <v>Done</v>
      </c>
      <c r="E2276" s="196"/>
    </row>
    <row r="2277">
      <c r="A2277" s="190"/>
      <c r="B2277" s="179"/>
      <c r="C2277" s="192"/>
      <c r="D2277" s="191"/>
      <c r="E2277" s="196"/>
    </row>
    <row r="2278">
      <c r="A2278" s="190">
        <v>46118</v>
      </c>
      <c r="B2278" s="179" t="str">
        <v>Fariz</v>
      </c>
      <c r="C2278" s="192" t="str">
        <v>[DLY] Nyicil for Q2</v>
      </c>
      <c r="D2278" s="191" t="str">
        <v>Done</v>
      </c>
      <c r="E2278" s="196"/>
    </row>
    <row r="2279">
      <c r="A2279" s="190"/>
      <c r="B2279" s="179"/>
      <c r="C2279" s="192" t="str">
        <v>[LOC] Persiapan untuk Closing Q2</v>
      </c>
      <c r="D2279" s="191" t="str">
        <v>Done</v>
      </c>
      <c r="E2279" s="196"/>
    </row>
    <row r="2280">
      <c r="A2280" s="190"/>
      <c r="B2280" s="179"/>
      <c r="C2280" s="192"/>
      <c r="D2280" s="191"/>
      <c r="E2280" s="196"/>
    </row>
    <row r="2281">
      <c r="A2281" s="190"/>
      <c r="B2281" s="179"/>
      <c r="C2281" s="192"/>
      <c r="D2281" s="191"/>
      <c r="E2281" s="196"/>
    </row>
    <row r="2282">
      <c r="A2282" s="190"/>
      <c r="B2282" s="179"/>
      <c r="C2282" s="192"/>
      <c r="D2282" s="191"/>
      <c r="E2282" s="196"/>
    </row>
    <row r="2283">
      <c r="A2283" s="190"/>
      <c r="B2283" s="191" t="str">
        <v>Dwi</v>
      </c>
      <c r="C2283" s="192" t="str">
        <v>Brainstorm KPI</v>
      </c>
      <c r="D2283" s="191" t="str">
        <v>Done</v>
      </c>
      <c r="E2283" s="196"/>
    </row>
    <row r="2284">
      <c r="A2284" s="190"/>
      <c r="B2284" s="191"/>
      <c r="C2284" s="192" t="str">
        <v>Monitoring &amp; Website Progress</v>
      </c>
      <c r="D2284" s="191" t="str">
        <v>Done</v>
      </c>
      <c r="E2284" s="196"/>
    </row>
    <row r="2285">
      <c r="A2285" s="190"/>
      <c r="B2285" s="191"/>
      <c r="C2285" s="192" t="str" xml:space="preserve">
        <v>B2C Internal </v>
      </c>
      <c r="D2285" s="191" t="str">
        <v>Done</v>
      </c>
      <c r="E2285" s="196"/>
    </row>
    <row r="2286">
      <c r="A2286" s="190"/>
      <c r="B2286" s="191"/>
      <c r="C2286" s="192"/>
      <c r="D2286" s="191"/>
      <c r="E2286" s="196"/>
    </row>
    <row r="2287">
      <c r="A2287" s="190"/>
      <c r="B2287" s="191"/>
      <c r="C2287" s="192"/>
      <c r="D2287" s="191"/>
      <c r="E2287" s="196"/>
    </row>
    <row r="2288">
      <c r="A2288" s="190"/>
      <c r="B2288" s="191"/>
      <c r="C2288" s="192"/>
      <c r="D2288" s="191"/>
      <c r="E2288" s="196"/>
    </row>
    <row r="2289">
      <c r="A2289" s="190"/>
      <c r="B2289" s="179" t="str">
        <v>Wina</v>
      </c>
      <c r="C2289" s="192" t="str">
        <v>daily content (IG)</v>
      </c>
      <c r="D2289" s="191" t="str">
        <v>Done</v>
      </c>
      <c r="E2289" s="196"/>
    </row>
    <row r="2290">
      <c r="A2290" s="190"/>
      <c r="B2290" s="179"/>
      <c r="C2290" s="192" t="str">
        <v>konfirmasi kehadiran MoU BINUS + materi + marketing (IGs Live Report + Recap)</v>
      </c>
      <c r="D2290" s="191" t="str">
        <v>Done</v>
      </c>
      <c r="E2290" s="196"/>
    </row>
    <row r="2291">
      <c r="A2291" s="190"/>
      <c r="B2291" s="179"/>
      <c r="C2291" s="192" t="str">
        <v>Brief MAPID Color Hunts</v>
      </c>
      <c r="D2291" s="191" t="str">
        <v>Done</v>
      </c>
      <c r="E2291" s="196"/>
    </row>
    <row r="2292">
      <c r="A2292" s="190"/>
      <c r="B2292" s="179"/>
      <c r="C2292" s="192" t="str">
        <v>listing content w3</v>
      </c>
      <c r="D2292" s="191" t="str">
        <v>Done</v>
      </c>
      <c r="E2292" s="196"/>
    </row>
    <row r="2293">
      <c r="A2293" s="190"/>
      <c r="B2293" s="179"/>
      <c r="C2293" s="192" t="str">
        <v>meeting apps, bisnis</v>
      </c>
      <c r="D2293" s="191" t="str">
        <v>Done</v>
      </c>
      <c r="E2293" s="196"/>
    </row>
    <row r="2294">
      <c r="A2294" s="190"/>
      <c r="B2294" s="191" t="str">
        <v>Annisa</v>
      </c>
      <c r="C2294" s="192" t="str">
        <v>Posting Foto bisa bocorin lokasi kamu</v>
      </c>
      <c r="D2294" s="191" t="str">
        <v>Done</v>
      </c>
      <c r="E2294" s="196"/>
    </row>
    <row r="2295">
      <c r="A2295" s="190"/>
      <c r="B2295" s="191"/>
      <c r="C2295" s="192" t="str">
        <v>editing video asset "collaboration"</v>
      </c>
      <c r="D2295" s="191" t="str">
        <v>Done</v>
      </c>
      <c r="E2295" s="196"/>
    </row>
    <row r="2296">
      <c r="A2296" s="190"/>
      <c r="B2296" s="191"/>
      <c r="C2296" s="192" t="str" xml:space="preserve">
        <v>GEOMAGIC </v>
      </c>
      <c r="D2296" s="191" t="str">
        <v>Done</v>
      </c>
      <c r="E2296" s="196"/>
    </row>
    <row r="2297">
      <c r="A2297" s="190"/>
      <c r="B2297" s="191"/>
      <c r="C2297" s="192"/>
      <c r="D2297" s="191"/>
      <c r="E2297" s="196"/>
    </row>
    <row r="2298">
      <c r="A2298" s="190"/>
      <c r="B2298" s="191"/>
      <c r="C2298" s="192"/>
      <c r="D2298" s="191"/>
      <c r="E2298" s="196"/>
    </row>
    <row r="2299">
      <c r="A2299" s="190"/>
      <c r="B2299" s="194" t="str">
        <v>Lossa</v>
      </c>
      <c r="C2299" s="192" t="str">
        <v>cuti</v>
      </c>
      <c r="D2299" s="191" t="str">
        <v>Done</v>
      </c>
      <c r="E2299" s="196"/>
    </row>
    <row r="2300">
      <c r="A2300" s="190"/>
      <c r="B2300" s="194"/>
      <c r="C2300" s="192"/>
      <c r="D2300" s="191"/>
      <c r="E2300" s="196"/>
    </row>
    <row r="2301">
      <c r="A2301" s="190"/>
      <c r="B2301" s="194"/>
      <c r="C2301" s="192"/>
      <c r="D2301" s="191"/>
      <c r="E2301" s="196"/>
    </row>
    <row r="2302">
      <c r="A2302" s="190"/>
      <c r="B2302" s="194"/>
      <c r="C2302" s="192"/>
      <c r="D2302" s="191"/>
      <c r="E2302" s="196"/>
    </row>
    <row r="2303">
      <c r="A2303" s="190"/>
      <c r="B2303" s="194"/>
      <c r="C2303" s="192"/>
      <c r="D2303" s="191"/>
      <c r="E2303" s="196"/>
    </row>
    <row r="2304">
      <c r="A2304" s="190"/>
      <c r="B2304" s="194"/>
      <c r="C2304" s="192"/>
      <c r="D2304" s="191"/>
      <c r="E2304" s="196"/>
    </row>
    <row r="2305">
      <c r="A2305" s="190"/>
      <c r="B2305" s="194" t="str">
        <v>Amel</v>
      </c>
      <c r="C2305" s="192" t="str">
        <v>Meeting progress dsda</v>
      </c>
      <c r="D2305" s="191" t="str">
        <v>Done</v>
      </c>
      <c r="E2305" s="196" t="str">
        <v>10.00 - 14.00</v>
      </c>
    </row>
    <row r="2306">
      <c r="A2306" s="190"/>
      <c r="B2306" s="194"/>
      <c r="C2306" s="192"/>
      <c r="D2306" s="191"/>
      <c r="E2306" s="196"/>
    </row>
    <row r="2307">
      <c r="A2307" s="190"/>
      <c r="B2307" s="194"/>
      <c r="C2307" s="192"/>
      <c r="D2307" s="191"/>
      <c r="E2307" s="195"/>
    </row>
    <row r="2308">
      <c r="A2308" s="190"/>
      <c r="B2308" s="194"/>
      <c r="C2308" s="192"/>
      <c r="D2308" s="191"/>
      <c r="E2308" s="195"/>
    </row>
    <row r="2309">
      <c r="A2309" s="190"/>
      <c r="B2309" s="194"/>
      <c r="C2309" s="192"/>
      <c r="D2309" s="191"/>
      <c r="E2309" s="196"/>
    </row>
    <row r="2310">
      <c r="A2310" s="190"/>
      <c r="B2310" s="194"/>
      <c r="C2310" s="192"/>
      <c r="D2310" s="191"/>
      <c r="E2310" s="196"/>
    </row>
    <row r="2311">
      <c r="A2311" s="190"/>
      <c r="B2311" s="194" t="str">
        <v>Zhafran</v>
      </c>
      <c r="C2311" s="192" t="str">
        <v>Monitoring project Karlo Data</v>
      </c>
      <c r="D2311" s="191" t="str">
        <v>Done</v>
      </c>
      <c r="E2311" s="196"/>
    </row>
    <row r="2312">
      <c r="A2312" s="190"/>
      <c r="B2312" s="194"/>
      <c r="C2312" s="192" t="str">
        <v>Meeting Nabati</v>
      </c>
      <c r="D2312" s="191" t="str">
        <v>Done</v>
      </c>
      <c r="E2312" s="196"/>
    </row>
    <row r="2313">
      <c r="A2313" s="190"/>
      <c r="B2313" s="194"/>
      <c r="C2313" s="192"/>
      <c r="D2313" s="191"/>
      <c r="E2313" s="196"/>
    </row>
    <row r="2314">
      <c r="A2314" s="190"/>
      <c r="B2314" s="194"/>
      <c r="C2314" s="192"/>
      <c r="D2314" s="191"/>
      <c r="E2314" s="196"/>
    </row>
    <row r="2315">
      <c r="A2315" s="190"/>
      <c r="B2315" s="194"/>
      <c r="C2315" s="192"/>
      <c r="D2315" s="191"/>
      <c r="E2315" s="196"/>
    </row>
    <row r="2316">
      <c r="A2316" s="190"/>
      <c r="B2316" s="194"/>
      <c r="C2316" s="192"/>
      <c r="D2316" s="191"/>
      <c r="E2316" s="196"/>
    </row>
    <row r="2317">
      <c r="A2317" s="190"/>
      <c r="B2317" s="194"/>
      <c r="C2317" s="192"/>
      <c r="D2317" s="191"/>
      <c r="E2317" s="196"/>
    </row>
    <row r="2318">
      <c r="A2318" s="190"/>
      <c r="B2318" s="179" t="str">
        <v>Hadi</v>
      </c>
      <c r="C2318" s="192" t="str">
        <v>Monitoring Business (Performance + Q2 Strategy)</v>
      </c>
      <c r="D2318" s="191" t="str">
        <v>Done</v>
      </c>
      <c r="E2318" s="196"/>
    </row>
    <row r="2319">
      <c r="A2319" s="190"/>
      <c r="B2319" s="179"/>
      <c r="C2319" s="192" t="str">
        <v>Syuting Connected Talks</v>
      </c>
      <c r="D2319" s="191" t="str">
        <v>Done</v>
      </c>
      <c r="E2319" s="196"/>
    </row>
    <row r="2320">
      <c r="A2320" s="190"/>
      <c r="B2320" s="179"/>
      <c r="C2320" s="192" t="str">
        <v>Meeting Internal Nabati</v>
      </c>
      <c r="D2320" s="191" t="str">
        <v>Done</v>
      </c>
      <c r="E2320" s="196"/>
    </row>
    <row r="2321">
      <c r="A2321" s="190"/>
      <c r="B2321" s="179"/>
      <c r="C2321" s="192"/>
      <c r="D2321" s="191"/>
      <c r="E2321" s="196"/>
    </row>
    <row r="2322">
      <c r="A2322" s="190"/>
      <c r="B2322" s="179"/>
      <c r="C2322" s="192"/>
      <c r="D2322" s="191"/>
      <c r="E2322" s="196"/>
    </row>
    <row r="2323">
      <c r="A2323" s="190">
        <v>46119</v>
      </c>
      <c r="B2323" s="179" t="str">
        <v>Fariz</v>
      </c>
      <c r="C2323" s="192" t="str">
        <v>[DLY] Lanjut buat Strategi dan Playbook untuk Q2</v>
      </c>
      <c r="D2323" s="191" t="str">
        <v>Done</v>
      </c>
      <c r="E2323" s="196"/>
    </row>
    <row r="2324">
      <c r="A2324" s="190"/>
      <c r="B2324" s="179"/>
      <c r="C2324" s="192" t="str">
        <v>[INT] Intern Transfer Knowledge</v>
      </c>
      <c r="D2324" s="191" t="str">
        <v>Done</v>
      </c>
      <c r="E2324" s="196"/>
    </row>
    <row r="2325">
      <c r="A2325" s="190"/>
      <c r="B2325" s="179"/>
      <c r="C2325" s="192"/>
      <c r="D2325" s="191"/>
      <c r="E2325" s="196"/>
    </row>
    <row r="2326">
      <c r="A2326" s="190"/>
      <c r="B2326" s="179"/>
      <c r="C2326" s="192"/>
      <c r="D2326" s="191"/>
      <c r="E2326" s="196"/>
    </row>
    <row r="2327">
      <c r="A2327" s="190"/>
      <c r="B2327" s="179"/>
      <c r="C2327" s="192"/>
      <c r="D2327" s="191"/>
      <c r="E2327" s="196"/>
    </row>
    <row r="2328">
      <c r="A2328" s="190"/>
      <c r="B2328" s="191" t="str">
        <v>Dwi</v>
      </c>
      <c r="C2328" s="192" t="str">
        <v>Report Expansion Lite</v>
      </c>
      <c r="D2328" s="191"/>
      <c r="E2328" s="196"/>
    </row>
    <row r="2329">
      <c r="A2329" s="190"/>
      <c r="B2329" s="191"/>
      <c r="C2329" s="192" t="str" xml:space="preserve">
        <v> </v>
      </c>
      <c r="D2329" s="191"/>
      <c r="E2329" s="196"/>
    </row>
    <row r="2330">
      <c r="A2330" s="190"/>
      <c r="B2330" s="191"/>
      <c r="C2330" s="192"/>
      <c r="D2330" s="191"/>
      <c r="E2330" s="196"/>
    </row>
    <row r="2331">
      <c r="A2331" s="190"/>
      <c r="B2331" s="191"/>
      <c r="C2331" s="192"/>
      <c r="D2331" s="191"/>
      <c r="E2331" s="196"/>
    </row>
    <row r="2332">
      <c r="A2332" s="190"/>
      <c r="B2332" s="191"/>
      <c r="C2332" s="192"/>
      <c r="D2332" s="191"/>
      <c r="E2332" s="196"/>
    </row>
    <row r="2333">
      <c r="A2333" s="190"/>
      <c r="B2333" s="191"/>
      <c r="C2333" s="192"/>
      <c r="D2333" s="191"/>
      <c r="E2333" s="196"/>
    </row>
    <row r="2334">
      <c r="A2334" s="190"/>
      <c r="B2334" s="179" t="str">
        <v>Wina</v>
      </c>
      <c r="C2334" s="192" t="str">
        <v>Daily content (IG MAcademy)</v>
      </c>
      <c r="D2334" s="191" t="str">
        <v>Done</v>
      </c>
      <c r="E2334" s="196"/>
    </row>
    <row r="2335">
      <c r="A2335" s="190"/>
      <c r="B2335" s="179"/>
      <c r="C2335" s="192" t="str">
        <v>content MAPID Apps</v>
      </c>
      <c r="D2335" s="191" t="str">
        <v>Done</v>
      </c>
      <c r="E2335" s="196"/>
    </row>
    <row r="2336">
      <c r="A2336" s="190"/>
      <c r="B2336" s="179"/>
      <c r="C2336" s="192" t="str">
        <v>meeting socmed</v>
      </c>
      <c r="D2336" s="191" t="str">
        <v>Done</v>
      </c>
      <c r="E2336" s="196"/>
    </row>
    <row r="2337">
      <c r="A2337" s="190"/>
      <c r="B2337" s="179"/>
      <c r="C2337" s="192" t="str">
        <v>materi binus</v>
      </c>
      <c r="D2337" s="191" t="str">
        <v>Done</v>
      </c>
      <c r="E2337" s="196"/>
    </row>
    <row r="2338">
      <c r="A2338" s="190"/>
      <c r="B2338" s="179"/>
      <c r="C2338" s="192" t="str">
        <v>playbook community manager</v>
      </c>
      <c r="D2338" s="191" t="str">
        <v>Done</v>
      </c>
      <c r="E2338" s="196"/>
    </row>
    <row r="2339">
      <c r="A2339" s="190"/>
      <c r="B2339" s="191" t="str">
        <v>Annisa</v>
      </c>
      <c r="C2339" s="192" t="str">
        <v>MAPID Academy - Data Publikasi</v>
      </c>
      <c r="D2339" s="191" t="str">
        <v>Done</v>
      </c>
      <c r="E2339" s="196"/>
    </row>
    <row r="2340">
      <c r="A2340" s="190"/>
      <c r="B2340" s="191"/>
      <c r="C2340" s="192" t="str" xml:space="preserve">
        <v>Data Visualization editing (kemarin belum ada yang labeling data, jadi baru ditambahkan skrg) </v>
      </c>
      <c r="D2340" s="191" t="str">
        <v>Done</v>
      </c>
      <c r="E2340" s="196"/>
    </row>
    <row r="2341">
      <c r="A2341" s="190"/>
      <c r="B2341" s="191"/>
      <c r="C2341" s="192" t="str">
        <v>MBG - KONTEN</v>
      </c>
      <c r="D2341" s="191" t="str">
        <v>Done</v>
      </c>
      <c r="E2341" s="196"/>
    </row>
    <row r="2342">
      <c r="A2342" s="190"/>
      <c r="B2342" s="191"/>
      <c r="C2342" s="192" t="str">
        <v>Template Live Report BINUS</v>
      </c>
      <c r="D2342" s="191" t="str">
        <v>Done</v>
      </c>
      <c r="E2342" s="196"/>
    </row>
    <row r="2343">
      <c r="A2343" s="190"/>
      <c r="B2343" s="191"/>
      <c r="C2343" s="192"/>
      <c r="D2343" s="191"/>
      <c r="E2343" s="196"/>
    </row>
    <row r="2344">
      <c r="A2344" s="190"/>
      <c r="B2344" s="194" t="str">
        <v>Lossa</v>
      </c>
      <c r="C2344" s="192" t="str">
        <v>cuti</v>
      </c>
      <c r="D2344" s="191" t="str">
        <v>Done</v>
      </c>
      <c r="E2344" s="196"/>
    </row>
    <row r="2345">
      <c r="A2345" s="190"/>
      <c r="B2345" s="194"/>
      <c r="C2345" s="192"/>
      <c r="D2345" s="191"/>
      <c r="E2345" s="196"/>
    </row>
    <row r="2346">
      <c r="A2346" s="190"/>
      <c r="B2346" s="194"/>
      <c r="C2346" s="192"/>
      <c r="D2346" s="191"/>
      <c r="E2346" s="196"/>
    </row>
    <row r="2347">
      <c r="A2347" s="190"/>
      <c r="B2347" s="194"/>
      <c r="C2347" s="192"/>
      <c r="D2347" s="191"/>
      <c r="E2347" s="196"/>
    </row>
    <row r="2348">
      <c r="A2348" s="190"/>
      <c r="B2348" s="194"/>
      <c r="C2348" s="192"/>
      <c r="D2348" s="191"/>
      <c r="E2348" s="196"/>
    </row>
    <row r="2349">
      <c r="A2349" s="190"/>
      <c r="B2349" s="194"/>
      <c r="C2349" s="192"/>
      <c r="D2349" s="191"/>
      <c r="E2349" s="196"/>
    </row>
    <row r="2350">
      <c r="A2350" s="190"/>
      <c r="B2350" s="194" t="str">
        <v>Amel</v>
      </c>
      <c r="C2350" s="192" t="str">
        <v>Susun hpp madiun</v>
      </c>
      <c r="D2350" s="191" t="str">
        <v>Done</v>
      </c>
      <c r="E2350" s="196" t="str" xml:space="preserve">
        <v>convert ke teams </v>
      </c>
    </row>
    <row r="2351">
      <c r="A2351" s="190"/>
      <c r="B2351" s="194"/>
      <c r="C2351" s="192" t="str">
        <v>Membuat sheet excel untuk pengumpulan data pemkot</v>
      </c>
      <c r="D2351" s="191" t="str">
        <v>Done</v>
      </c>
      <c r="E2351" s="196"/>
    </row>
    <row r="2352">
      <c r="A2352" s="190"/>
      <c r="B2352" s="194"/>
      <c r="C2352" s="192" t="str">
        <v>Meeting freelance + tim (brief revisi layout + persiapan training)</v>
      </c>
      <c r="D2352" s="191" t="str">
        <v>Done</v>
      </c>
      <c r="E2352" s="196"/>
    </row>
    <row r="2353">
      <c r="A2353" s="190"/>
      <c r="B2353" s="194"/>
      <c r="C2353" s="192" t="str">
        <v>Susun termin untuk next freelance w/ SA</v>
      </c>
      <c r="D2353" s="191" t="str">
        <v>Done</v>
      </c>
      <c r="E2353" s="196"/>
    </row>
    <row r="2354">
      <c r="A2354" s="190"/>
      <c r="B2354" s="194"/>
      <c r="C2354" s="192" t="str">
        <v>Bikin site selection sesuai req parameter Roemah Koffie</v>
      </c>
      <c r="D2354" s="191" t="str">
        <v>Done</v>
      </c>
      <c r="E2354" s="196"/>
    </row>
    <row r="2355">
      <c r="A2355" s="190"/>
      <c r="B2355" s="194"/>
      <c r="C2355" s="192" t="str">
        <v>Pengisian e catalog untuk madiun</v>
      </c>
      <c r="D2355" s="191" t="str">
        <v>Done</v>
      </c>
      <c r="E2355" s="196"/>
    </row>
    <row r="2356">
      <c r="A2356" s="190"/>
      <c r="B2356" s="194" t="str">
        <v>Zhafran</v>
      </c>
      <c r="C2356" s="192" t="str">
        <v>Monitoring Project Karlo Data</v>
      </c>
      <c r="D2356" s="191" t="str">
        <v>Done</v>
      </c>
      <c r="E2356" s="196"/>
    </row>
    <row r="2357">
      <c r="A2357" s="190"/>
      <c r="B2357" s="194"/>
      <c r="C2357" s="192" t="str">
        <v>Meeting Internal Comcentric</v>
      </c>
      <c r="D2357" s="191" t="str">
        <v>Done</v>
      </c>
      <c r="E2357" s="196"/>
    </row>
    <row r="2358">
      <c r="A2358" s="190"/>
      <c r="B2358" s="194"/>
      <c r="C2358" s="192"/>
      <c r="D2358" s="191"/>
      <c r="E2358" s="196"/>
    </row>
    <row r="2359">
      <c r="A2359" s="190"/>
      <c r="B2359" s="194"/>
      <c r="C2359" s="192"/>
      <c r="D2359" s="191"/>
      <c r="E2359" s="196"/>
    </row>
    <row r="2360">
      <c r="A2360" s="190"/>
      <c r="B2360" s="194"/>
      <c r="C2360" s="192"/>
      <c r="D2360" s="191"/>
      <c r="E2360" s="196"/>
    </row>
    <row r="2361">
      <c r="A2361" s="190"/>
      <c r="B2361" s="194"/>
      <c r="C2361" s="192"/>
      <c r="D2361" s="191"/>
      <c r="E2361" s="196"/>
    </row>
    <row r="2362">
      <c r="A2362" s="190"/>
      <c r="B2362" s="194"/>
      <c r="C2362" s="192"/>
      <c r="D2362" s="191"/>
      <c r="E2362" s="196"/>
    </row>
    <row r="2363">
      <c r="A2363" s="190"/>
      <c r="B2363" s="179" t="str">
        <v>Hadi</v>
      </c>
      <c r="C2363" s="192" t="str">
        <v>Meeting Head Shareholders</v>
      </c>
      <c r="D2363" s="191" t="str">
        <v>Done</v>
      </c>
      <c r="E2363" s="196"/>
    </row>
    <row r="2364">
      <c r="A2364" s="190"/>
      <c r="B2364" s="179"/>
      <c r="C2364" s="192"/>
      <c r="D2364" s="191"/>
      <c r="E2364" s="196"/>
    </row>
    <row r="2365">
      <c r="A2365" s="190"/>
      <c r="B2365" s="179"/>
      <c r="C2365" s="192"/>
      <c r="D2365" s="191"/>
      <c r="E2365" s="196"/>
    </row>
    <row r="2366">
      <c r="A2366" s="190"/>
      <c r="B2366" s="179"/>
      <c r="C2366" s="192"/>
      <c r="D2366" s="191"/>
      <c r="E2366" s="196"/>
    </row>
    <row r="2367">
      <c r="A2367" s="190"/>
      <c r="B2367" s="179"/>
      <c r="C2367" s="192"/>
      <c r="D2367" s="191"/>
      <c r="E2367" s="196"/>
    </row>
    <row r="2368">
      <c r="A2368" s="190">
        <v>46120</v>
      </c>
      <c r="B2368" s="179" t="str">
        <v>Fariz</v>
      </c>
      <c r="C2368" s="192" t="str">
        <v>[DLY] Meeting Initial LMS with Reynard</v>
      </c>
      <c r="D2368" s="191" t="str">
        <v>Done</v>
      </c>
      <c r="E2368" s="196"/>
    </row>
    <row r="2369">
      <c r="A2369" s="190"/>
      <c r="B2369" s="179"/>
      <c r="C2369" s="192" t="str">
        <v>[DLY] Strategi Q2 Learning Operation</v>
      </c>
      <c r="D2369" s="191" t="str">
        <v>Done</v>
      </c>
      <c r="E2369" s="196"/>
    </row>
    <row r="2370">
      <c r="A2370" s="190"/>
      <c r="B2370" s="179"/>
      <c r="C2370" s="192" t="str">
        <v>[DLY] Meeting with Dwi - Alignment Strategy Q2</v>
      </c>
      <c r="D2370" s="191" t="str">
        <v>Done</v>
      </c>
      <c r="E2370" s="196"/>
    </row>
    <row r="2371">
      <c r="A2371" s="190"/>
      <c r="B2371" s="179"/>
      <c r="C2371" s="192" t="str">
        <v>[INT] Deck Transfer Knowledge WebGIS ke Intern</v>
      </c>
      <c r="D2371" s="191" t="str">
        <v>Done</v>
      </c>
      <c r="E2371" s="196"/>
    </row>
    <row r="2372">
      <c r="A2372" s="190"/>
      <c r="B2372" s="179"/>
      <c r="C2372" s="192"/>
      <c r="D2372" s="191"/>
      <c r="E2372" s="196"/>
    </row>
    <row r="2373">
      <c r="A2373" s="190"/>
      <c r="B2373" s="191" t="str">
        <v>Dwi</v>
      </c>
      <c r="C2373" s="192" t="str">
        <v>Diskusi MAPID Academy - Q2</v>
      </c>
      <c r="D2373" s="191" t="str">
        <v>Done</v>
      </c>
      <c r="E2373" s="196"/>
    </row>
    <row r="2374">
      <c r="A2374" s="190"/>
      <c r="B2374" s="191"/>
      <c r="C2374" s="192" t="str">
        <v>Diskusi CRP - survei</v>
      </c>
      <c r="D2374" s="191" t="str">
        <v>Done</v>
      </c>
      <c r="E2374" s="196"/>
    </row>
    <row r="2375">
      <c r="A2375" s="190"/>
      <c r="B2375" s="191"/>
      <c r="C2375" s="192" t="str">
        <v>Report GEO MAPID ASSISTED</v>
      </c>
      <c r="D2375" s="191" t="str">
        <v>In Progress</v>
      </c>
      <c r="E2375" s="196"/>
    </row>
    <row r="2376">
      <c r="A2376" s="190"/>
      <c r="B2376" s="191"/>
      <c r="C2376" s="192"/>
      <c r="D2376" s="191"/>
      <c r="E2376" s="196"/>
    </row>
    <row r="2377">
      <c r="A2377" s="190"/>
      <c r="B2377" s="191"/>
      <c r="C2377" s="192"/>
      <c r="D2377" s="191"/>
      <c r="E2377" s="196"/>
    </row>
    <row r="2378">
      <c r="A2378" s="190"/>
      <c r="B2378" s="191"/>
      <c r="C2378" s="192"/>
      <c r="D2378" s="191"/>
      <c r="E2378" s="196"/>
    </row>
    <row r="2379">
      <c r="A2379" s="190"/>
      <c r="B2379" s="179" t="str">
        <v>Wina</v>
      </c>
      <c r="C2379" s="192" t="str">
        <v>daily content (IG, WA, Apps)</v>
      </c>
      <c r="D2379" s="191" t="str">
        <v>Done</v>
      </c>
      <c r="E2379" s="196"/>
    </row>
    <row r="2380">
      <c r="A2380" s="190"/>
      <c r="B2380" s="179"/>
      <c r="C2380" s="192" t="str">
        <v>shooting konten (4 reels)</v>
      </c>
      <c r="D2380" s="191" t="str">
        <v>Done</v>
      </c>
      <c r="E2380" s="196"/>
    </row>
    <row r="2381">
      <c r="A2381" s="190"/>
      <c r="B2381" s="179"/>
      <c r="C2381" s="192" t="str">
        <v>Editing video (2/4)</v>
      </c>
      <c r="D2381" s="191" t="str">
        <v>Done</v>
      </c>
      <c r="E2381" s="196"/>
    </row>
    <row r="2382">
      <c r="A2382" s="190"/>
      <c r="B2382" s="179"/>
      <c r="C2382" s="192" t="str">
        <v>Live report BINUS &amp; standby</v>
      </c>
      <c r="D2382" s="191" t="str">
        <v>Done</v>
      </c>
      <c r="E2382" s="196"/>
    </row>
    <row r="2383">
      <c r="A2383" s="190"/>
      <c r="B2383" s="179"/>
      <c r="C2383" s="192"/>
      <c r="D2383" s="191"/>
      <c r="E2383" s="196"/>
    </row>
    <row r="2384">
      <c r="A2384" s="190"/>
      <c r="B2384" s="191" t="str">
        <v>Annisa</v>
      </c>
      <c r="C2384" s="192" t="str">
        <v>MAPID x BINUS MoU Announcement (template)</v>
      </c>
      <c r="D2384" s="191" t="str">
        <v>Done</v>
      </c>
      <c r="E2384" s="196"/>
    </row>
    <row r="2385">
      <c r="A2385" s="190"/>
      <c r="B2385" s="191"/>
      <c r="C2385" s="192" t="str">
        <v>nyusun brand guidelines di canva lagi</v>
      </c>
      <c r="D2385" s="191" t="str">
        <v>Done</v>
      </c>
      <c r="E2385" s="196"/>
    </row>
    <row r="2386">
      <c r="A2386" s="190"/>
      <c r="B2386" s="191"/>
      <c r="C2386" s="192"/>
      <c r="D2386" s="191"/>
      <c r="E2386" s="196"/>
    </row>
    <row r="2387">
      <c r="A2387" s="190"/>
      <c r="B2387" s="191"/>
      <c r="C2387" s="192"/>
      <c r="D2387" s="191"/>
      <c r="E2387" s="196"/>
    </row>
    <row r="2388">
      <c r="A2388" s="190"/>
      <c r="B2388" s="191"/>
      <c r="C2388" s="192"/>
      <c r="D2388" s="191"/>
      <c r="E2388" s="196"/>
    </row>
    <row r="2389">
      <c r="A2389" s="190"/>
      <c r="B2389" s="194" t="str">
        <v>Lossa</v>
      </c>
      <c r="C2389" s="192" t="str">
        <v>meeting pupuk</v>
      </c>
      <c r="D2389" s="191" t="str">
        <v>Done</v>
      </c>
      <c r="E2389" s="196"/>
    </row>
    <row r="2390">
      <c r="A2390" s="190"/>
      <c r="B2390" s="194"/>
      <c r="C2390" s="192" t="str">
        <v>meeting bluebird</v>
      </c>
      <c r="D2390" s="191" t="str">
        <v>Done</v>
      </c>
      <c r="E2390" s="196"/>
    </row>
    <row r="2391">
      <c r="A2391" s="190"/>
      <c r="B2391" s="194"/>
      <c r="C2391" s="192"/>
      <c r="D2391" s="191"/>
      <c r="E2391" s="196"/>
    </row>
    <row r="2392">
      <c r="A2392" s="190"/>
      <c r="B2392" s="194"/>
      <c r="C2392" s="192"/>
      <c r="D2392" s="191"/>
      <c r="E2392" s="196"/>
    </row>
    <row r="2393">
      <c r="A2393" s="190"/>
      <c r="B2393" s="194"/>
      <c r="C2393" s="192"/>
      <c r="D2393" s="191"/>
      <c r="E2393" s="196"/>
    </row>
    <row r="2394">
      <c r="A2394" s="190"/>
      <c r="B2394" s="194"/>
      <c r="C2394" s="192"/>
      <c r="D2394" s="191"/>
      <c r="E2394" s="196"/>
    </row>
    <row r="2395">
      <c r="A2395" s="190"/>
      <c r="B2395" s="194" t="str">
        <v>Amel</v>
      </c>
      <c r="C2395" s="192" t="str" xml:space="preserve">
        <v>Revisi proposal MRT </v>
      </c>
      <c r="D2395" s="191" t="str">
        <v>Done</v>
      </c>
      <c r="E2395" s="196"/>
    </row>
    <row r="2396">
      <c r="A2396" s="190"/>
      <c r="B2396" s="194"/>
      <c r="C2396" s="192" t="str">
        <v>Meeting XL</v>
      </c>
      <c r="D2396" s="191" t="str">
        <v>Done</v>
      </c>
      <c r="E2396" s="195" t="str">
        <v>10:00:00 AM (Reschedule)</v>
      </c>
    </row>
    <row r="2397">
      <c r="A2397" s="190"/>
      <c r="B2397" s="194"/>
      <c r="C2397" s="192" t="str">
        <v>Membuat SOW Distaru Semarang</v>
      </c>
      <c r="D2397" s="191" t="str">
        <v>Done</v>
      </c>
      <c r="E2397" s="196"/>
    </row>
    <row r="2398">
      <c r="A2398" s="190"/>
      <c r="B2398" s="194"/>
      <c r="C2398" s="192" t="str">
        <v>weekly progress DSDA</v>
      </c>
      <c r="D2398" s="191" t="str">
        <v>Done</v>
      </c>
      <c r="E2398" s="196"/>
    </row>
    <row r="2399">
      <c r="A2399" s="190"/>
      <c r="B2399" s="194"/>
      <c r="C2399" s="192"/>
      <c r="D2399" s="191"/>
      <c r="E2399" s="196"/>
    </row>
    <row r="2400">
      <c r="A2400" s="190"/>
      <c r="B2400" s="194"/>
      <c r="C2400" s="192"/>
      <c r="D2400" s="191"/>
      <c r="E2400" s="196"/>
    </row>
    <row r="2401">
      <c r="A2401" s="190"/>
      <c r="B2401" s="194" t="str">
        <v>Zhafran</v>
      </c>
      <c r="C2401" s="192" t="str">
        <v>Monitoring Project Karlo Data</v>
      </c>
      <c r="D2401" s="191"/>
      <c r="E2401" s="196"/>
    </row>
    <row r="2402">
      <c r="A2402" s="190"/>
      <c r="B2402" s="194"/>
      <c r="C2402" s="192" t="str">
        <v>Meeting Bulan Pertama Karlo Data</v>
      </c>
      <c r="D2402" s="191"/>
      <c r="E2402" s="196"/>
    </row>
    <row r="2403">
      <c r="A2403" s="190"/>
      <c r="B2403" s="194"/>
      <c r="C2403" s="192" t="str">
        <v>Diskusi Terkait Kebutuhan CRP</v>
      </c>
      <c r="D2403" s="191"/>
      <c r="E2403" s="196"/>
    </row>
    <row r="2404">
      <c r="A2404" s="190"/>
      <c r="B2404" s="194"/>
      <c r="C2404" s="192"/>
      <c r="D2404" s="191"/>
      <c r="E2404" s="196"/>
    </row>
    <row r="2405">
      <c r="A2405" s="190"/>
      <c r="B2405" s="194"/>
      <c r="C2405" s="192"/>
      <c r="D2405" s="191"/>
      <c r="E2405" s="196"/>
    </row>
    <row r="2406">
      <c r="A2406" s="190"/>
      <c r="B2406" s="194"/>
      <c r="C2406" s="192"/>
      <c r="D2406" s="191"/>
      <c r="E2406" s="196"/>
    </row>
    <row r="2407">
      <c r="A2407" s="190"/>
      <c r="B2407" s="194"/>
      <c r="C2407" s="192"/>
      <c r="D2407" s="191"/>
      <c r="E2407" s="196"/>
    </row>
    <row r="2408">
      <c r="A2408" s="190"/>
      <c r="B2408" s="179" t="str">
        <v>Hadi</v>
      </c>
      <c r="C2408" s="192" t="str">
        <v>Sign MoU Binus</v>
      </c>
      <c r="D2408" s="191" t="str">
        <v>Done</v>
      </c>
      <c r="E2408" s="196"/>
    </row>
    <row r="2409">
      <c r="A2409" s="190"/>
      <c r="B2409" s="179"/>
      <c r="C2409" s="192" t="str">
        <v>Meeting Bluebird</v>
      </c>
      <c r="D2409" s="191" t="str">
        <v>Done</v>
      </c>
      <c r="E2409" s="196"/>
    </row>
    <row r="2410">
      <c r="A2410" s="190"/>
      <c r="B2410" s="179"/>
      <c r="C2410" s="192" t="str">
        <v>Revamp admin dashboard</v>
      </c>
      <c r="D2410" s="191" t="str">
        <v>Done</v>
      </c>
      <c r="E2410" s="196"/>
    </row>
    <row r="2411">
      <c r="A2411" s="190"/>
      <c r="B2411" s="179"/>
      <c r="C2411" s="192"/>
      <c r="D2411" s="191"/>
      <c r="E2411" s="196"/>
    </row>
    <row r="2412">
      <c r="A2412" s="190"/>
      <c r="B2412" s="179"/>
      <c r="C2412" s="192"/>
      <c r="D2412" s="191"/>
      <c r="E2412" s="196"/>
    </row>
    <row r="2413">
      <c r="A2413" s="190">
        <v>46121</v>
      </c>
      <c r="B2413" s="179" t="str">
        <v>Fariz</v>
      </c>
      <c r="C2413" s="192" t="str" xml:space="preserve">
        <v>[DLY] Revisi Strategi Q2 </v>
      </c>
      <c r="D2413" s="191" t="str">
        <v>Done</v>
      </c>
      <c r="E2413" s="196"/>
    </row>
    <row r="2414">
      <c r="A2414" s="190"/>
      <c r="B2414" s="179"/>
      <c r="C2414" s="192" t="str">
        <v>[CTR] Harga Corporate Training Telkomsat</v>
      </c>
      <c r="D2414" s="191" t="str">
        <v>Done</v>
      </c>
      <c r="E2414" s="196" t="str" xml:space="preserve">
        <v>     </v>
      </c>
    </row>
    <row r="2415">
      <c r="A2415" s="190"/>
      <c r="B2415" s="179"/>
      <c r="C2415" s="192" t="str">
        <v>[LMS] Meeting LMS for Q2</v>
      </c>
      <c r="D2415" s="191" t="str">
        <v>Done</v>
      </c>
      <c r="E2415" s="196"/>
    </row>
    <row r="2416">
      <c r="A2416" s="190"/>
      <c r="B2416" s="179"/>
      <c r="C2416" s="192"/>
      <c r="D2416" s="191"/>
      <c r="E2416" s="196"/>
    </row>
    <row r="2417">
      <c r="A2417" s="190"/>
      <c r="B2417" s="179"/>
      <c r="C2417" s="192"/>
      <c r="D2417" s="191"/>
      <c r="E2417" s="196"/>
    </row>
    <row r="2418">
      <c r="A2418" s="190"/>
      <c r="B2418" s="191" t="str">
        <v>Dwi</v>
      </c>
      <c r="C2418" s="192"/>
      <c r="D2418" s="191"/>
      <c r="E2418" s="196"/>
    </row>
    <row r="2419">
      <c r="A2419" s="190"/>
      <c r="B2419" s="191"/>
      <c r="C2419" s="192"/>
      <c r="D2419" s="191"/>
      <c r="E2419" s="196"/>
    </row>
    <row r="2420">
      <c r="A2420" s="190"/>
      <c r="B2420" s="191"/>
      <c r="C2420" s="192"/>
      <c r="D2420" s="191"/>
      <c r="E2420" s="196"/>
    </row>
    <row r="2421">
      <c r="A2421" s="190"/>
      <c r="B2421" s="191"/>
      <c r="C2421" s="192"/>
      <c r="D2421" s="191"/>
      <c r="E2421" s="196"/>
    </row>
    <row r="2422">
      <c r="A2422" s="190"/>
      <c r="B2422" s="191"/>
      <c r="C2422" s="192"/>
      <c r="D2422" s="191"/>
      <c r="E2422" s="196"/>
    </row>
    <row r="2423">
      <c r="A2423" s="190"/>
      <c r="B2423" s="191"/>
      <c r="C2423" s="192"/>
      <c r="D2423" s="191"/>
      <c r="E2423" s="196"/>
    </row>
    <row r="2424">
      <c r="A2424" s="190"/>
      <c r="B2424" s="179" t="str">
        <v>Wina</v>
      </c>
      <c r="C2424" s="192" t="str">
        <v>Daily content (WA, IG, Apps)</v>
      </c>
      <c r="D2424" s="191" t="str">
        <v>Done</v>
      </c>
      <c r="E2424" s="196"/>
    </row>
    <row r="2425">
      <c r="A2425" s="190"/>
      <c r="B2425" s="179"/>
      <c r="C2425" s="192" t="str">
        <v>revisi strategi Q2</v>
      </c>
      <c r="D2425" s="191" t="str">
        <v>Done</v>
      </c>
      <c r="E2425" s="196"/>
    </row>
    <row r="2426">
      <c r="A2426" s="190"/>
      <c r="B2426" s="179"/>
      <c r="C2426" s="192" t="str">
        <v>editing video</v>
      </c>
      <c r="D2426" s="191" t="str">
        <v>Done</v>
      </c>
      <c r="E2426" s="196"/>
    </row>
    <row r="2427">
      <c r="A2427" s="190"/>
      <c r="B2427" s="179"/>
      <c r="C2427" s="192"/>
      <c r="D2427" s="191"/>
      <c r="E2427" s="196"/>
    </row>
    <row r="2428">
      <c r="A2428" s="190"/>
      <c r="B2428" s="179"/>
      <c r="C2428" s="192"/>
      <c r="D2428" s="191"/>
      <c r="E2428" s="196"/>
    </row>
    <row r="2429">
      <c r="A2429" s="190"/>
      <c r="B2429" s="191" t="str">
        <v>Annisa</v>
      </c>
      <c r="C2429" s="192" t="str">
        <v>nyusun brand guidelines di canva (memisahkan MAPID dan MAPID ACADEMY)</v>
      </c>
      <c r="D2429" s="191" t="str">
        <v>Done</v>
      </c>
      <c r="E2429" s="196"/>
    </row>
    <row r="2430">
      <c r="A2430" s="190"/>
      <c r="B2430" s="191"/>
      <c r="C2430" s="192" t="str">
        <v>re-design frame social media MAPID</v>
      </c>
      <c r="D2430" s="191" t="str">
        <v>Done</v>
      </c>
      <c r="E2430" s="196"/>
    </row>
    <row r="2431">
      <c r="A2431" s="190"/>
      <c r="B2431" s="191"/>
      <c r="C2431" s="192"/>
      <c r="D2431" s="191"/>
      <c r="E2431" s="196"/>
    </row>
    <row r="2432">
      <c r="A2432" s="190"/>
      <c r="B2432" s="191"/>
      <c r="C2432" s="192"/>
      <c r="D2432" s="191"/>
      <c r="E2432" s="196"/>
    </row>
    <row r="2433">
      <c r="A2433" s="190"/>
      <c r="B2433" s="191"/>
      <c r="C2433" s="192"/>
      <c r="D2433" s="191"/>
      <c r="E2433" s="196"/>
    </row>
    <row r="2434">
      <c r="A2434" s="190"/>
      <c r="B2434" s="194" t="str">
        <v>Lossa</v>
      </c>
      <c r="C2434" s="192" t="str">
        <v>meeting internal persiapan nabati roll out</v>
      </c>
      <c r="D2434" s="191" t="str">
        <v>Done</v>
      </c>
      <c r="E2434" s="196" t="str">
        <v>9.00</v>
      </c>
    </row>
    <row r="2435">
      <c r="A2435" s="190"/>
      <c r="B2435" s="194"/>
      <c r="C2435" s="192" t="str">
        <v>deck handover output pilot nabati</v>
      </c>
      <c r="D2435" s="191" t="str">
        <v>Done</v>
      </c>
      <c r="E2435" s="196" t="str">
        <v>lanjut bsk</v>
      </c>
    </row>
    <row r="2436">
      <c r="A2436" s="190"/>
      <c r="B2436" s="194"/>
      <c r="C2436" s="192" t="str">
        <v>discuss list data prodia + revisi crf</v>
      </c>
      <c r="D2436" s="191" t="str">
        <v>Done</v>
      </c>
      <c r="E2436" s="196"/>
    </row>
    <row r="2437">
      <c r="A2437" s="190"/>
      <c r="B2437" s="194"/>
      <c r="C2437" s="192" t="str">
        <v>weekly pse</v>
      </c>
      <c r="D2437" s="191" t="str">
        <v>Done</v>
      </c>
      <c r="E2437" s="196"/>
    </row>
    <row customHeight="true" ht="19" r="2438">
      <c r="A2438" s="190"/>
      <c r="B2438" s="194"/>
      <c r="C2438" s="192"/>
      <c r="D2438" s="191"/>
      <c r="E2438" s="196"/>
    </row>
    <row customHeight="true" ht="19" r="2439">
      <c r="A2439" s="190"/>
      <c r="B2439" s="194"/>
      <c r="C2439" s="192"/>
      <c r="D2439" s="191"/>
      <c r="E2439" s="196"/>
    </row>
    <row r="2440">
      <c r="A2440" s="190"/>
      <c r="B2440" s="194" t="str">
        <v>Amel</v>
      </c>
      <c r="C2440" s="2" t="str">
        <v>Edit timeline di SOW distaru</v>
      </c>
      <c r="D2440" s="191" t="str">
        <v>Done</v>
      </c>
      <c r="E2440" s="196" t="s">
        <v>370</v>
      </c>
    </row>
    <row r="2441">
      <c r="A2441" s="190"/>
      <c r="B2441" s="194"/>
      <c r="C2441" s="192" t="str">
        <v>Demo Call BNI</v>
      </c>
      <c r="D2441" s="191" t="str">
        <v>Done</v>
      </c>
      <c r="E2441" s="195" t="str">
        <v>14:00</v>
      </c>
    </row>
    <row r="2442">
      <c r="A2442" s="190"/>
      <c r="B2442" s="194"/>
      <c r="C2442" s="2" t="str" xml:space="preserve">
        <v>Revisi Spektek dan KAK </v>
      </c>
      <c r="D2442" s="191" t="str">
        <v>Done</v>
      </c>
      <c r="E2442" s="196" t="str">
        <v>feedback dr mas wahyu</v>
      </c>
    </row>
    <row r="2443">
      <c r="A2443" s="190"/>
      <c r="B2443" s="194"/>
      <c r="C2443" s="192" t="str">
        <v>weekly pse</v>
      </c>
      <c r="D2443" s="191" t="str">
        <v>Done</v>
      </c>
      <c r="E2443" s="196"/>
    </row>
    <row r="2444">
      <c r="A2444" s="190"/>
      <c r="B2444" s="194"/>
      <c r="C2444" s="192" t="str">
        <v>Monitoring project (target deploy)</v>
      </c>
      <c r="D2444" s="191" t="str">
        <v>Done</v>
      </c>
      <c r="E2444" s="196"/>
    </row>
    <row r="2445">
      <c r="A2445" s="190"/>
      <c r="B2445" s="194"/>
      <c r="C2445" s="192"/>
      <c r="D2445" s="191"/>
      <c r="E2445" s="196"/>
    </row>
    <row r="2446">
      <c r="A2446" s="190"/>
      <c r="B2446" s="194" t="str">
        <v>Zhafran</v>
      </c>
      <c r="C2446" s="192" t="str">
        <v>Monitoring project data Karlo</v>
      </c>
      <c r="D2446" s="191" t="str">
        <v>Done</v>
      </c>
      <c r="E2446" s="196"/>
    </row>
    <row r="2447">
      <c r="A2447" s="190"/>
      <c r="B2447" s="194"/>
      <c r="C2447" s="192" t="str">
        <v>Weekly PSE</v>
      </c>
      <c r="D2447" s="191" t="str">
        <v>Done</v>
      </c>
      <c r="E2447" s="196"/>
    </row>
    <row r="2448">
      <c r="A2448" s="190"/>
      <c r="B2448" s="194"/>
      <c r="C2448" s="192" t="str">
        <v>Pembuatan harga CRP</v>
      </c>
      <c r="D2448" s="191" t="str">
        <v>Done</v>
      </c>
      <c r="E2448" s="196"/>
    </row>
    <row r="2449">
      <c r="A2449" s="190"/>
      <c r="B2449" s="194"/>
      <c r="C2449" s="192" t="str">
        <v>Meeting Nabati</v>
      </c>
      <c r="D2449" s="191" t="str">
        <v>Done</v>
      </c>
      <c r="E2449" s="196"/>
    </row>
    <row r="2450">
      <c r="A2450" s="190"/>
      <c r="B2450" s="194"/>
      <c r="C2450" s="192"/>
      <c r="D2450" s="191"/>
      <c r="E2450" s="196"/>
    </row>
    <row r="2451">
      <c r="A2451" s="190"/>
      <c r="B2451" s="194"/>
      <c r="C2451" s="192"/>
      <c r="D2451" s="191"/>
      <c r="E2451" s="196"/>
    </row>
    <row r="2452">
      <c r="A2452" s="190"/>
      <c r="B2452" s="194"/>
      <c r="C2452" s="192"/>
      <c r="D2452" s="191"/>
      <c r="E2452" s="196"/>
    </row>
    <row r="2453">
      <c r="A2453" s="190"/>
      <c r="B2453" s="179" t="str">
        <v>Hadi</v>
      </c>
      <c r="C2453" s="192" t="str">
        <v>Monitoring Business</v>
      </c>
      <c r="D2453" s="191" t="str">
        <v>Done</v>
      </c>
      <c r="E2453" s="196"/>
    </row>
    <row r="2454">
      <c r="A2454" s="190"/>
      <c r="B2454" s="179"/>
      <c r="C2454" s="192" t="str">
        <v>Finalisasi Deck Shareholders</v>
      </c>
      <c r="D2454" s="191" t="str">
        <v>Done</v>
      </c>
      <c r="E2454" s="196"/>
    </row>
    <row r="2455">
      <c r="A2455" s="190"/>
      <c r="B2455" s="179"/>
      <c r="C2455" s="192"/>
      <c r="D2455" s="191"/>
      <c r="E2455" s="196"/>
    </row>
    <row r="2456">
      <c r="A2456" s="190"/>
      <c r="B2456" s="179"/>
      <c r="C2456" s="192"/>
      <c r="D2456" s="191"/>
      <c r="E2456" s="196"/>
    </row>
    <row r="2457">
      <c r="A2457" s="190"/>
      <c r="B2457" s="179"/>
      <c r="C2457" s="192"/>
      <c r="D2457" s="191"/>
      <c r="E2457" s="196"/>
    </row>
    <row r="2458">
      <c r="A2458" s="190">
        <v>46122</v>
      </c>
      <c r="B2458" s="179" t="str">
        <v>Fariz</v>
      </c>
      <c r="C2458" s="192" t="str" xml:space="preserve">
        <v>[DLY] Revisi Strategi Q2 </v>
      </c>
      <c r="D2458" s="191" t="str">
        <v>Done</v>
      </c>
      <c r="E2458" s="196"/>
    </row>
    <row r="2459">
      <c r="A2459" s="190"/>
      <c r="B2459" s="179"/>
      <c r="C2459" s="192" t="str">
        <v>[CTR] Harga Corporate Training Telkomsat</v>
      </c>
      <c r="D2459" s="191" t="str">
        <v>Done</v>
      </c>
      <c r="E2459" s="196"/>
    </row>
    <row r="2460">
      <c r="A2460" s="190"/>
      <c r="B2460" s="179"/>
      <c r="C2460" s="192" t="str">
        <v>[LMS] Meeting LMS for Q2</v>
      </c>
      <c r="D2460" s="191" t="str">
        <v>Done</v>
      </c>
      <c r="E2460" s="196"/>
    </row>
    <row r="2461">
      <c r="A2461" s="190"/>
      <c r="B2461" s="179"/>
      <c r="C2461" s="192"/>
      <c r="D2461" s="191"/>
      <c r="E2461" s="196"/>
    </row>
    <row r="2462">
      <c r="A2462" s="190"/>
      <c r="B2462" s="179"/>
      <c r="C2462" s="192"/>
      <c r="D2462" s="191"/>
      <c r="E2462" s="196"/>
    </row>
    <row r="2463">
      <c r="A2463" s="190"/>
      <c r="B2463" s="191" t="str">
        <v>Dwi</v>
      </c>
      <c r="C2463" s="192" t="str">
        <v>Strategi Q2</v>
      </c>
      <c r="D2463" s="191" t="str">
        <v>Done</v>
      </c>
      <c r="E2463" s="196"/>
    </row>
    <row r="2464">
      <c r="A2464" s="190"/>
      <c r="B2464" s="191"/>
      <c r="C2464" s="192" t="str">
        <v>Brainstrom Product Personal License</v>
      </c>
      <c r="D2464" s="191" t="str">
        <v>Done</v>
      </c>
      <c r="E2464" s="196"/>
    </row>
    <row r="2465">
      <c r="A2465" s="190"/>
      <c r="B2465" s="191"/>
      <c r="C2465" s="192"/>
      <c r="D2465" s="191"/>
      <c r="E2465" s="196"/>
    </row>
    <row r="2466">
      <c r="A2466" s="190"/>
      <c r="B2466" s="191"/>
      <c r="C2466" s="192"/>
      <c r="D2466" s="191"/>
      <c r="E2466" s="196"/>
    </row>
    <row r="2467">
      <c r="A2467" s="190"/>
      <c r="B2467" s="191"/>
      <c r="C2467" s="192"/>
      <c r="D2467" s="191"/>
      <c r="E2467" s="196"/>
    </row>
    <row r="2468">
      <c r="A2468" s="190"/>
      <c r="B2468" s="191"/>
      <c r="C2468" s="192"/>
      <c r="D2468" s="191"/>
      <c r="E2468" s="196"/>
    </row>
    <row r="2469">
      <c r="A2469" s="190"/>
      <c r="B2469" s="179" t="str">
        <v>Wina</v>
      </c>
      <c r="C2469" s="192" t="str">
        <v>daily content (IG, Linkedin, WA)</v>
      </c>
      <c r="D2469" s="191" t="str">
        <v>Done</v>
      </c>
      <c r="E2469" s="196"/>
    </row>
    <row r="2470">
      <c r="A2470" s="190"/>
      <c r="B2470" s="179"/>
      <c r="C2470" s="192" t="str">
        <v>listing konten untuk W3-4</v>
      </c>
      <c r="D2470" s="191" t="str">
        <v>Done</v>
      </c>
      <c r="E2470" s="196"/>
    </row>
    <row r="2471">
      <c r="A2471" s="190"/>
      <c r="B2471" s="179"/>
      <c r="C2471" s="192" t="str">
        <v>Editing video (2/4)</v>
      </c>
      <c r="D2471" s="191" t="str">
        <v>Done</v>
      </c>
      <c r="E2471" s="196"/>
    </row>
    <row r="2472">
      <c r="A2472" s="190"/>
      <c r="B2472" s="179"/>
      <c r="C2472" s="192" t="str">
        <v>Reminder Aktivasi MAPID Apps</v>
      </c>
      <c r="D2472" s="191" t="str">
        <v>Done</v>
      </c>
      <c r="E2472" s="196"/>
    </row>
    <row r="2473">
      <c r="A2473" s="190"/>
      <c r="B2473" s="179"/>
      <c r="C2473" s="192"/>
      <c r="D2473" s="191"/>
      <c r="E2473" s="196"/>
    </row>
    <row r="2474">
      <c r="A2474" s="190"/>
      <c r="B2474" s="191" t="str">
        <v>Annisa</v>
      </c>
      <c r="C2474" s="192" t="str">
        <v>Editing MOU BINUS X MAPID</v>
      </c>
      <c r="D2474" s="191" t="str">
        <v>Done</v>
      </c>
      <c r="E2474" s="196"/>
    </row>
    <row r="2475">
      <c r="A2475" s="190"/>
      <c r="B2475" s="191"/>
      <c r="C2475" s="192" t="str">
        <v>konten FURAB</v>
      </c>
      <c r="D2475" s="191" t="str">
        <v>Done</v>
      </c>
      <c r="E2475" s="196" t="str">
        <v>lanjutin di hari senin</v>
      </c>
    </row>
    <row r="2476">
      <c r="A2476" s="190"/>
      <c r="B2476" s="191"/>
      <c r="C2476" s="192"/>
      <c r="D2476" s="191"/>
      <c r="E2476" s="196"/>
    </row>
    <row r="2477">
      <c r="A2477" s="190"/>
      <c r="B2477" s="191"/>
      <c r="C2477" s="192"/>
      <c r="D2477" s="191"/>
      <c r="E2477" s="196"/>
    </row>
    <row r="2478">
      <c r="A2478" s="190"/>
      <c r="B2478" s="191"/>
      <c r="C2478" s="192"/>
      <c r="D2478" s="191"/>
      <c r="E2478" s="196"/>
    </row>
    <row r="2479">
      <c r="A2479" s="190"/>
      <c r="B2479" s="194" t="str">
        <v>Lossa</v>
      </c>
      <c r="C2479" s="192" t="str">
        <v>finalisasi crf prodia</v>
      </c>
      <c r="D2479" s="191" t="str">
        <v>Done</v>
      </c>
      <c r="E2479" s="196"/>
    </row>
    <row r="2480">
      <c r="A2480" s="190"/>
      <c r="B2480" s="194"/>
      <c r="C2480" s="192" t="str">
        <v>deck handover output pilot nabati</v>
      </c>
      <c r="D2480" s="191" t="str">
        <v>Done</v>
      </c>
      <c r="E2480" s="196"/>
    </row>
    <row customHeight="true" ht="28" r="2481">
      <c r="A2481" s="190"/>
      <c r="B2481" s="194"/>
      <c r="C2481" s="192" t="str">
        <v>planning skema pricing if dihitung per sku &amp; kasaran teknis nabati rollout</v>
      </c>
      <c r="D2481" s="191" t="str">
        <v>Done</v>
      </c>
      <c r="E2481" s="196" t="s">
        <v>341</v>
      </c>
    </row>
    <row r="2482">
      <c r="A2482" s="190"/>
      <c r="B2482" s="194"/>
      <c r="C2482" s="192" t="str">
        <v>meeting handover output pilot nabati + discuss national rollout</v>
      </c>
      <c r="D2482" s="191" t="str">
        <v>Done</v>
      </c>
      <c r="E2482" s="196" t="str">
        <v>reschedule kamis karena dari nabati minta waktu buat aligning secara internal untuk plan national rollout</v>
      </c>
    </row>
    <row r="2483">
      <c r="A2483" s="190"/>
      <c r="B2483" s="194"/>
      <c r="C2483" s="192"/>
      <c r="D2483" s="191"/>
      <c r="E2483" s="196"/>
    </row>
    <row r="2484">
      <c r="A2484" s="190"/>
      <c r="B2484" s="194"/>
      <c r="C2484" s="192"/>
      <c r="D2484" s="191"/>
      <c r="E2484" s="196"/>
    </row>
    <row r="2485">
      <c r="A2485" s="190"/>
      <c r="B2485" s="194" t="str">
        <v>Amel</v>
      </c>
      <c r="C2485" s="192" t="str" xml:space="preserve">
        <v>testing dsda layout </v>
      </c>
      <c r="D2485" s="191" t="str">
        <v>Done</v>
      </c>
      <c r="E2485" s="196"/>
    </row>
    <row r="2486">
      <c r="A2486" s="190"/>
      <c r="B2486" s="194"/>
      <c r="C2486" s="192" t="str">
        <v>interview freelance</v>
      </c>
      <c r="D2486" s="191" t="str">
        <v>Done</v>
      </c>
      <c r="E2486" s="196"/>
    </row>
    <row r="2487">
      <c r="A2487" s="190"/>
      <c r="B2487" s="194"/>
      <c r="C2487" s="192" t="str">
        <v>quotation distaru dan madiun</v>
      </c>
      <c r="D2487" s="191" t="str">
        <v>Done</v>
      </c>
      <c r="E2487" s="196"/>
    </row>
    <row r="2488">
      <c r="A2488" s="190"/>
      <c r="B2488" s="194"/>
      <c r="C2488" s="192"/>
      <c r="D2488" s="191"/>
      <c r="E2488" s="196"/>
    </row>
    <row r="2489">
      <c r="A2489" s="190"/>
      <c r="B2489" s="194"/>
      <c r="C2489" s="192"/>
      <c r="D2489" s="191"/>
      <c r="E2489" s="196"/>
    </row>
    <row r="2490">
      <c r="A2490" s="190"/>
      <c r="B2490" s="194"/>
      <c r="C2490" s="192"/>
      <c r="D2490" s="191"/>
      <c r="E2490" s="196"/>
    </row>
    <row r="2491">
      <c r="A2491" s="190"/>
      <c r="B2491" s="194" t="str">
        <v>Zhafran</v>
      </c>
      <c r="C2491" s="192" t="str">
        <v>Monitoring Project Data Karlo</v>
      </c>
      <c r="D2491" s="191" t="str">
        <v>Done</v>
      </c>
      <c r="E2491" s="196"/>
    </row>
    <row r="2492">
      <c r="A2492" s="190"/>
      <c r="B2492" s="194"/>
      <c r="C2492" s="192" t="str">
        <v>Update Dashboard</v>
      </c>
      <c r="D2492" s="191" t="str">
        <v>Done</v>
      </c>
      <c r="E2492" s="196"/>
    </row>
    <row r="2493">
      <c r="A2493" s="190"/>
      <c r="B2493" s="194"/>
      <c r="C2493" s="192" t="str">
        <v>Persiapan Deck AWS</v>
      </c>
      <c r="D2493" s="191" t="str">
        <v>Done</v>
      </c>
      <c r="E2493" s="196" t="str" xml:space="preserve">
        <v>DIlanjutkan senin </v>
      </c>
    </row>
    <row r="2494">
      <c r="A2494" s="190"/>
      <c r="B2494" s="194"/>
      <c r="C2494" s="192"/>
      <c r="D2494" s="191"/>
      <c r="E2494" s="196"/>
    </row>
    <row r="2495">
      <c r="A2495" s="190"/>
      <c r="B2495" s="194"/>
      <c r="C2495" s="192"/>
      <c r="D2495" s="191"/>
      <c r="E2495" s="196"/>
    </row>
    <row r="2496">
      <c r="A2496" s="190"/>
      <c r="B2496" s="194"/>
      <c r="C2496" s="192"/>
      <c r="D2496" s="191"/>
      <c r="E2496" s="196"/>
    </row>
    <row r="2497">
      <c r="A2497" s="190"/>
      <c r="B2497" s="194"/>
      <c r="C2497" s="192"/>
      <c r="D2497" s="191"/>
      <c r="E2497" s="196"/>
    </row>
    <row r="2498">
      <c r="A2498" s="190"/>
      <c r="B2498" s="179" t="str">
        <v>Hadi</v>
      </c>
      <c r="C2498" s="192" t="str">
        <v>Meeting Shareholders</v>
      </c>
      <c r="D2498" s="191" t="str">
        <v>Done</v>
      </c>
      <c r="E2498" s="196"/>
    </row>
    <row r="2499">
      <c r="A2499" s="190"/>
      <c r="B2499" s="179"/>
      <c r="C2499" s="192"/>
      <c r="D2499" s="191"/>
      <c r="E2499" s="196"/>
    </row>
    <row r="2500">
      <c r="A2500" s="190"/>
      <c r="B2500" s="179"/>
      <c r="C2500" s="192"/>
      <c r="D2500" s="191"/>
      <c r="E2500" s="196"/>
    </row>
    <row r="2501">
      <c r="A2501" s="190"/>
      <c r="B2501" s="179"/>
      <c r="C2501" s="192"/>
      <c r="D2501" s="191"/>
      <c r="E2501" s="196"/>
    </row>
    <row r="2502">
      <c r="A2502" s="190"/>
      <c r="B2502" s="179"/>
      <c r="C2502" s="192"/>
      <c r="D2502" s="191"/>
      <c r="E2502" s="196"/>
    </row>
    <row r="2503">
      <c r="A2503" s="190">
        <v>46125</v>
      </c>
      <c r="B2503" s="179" t="str">
        <v>Fariz</v>
      </c>
      <c r="C2503" s="192" t="str">
        <v>[INT] Intern Alignment Plan</v>
      </c>
      <c r="D2503" s="191" t="str">
        <v>In Progress</v>
      </c>
      <c r="E2503" s="196"/>
    </row>
    <row r="2504">
      <c r="A2504" s="190"/>
      <c r="B2504" s="179"/>
      <c r="C2504" s="192" t="str">
        <v>[WGA] Kurikulum for Batch 3</v>
      </c>
      <c r="D2504" s="191" t="str">
        <v>In Progress</v>
      </c>
      <c r="E2504" s="196"/>
    </row>
    <row r="2505">
      <c r="A2505" s="190"/>
      <c r="B2505" s="179"/>
      <c r="C2505" s="192"/>
      <c r="D2505" s="191"/>
      <c r="E2505" s="196"/>
    </row>
    <row r="2506">
      <c r="A2506" s="190"/>
      <c r="B2506" s="179"/>
      <c r="C2506" s="192"/>
      <c r="E2506" s="196"/>
    </row>
    <row r="2507">
      <c r="A2507" s="190"/>
      <c r="B2507" s="179"/>
      <c r="C2507" s="192"/>
      <c r="D2507" s="191"/>
      <c r="E2507" s="196"/>
    </row>
    <row r="2508">
      <c r="A2508" s="190"/>
      <c r="B2508" s="191" t="str">
        <v>Dwi</v>
      </c>
      <c r="C2508" s="192" t="str">
        <v>Strategi Marketing Q2 - product personal license</v>
      </c>
      <c r="D2508" s="191" t="str">
        <v>Done</v>
      </c>
      <c r="E2508" s="196"/>
    </row>
    <row r="2509">
      <c r="A2509" s="190"/>
      <c r="B2509" s="191"/>
      <c r="C2509" s="192" t="str">
        <v>Weekly b2c</v>
      </c>
      <c r="D2509" s="191" t="str">
        <v>Done</v>
      </c>
      <c r="E2509" s="196"/>
    </row>
    <row r="2510">
      <c r="A2510" s="190"/>
      <c r="B2510" s="191"/>
      <c r="C2510" s="192"/>
      <c r="D2510" s="191"/>
      <c r="E2510" s="196"/>
    </row>
    <row r="2511">
      <c r="A2511" s="190"/>
      <c r="B2511" s="191"/>
      <c r="C2511" s="192"/>
      <c r="D2511" s="191"/>
      <c r="E2511" s="196"/>
    </row>
    <row r="2512">
      <c r="A2512" s="190"/>
      <c r="B2512" s="191"/>
      <c r="C2512" s="192"/>
      <c r="D2512" s="191"/>
      <c r="E2512" s="196"/>
    </row>
    <row r="2513">
      <c r="A2513" s="190"/>
      <c r="B2513" s="191"/>
      <c r="C2513" s="192"/>
      <c r="D2513" s="191"/>
      <c r="E2513" s="196"/>
    </row>
    <row r="2514">
      <c r="A2514" s="190"/>
      <c r="B2514" s="179" t="str">
        <v>Wina</v>
      </c>
      <c r="C2514" s="192" t="str">
        <v>Daily content (Instagram, WA, Apps)</v>
      </c>
      <c r="D2514" s="191" t="str">
        <v>In Progress</v>
      </c>
      <c r="E2514" s="196"/>
    </row>
    <row r="2515">
      <c r="A2515" s="190"/>
      <c r="B2515" s="179"/>
      <c r="C2515" s="192" t="str">
        <v>rekapn Sales April (bweekly)</v>
      </c>
      <c r="D2515" s="191" t="str">
        <v>In Progress</v>
      </c>
      <c r="E2515" s="196"/>
    </row>
    <row r="2516">
      <c r="A2516" s="190"/>
      <c r="B2516" s="179"/>
      <c r="C2516" s="192" t="str">
        <v>sharing session</v>
      </c>
      <c r="D2516" s="191" t="str">
        <v>In Progress</v>
      </c>
      <c r="E2516" s="196"/>
    </row>
    <row r="2517">
      <c r="A2517" s="190"/>
      <c r="B2517" s="179"/>
      <c r="C2517" s="192" t="str">
        <v>Revisi strategi Q2</v>
      </c>
      <c r="D2517" s="191" t="str">
        <v>In Progress</v>
      </c>
      <c r="E2517" s="196"/>
    </row>
    <row r="2518">
      <c r="A2518" s="190"/>
      <c r="B2518" s="179"/>
      <c r="C2518" s="192"/>
      <c r="D2518" s="191"/>
      <c r="E2518" s="196"/>
    </row>
    <row r="2519">
      <c r="A2519" s="190"/>
      <c r="B2519" s="191" t="str">
        <v>Annisa</v>
      </c>
      <c r="C2519" s="192" t="str">
        <v>sharing session</v>
      </c>
      <c r="D2519" s="191" t="str">
        <v>Done</v>
      </c>
      <c r="E2519" s="196"/>
    </row>
    <row r="2520">
      <c r="A2520" s="190"/>
      <c r="B2520" s="191"/>
      <c r="C2520" s="192" t="str">
        <v>lanjutin konten FURAB</v>
      </c>
      <c r="D2520" s="191" t="str">
        <v>Done</v>
      </c>
      <c r="E2520" s="196"/>
    </row>
    <row r="2521">
      <c r="A2521" s="190"/>
      <c r="B2521" s="191"/>
      <c r="C2521" s="192" t="str">
        <v>template merchandise, misah2in aset biar mudah diprint</v>
      </c>
      <c r="D2521" s="191" t="str">
        <v>Done</v>
      </c>
      <c r="E2521" s="196" t="str" xml:space="preserve">
        <v>lanjut besok untuk notebook </v>
      </c>
    </row>
    <row r="2522">
      <c r="A2522" s="190"/>
      <c r="B2522" s="191"/>
      <c r="C2522" s="192"/>
      <c r="D2522" s="191"/>
      <c r="E2522" s="196"/>
    </row>
    <row r="2523">
      <c r="A2523" s="190"/>
      <c r="B2523" s="191"/>
      <c r="C2523" s="192"/>
      <c r="D2523" s="191"/>
      <c r="E2523" s="196"/>
    </row>
    <row r="2524">
      <c r="A2524" s="190"/>
      <c r="B2524" s="194" t="str">
        <v>Lossa</v>
      </c>
      <c r="C2524" s="192" t="str">
        <v>frd pupuk enterprise</v>
      </c>
      <c r="D2524" s="191" t="str">
        <v>Done</v>
      </c>
      <c r="E2524" s="196"/>
    </row>
    <row r="2525">
      <c r="A2525" s="190"/>
      <c r="B2525" s="194"/>
      <c r="C2525" s="192" t="str">
        <v>frd bluebird toll calculation</v>
      </c>
      <c r="D2525" s="191" t="str">
        <v>Done</v>
      </c>
      <c r="E2525" s="196"/>
    </row>
    <row r="2526">
      <c r="A2526" s="190"/>
      <c r="B2526" s="194"/>
      <c r="C2526" s="192"/>
      <c r="D2526" s="191"/>
      <c r="E2526" s="196"/>
    </row>
    <row r="2527">
      <c r="A2527" s="190"/>
      <c r="B2527" s="194"/>
      <c r="C2527" s="192"/>
      <c r="D2527" s="191"/>
      <c r="E2527" s="196"/>
    </row>
    <row r="2528">
      <c r="A2528" s="190"/>
      <c r="B2528" s="194"/>
      <c r="C2528" s="192"/>
      <c r="D2528" s="191"/>
      <c r="E2528" s="196"/>
    </row>
    <row r="2529">
      <c r="A2529" s="190"/>
      <c r="B2529" s="194" t="str">
        <v>Amel</v>
      </c>
      <c r="C2529" s="192" t="str">
        <v>frd BNI</v>
      </c>
      <c r="D2529" s="191" t="str">
        <v>Done</v>
      </c>
      <c r="E2529" s="196"/>
    </row>
    <row r="2530">
      <c r="A2530" s="190"/>
      <c r="B2530" s="194"/>
      <c r="C2530" s="192" t="str">
        <v>Meeting KAI integrasi API</v>
      </c>
      <c r="D2530" s="191" t="str">
        <v>Done</v>
      </c>
      <c r="E2530" s="195" t="str">
        <v>11:00</v>
      </c>
    </row>
    <row r="2531">
      <c r="A2531" s="190"/>
      <c r="B2531" s="194"/>
      <c r="C2531" s="2" t="str">
        <v>lanjut testing persiapan meeting progress</v>
      </c>
      <c r="D2531" s="191" t="str">
        <v>Done</v>
      </c>
      <c r="E2531" s="195" t="str">
        <v>14:00</v>
      </c>
    </row>
    <row r="2532">
      <c r="A2532" s="190"/>
      <c r="B2532" s="194"/>
      <c r="C2532" s="208" t="str">
        <v>meeting progress w/ tim dsda</v>
      </c>
      <c r="D2532" s="191" t="str">
        <v>In Progress</v>
      </c>
      <c r="E2532" s="195"/>
    </row>
    <row r="2533">
      <c r="A2533" s="190"/>
      <c r="B2533" s="201"/>
      <c r="C2533" s="133"/>
      <c r="D2533" s="197"/>
      <c r="E2533" s="196"/>
    </row>
    <row r="2534">
      <c r="A2534" s="190"/>
      <c r="B2534" s="194" t="str">
        <v>Zhafran</v>
      </c>
      <c r="C2534" s="200" t="str">
        <v>Monitoring Project Data Karlo</v>
      </c>
      <c r="D2534" s="191" t="str">
        <v>In Progress</v>
      </c>
      <c r="E2534" s="196"/>
    </row>
    <row r="2535">
      <c r="A2535" s="190"/>
      <c r="B2535" s="194"/>
      <c r="C2535" s="192" t="str">
        <v>FInalisasi deck AWS</v>
      </c>
      <c r="D2535" s="191" t="str">
        <v>In Progress</v>
      </c>
      <c r="E2535" s="196"/>
    </row>
    <row r="2536">
      <c r="A2536" s="190"/>
      <c r="B2536" s="194"/>
      <c r="C2536" s="192" t="str">
        <v>Meeting Karlo API Services</v>
      </c>
      <c r="D2536" s="191" t="str">
        <v>In Progress</v>
      </c>
      <c r="E2536" s="196"/>
    </row>
    <row r="2537">
      <c r="A2537" s="190"/>
      <c r="B2537" s="194"/>
      <c r="C2537" s="192"/>
      <c r="D2537" s="191"/>
      <c r="E2537" s="196"/>
    </row>
    <row r="2538">
      <c r="A2538" s="190"/>
      <c r="B2538" s="194"/>
      <c r="C2538" s="192"/>
      <c r="D2538" s="191"/>
      <c r="E2538" s="196"/>
    </row>
    <row r="2539">
      <c r="A2539" s="190"/>
      <c r="B2539" s="194"/>
      <c r="C2539" s="192"/>
      <c r="D2539" s="191"/>
      <c r="E2539" s="196"/>
    </row>
    <row r="2540">
      <c r="A2540" s="190"/>
      <c r="B2540" s="194"/>
      <c r="C2540" s="192"/>
      <c r="D2540" s="191"/>
      <c r="E2540" s="196"/>
    </row>
    <row r="2541">
      <c r="A2541" s="190"/>
      <c r="B2541" s="179" t="str">
        <v>Hadi</v>
      </c>
      <c r="C2541" s="192" t="str">
        <v>Monitoring Business</v>
      </c>
      <c r="D2541" s="191" t="str">
        <v>Done</v>
      </c>
      <c r="E2541" s="196"/>
    </row>
    <row r="2542">
      <c r="A2542" s="190"/>
      <c r="B2542" s="179"/>
      <c r="C2542" s="192" t="str">
        <v>Update Bi Dashboard</v>
      </c>
      <c r="D2542" s="191" t="str">
        <v>Done</v>
      </c>
      <c r="E2542" s="196"/>
    </row>
    <row r="2543">
      <c r="A2543" s="190"/>
      <c r="B2543" s="179"/>
      <c r="C2543" s="192" t="str">
        <v>Meeting Finalisasi SOW Karlo</v>
      </c>
      <c r="D2543" s="191" t="str">
        <v>Done</v>
      </c>
      <c r="E2543" s="196"/>
    </row>
    <row r="2544">
      <c r="A2544" s="190"/>
      <c r="B2544" s="179"/>
      <c r="C2544" s="192" t="str">
        <v>Persiapan Q2 Strategy</v>
      </c>
      <c r="D2544" s="191" t="str">
        <v>Done</v>
      </c>
      <c r="E2544" s="196"/>
    </row>
    <row r="2545">
      <c r="A2545" s="190"/>
      <c r="B2545" s="179"/>
      <c r="C2545" s="192"/>
      <c r="D2545" s="191"/>
      <c r="E2545" s="196"/>
    </row>
    <row r="2546">
      <c r="A2546" s="190">
        <v>46126</v>
      </c>
      <c r="B2546" s="179" t="str">
        <v>Fariz</v>
      </c>
      <c r="C2546" s="192"/>
      <c r="D2546" s="191"/>
      <c r="E2546" s="196"/>
    </row>
    <row r="2547">
      <c r="A2547" s="190"/>
      <c r="B2547" s="179"/>
      <c r="C2547" s="192"/>
      <c r="D2547" s="191"/>
      <c r="E2547" s="196"/>
    </row>
    <row r="2548">
      <c r="A2548" s="190"/>
      <c r="B2548" s="179"/>
      <c r="C2548" s="192"/>
      <c r="D2548" s="191"/>
      <c r="E2548" s="196"/>
    </row>
    <row r="2549">
      <c r="A2549" s="190"/>
      <c r="B2549" s="179"/>
      <c r="C2549" s="192"/>
      <c r="D2549" s="191"/>
      <c r="E2549" s="196"/>
    </row>
    <row r="2550">
      <c r="A2550" s="190"/>
      <c r="B2550" s="179"/>
      <c r="C2550" s="192"/>
      <c r="D2550" s="191"/>
      <c r="E2550" s="196"/>
    </row>
    <row r="2551">
      <c r="A2551" s="190"/>
      <c r="B2551" s="191" t="str">
        <v>Dwi</v>
      </c>
      <c r="C2551" s="192" t="str">
        <v>Benerin flow &amp; landing page personal license &amp; enteprise</v>
      </c>
      <c r="D2551" s="191" t="str">
        <v>Done</v>
      </c>
      <c r="E2551" s="196"/>
    </row>
    <row r="2552">
      <c r="A2552" s="190"/>
      <c r="B2552" s="191"/>
      <c r="C2552" s="192" t="str">
        <v>Fiksasi &amp; benerin KPI B2C</v>
      </c>
      <c r="D2552" s="191"/>
      <c r="E2552" s="196"/>
    </row>
    <row r="2553">
      <c r="A2553" s="190"/>
      <c r="B2553" s="191"/>
      <c r="C2553" s="192" t="str">
        <v>Monitor persiapan launching personal license</v>
      </c>
      <c r="D2553" s="191"/>
      <c r="E2553" s="196"/>
    </row>
    <row r="2554">
      <c r="A2554" s="190"/>
      <c r="B2554" s="191"/>
      <c r="C2554" s="192" t="str">
        <v>Report GEO MAPID Assisted</v>
      </c>
      <c r="D2554" s="191"/>
      <c r="E2554" s="196"/>
    </row>
    <row r="2555">
      <c r="A2555" s="190"/>
      <c r="B2555" s="191"/>
      <c r="C2555" s="192"/>
      <c r="D2555" s="191"/>
      <c r="E2555" s="196"/>
    </row>
    <row r="2556">
      <c r="A2556" s="190"/>
      <c r="B2556" s="191"/>
      <c r="C2556" s="192"/>
      <c r="D2556" s="191"/>
      <c r="E2556" s="196"/>
    </row>
    <row r="2557">
      <c r="A2557" s="190"/>
      <c r="B2557" s="179" t="str">
        <v>Wina</v>
      </c>
      <c r="C2557" s="192"/>
      <c r="D2557" s="191"/>
      <c r="E2557" s="196"/>
    </row>
    <row r="2558">
      <c r="A2558" s="190"/>
      <c r="B2558" s="179"/>
      <c r="C2558" s="192"/>
      <c r="D2558" s="191"/>
      <c r="E2558" s="196"/>
    </row>
    <row r="2559">
      <c r="A2559" s="190"/>
      <c r="B2559" s="179"/>
      <c r="C2559" s="192"/>
      <c r="D2559" s="191"/>
      <c r="E2559" s="196"/>
    </row>
    <row r="2560">
      <c r="A2560" s="190"/>
      <c r="B2560" s="179"/>
      <c r="C2560" s="192"/>
      <c r="D2560" s="191"/>
      <c r="E2560" s="196"/>
    </row>
    <row r="2561">
      <c r="A2561" s="190"/>
      <c r="B2561" s="179"/>
      <c r="C2561" s="192"/>
      <c r="D2561" s="191"/>
      <c r="E2561" s="196"/>
    </row>
    <row r="2562">
      <c r="A2562" s="190"/>
      <c r="B2562" s="191" t="str">
        <v>Annisa</v>
      </c>
      <c r="C2562" s="192" t="str">
        <v>Aset Website - personal License- output &amp; Tutorial</v>
      </c>
      <c r="D2562" s="191" t="str">
        <v>Done</v>
      </c>
      <c r="E2562" s="196"/>
    </row>
    <row r="2563">
      <c r="A2563" s="190"/>
      <c r="B2563" s="191"/>
      <c r="C2563" s="192" t="str">
        <v>Brief Personal License + GEO MAPID Assisted 5</v>
      </c>
      <c r="D2563" s="191" t="str">
        <v>In Progress</v>
      </c>
      <c r="E2563" s="196"/>
    </row>
    <row r="2564">
      <c r="A2564" s="190"/>
      <c r="B2564" s="191"/>
      <c r="C2564" s="192" t="str">
        <v>template merchandise, misah2in aset biar mudah diprint - totebag</v>
      </c>
      <c r="D2564" s="191" t="str">
        <v>In Progress</v>
      </c>
      <c r="E2564" s="196"/>
    </row>
    <row r="2565">
      <c r="A2565" s="190"/>
      <c r="B2565" s="191"/>
      <c r="C2565" s="192"/>
      <c r="D2565" s="191"/>
      <c r="E2565" s="196"/>
    </row>
    <row r="2566">
      <c r="A2566" s="190"/>
      <c r="B2566" s="191"/>
      <c r="C2566" s="192"/>
      <c r="D2566" s="191"/>
      <c r="E2566" s="196"/>
    </row>
    <row r="2567">
      <c r="A2567" s="190"/>
      <c r="B2567" s="194" t="str">
        <v>Lossa</v>
      </c>
      <c r="C2567" s="192" t="str">
        <v>feasibility check</v>
      </c>
      <c r="D2567" s="191" t="str">
        <v>Done</v>
      </c>
      <c r="E2567" s="196" t="str">
        <v>13.00</v>
      </c>
    </row>
    <row r="2568">
      <c r="A2568" s="190"/>
      <c r="B2568" s="194"/>
      <c r="C2568" s="192" t="str">
        <v>planning teknis survey rollout nabati</v>
      </c>
      <c r="D2568" s="191" t="str">
        <v>Done</v>
      </c>
      <c r="E2568" s="196" t="str">
        <v>dimeetingin sm tim data besok</v>
      </c>
    </row>
    <row customHeight="true" ht="19" r="2569">
      <c r="A2569" s="190"/>
      <c r="B2569" s="194"/>
      <c r="C2569" s="192" t="str">
        <v>meeting skema pricing nabati w sales</v>
      </c>
      <c r="D2569" s="191" t="str">
        <v>Done</v>
      </c>
      <c r="E2569" s="196" t="str">
        <v>15.00</v>
      </c>
    </row>
    <row r="2570">
      <c r="A2570" s="190"/>
      <c r="B2570" s="194"/>
      <c r="C2570" s="192" t="str">
        <v>other task: sourcecode cilicis, fu pelindo</v>
      </c>
      <c r="D2570" s="191" t="str">
        <v>Done</v>
      </c>
      <c r="E2570" s="196" t="s">
        <v>361</v>
      </c>
    </row>
    <row r="2571">
      <c r="A2571" s="190"/>
      <c r="B2571" s="194"/>
      <c r="C2571" s="192"/>
      <c r="D2571" s="191"/>
      <c r="E2571" s="196"/>
    </row>
    <row r="2572">
      <c r="A2572" s="190"/>
      <c r="B2572" s="194"/>
      <c r="C2572" s="192"/>
      <c r="D2572" s="191"/>
      <c r="E2572" s="196"/>
    </row>
    <row r="2573">
      <c r="A2573" s="190"/>
      <c r="B2573" s="194" t="str">
        <v>Amel</v>
      </c>
      <c r="C2573" s="192" t="str">
        <v>KAK Madiun</v>
      </c>
      <c r="D2573" s="191" t="str">
        <v>In Progress</v>
      </c>
      <c r="E2573" s="196"/>
    </row>
    <row r="2574">
      <c r="A2574" s="190"/>
      <c r="B2574" s="194"/>
      <c r="C2574" s="192" t="str" xml:space="preserve">
        <v>report site selection RK </v>
      </c>
      <c r="D2574" s="191" t="str">
        <v>In Progress</v>
      </c>
      <c r="E2574" s="196"/>
    </row>
    <row r="2575">
      <c r="A2575" s="190"/>
      <c r="B2575" s="194"/>
      <c r="C2575" s="192" t="str">
        <v>[DSDA] brief revisi layout peta genangan</v>
      </c>
      <c r="D2575" s="191" t="str">
        <v>In Progress</v>
      </c>
      <c r="E2575" s="196"/>
    </row>
    <row r="2576">
      <c r="A2576" s="190"/>
      <c r="B2576" s="194"/>
      <c r="C2576" s="2" t="str">
        <v>feasibility check</v>
      </c>
      <c r="D2576" s="191" t="str">
        <v>In Progress</v>
      </c>
      <c r="E2576" s="196"/>
    </row>
    <row r="2577">
      <c r="A2577" s="190"/>
      <c r="B2577" s="194"/>
      <c r="C2577" s="133"/>
      <c r="D2577" s="197"/>
      <c r="E2577" s="196"/>
    </row>
    <row r="2578">
      <c r="A2578" s="190"/>
      <c r="B2578" s="194"/>
      <c r="C2578" s="200"/>
      <c r="D2578" s="191"/>
      <c r="E2578" s="196"/>
    </row>
    <row r="2579">
      <c r="A2579" s="190"/>
      <c r="B2579" s="194" t="str">
        <v>Zhafran</v>
      </c>
      <c r="C2579" s="192"/>
      <c r="D2579" s="191"/>
      <c r="E2579" s="196"/>
    </row>
    <row r="2580">
      <c r="A2580" s="190"/>
      <c r="B2580" s="194"/>
      <c r="C2580" s="192"/>
      <c r="D2580" s="191"/>
      <c r="E2580" s="196"/>
    </row>
    <row r="2581">
      <c r="A2581" s="190"/>
      <c r="B2581" s="194"/>
      <c r="C2581" s="192"/>
      <c r="D2581" s="191"/>
      <c r="E2581" s="196"/>
    </row>
    <row r="2582">
      <c r="A2582" s="190"/>
      <c r="B2582" s="194"/>
      <c r="C2582" s="192"/>
      <c r="D2582" s="191"/>
      <c r="E2582" s="196"/>
    </row>
    <row r="2583">
      <c r="A2583" s="190"/>
      <c r="B2583" s="194"/>
      <c r="C2583" s="192"/>
      <c r="D2583" s="191"/>
      <c r="E2583" s="196"/>
    </row>
    <row r="2584">
      <c r="A2584" s="190"/>
      <c r="B2584" s="194"/>
      <c r="C2584" s="192"/>
      <c r="D2584" s="191"/>
      <c r="E2584" s="196"/>
    </row>
    <row r="2585">
      <c r="A2585" s="190"/>
      <c r="B2585" s="194"/>
      <c r="C2585" s="192"/>
      <c r="D2585" s="191"/>
      <c r="E2585" s="196"/>
    </row>
    <row r="2586">
      <c r="A2586" s="190"/>
      <c r="B2586" s="179" t="str">
        <v>Hadi</v>
      </c>
      <c r="C2586" s="192" t="str">
        <v>Monitoring Business</v>
      </c>
      <c r="D2586" s="191" t="str">
        <v>Done</v>
      </c>
      <c r="E2586" s="196"/>
    </row>
    <row r="2587">
      <c r="A2587" s="190"/>
      <c r="B2587" s="179"/>
      <c r="C2587" s="192" t="str">
        <v>Weekly CRM</v>
      </c>
      <c r="D2587" s="191" t="str">
        <v>Done</v>
      </c>
      <c r="E2587" s="196"/>
    </row>
    <row r="2588">
      <c r="A2588" s="190"/>
      <c r="B2588" s="179"/>
      <c r="C2588" s="192" t="str">
        <v>Feasibility Check Meeting</v>
      </c>
      <c r="D2588" s="191" t="str">
        <v>Done</v>
      </c>
      <c r="E2588" s="196"/>
    </row>
    <row r="2589">
      <c r="A2589" s="190"/>
      <c r="B2589" s="179"/>
      <c r="C2589" s="192"/>
      <c r="D2589" s="191"/>
      <c r="E2589" s="196"/>
    </row>
    <row r="2590">
      <c r="A2590" s="190"/>
      <c r="B2590" s="179"/>
      <c r="C2590" s="192"/>
      <c r="D2590" s="191"/>
      <c r="E2590" s="196"/>
    </row>
    <row r="2591">
      <c r="A2591" s="190">
        <v>46127</v>
      </c>
      <c r="B2591" s="179" t="str">
        <v>Fariz</v>
      </c>
      <c r="C2591" s="192"/>
      <c r="D2591" s="191"/>
      <c r="E2591" s="196"/>
    </row>
    <row r="2592">
      <c r="A2592" s="190"/>
      <c r="B2592" s="179"/>
      <c r="C2592" s="192"/>
      <c r="D2592" s="191"/>
      <c r="E2592" s="196"/>
    </row>
    <row r="2593">
      <c r="A2593" s="190"/>
      <c r="B2593" s="179"/>
      <c r="C2593" s="192"/>
      <c r="D2593" s="191"/>
      <c r="E2593" s="196"/>
    </row>
    <row r="2594">
      <c r="A2594" s="190"/>
      <c r="B2594" s="179"/>
      <c r="C2594" s="192"/>
      <c r="D2594" s="191"/>
      <c r="E2594" s="196"/>
    </row>
    <row r="2595">
      <c r="A2595" s="190"/>
      <c r="B2595" s="179"/>
      <c r="C2595" s="192"/>
      <c r="D2595" s="191"/>
      <c r="E2595" s="196"/>
    </row>
    <row r="2596">
      <c r="A2596" s="190"/>
      <c r="B2596" s="191" t="str">
        <v>Dwi</v>
      </c>
      <c r="C2596" s="192"/>
      <c r="D2596" s="191"/>
      <c r="E2596" s="196"/>
    </row>
    <row r="2597">
      <c r="A2597" s="190"/>
      <c r="B2597" s="191"/>
      <c r="C2597" s="192"/>
      <c r="D2597" s="191"/>
      <c r="E2597" s="196"/>
    </row>
    <row r="2598">
      <c r="A2598" s="190"/>
      <c r="B2598" s="191"/>
      <c r="C2598" s="192"/>
      <c r="D2598" s="191"/>
      <c r="E2598" s="196"/>
    </row>
    <row r="2599">
      <c r="A2599" s="190"/>
      <c r="B2599" s="191"/>
      <c r="C2599" s="192"/>
      <c r="D2599" s="191"/>
      <c r="E2599" s="196"/>
    </row>
    <row r="2600">
      <c r="A2600" s="190"/>
      <c r="B2600" s="191"/>
      <c r="C2600" s="192"/>
      <c r="D2600" s="191"/>
      <c r="E2600" s="196"/>
    </row>
    <row r="2601">
      <c r="A2601" s="190"/>
      <c r="B2601" s="191"/>
      <c r="C2601" s="192"/>
      <c r="D2601" s="191"/>
      <c r="E2601" s="196"/>
    </row>
    <row r="2602">
      <c r="A2602" s="190"/>
      <c r="B2602" s="179" t="str">
        <v>Wina</v>
      </c>
      <c r="C2602" s="192"/>
      <c r="D2602" s="191"/>
      <c r="E2602" s="196"/>
    </row>
    <row r="2603">
      <c r="A2603" s="190"/>
      <c r="B2603" s="179"/>
      <c r="C2603" s="192"/>
      <c r="D2603" s="191"/>
      <c r="E2603" s="196"/>
    </row>
    <row r="2604">
      <c r="A2604" s="190"/>
      <c r="B2604" s="179"/>
      <c r="C2604" s="192"/>
      <c r="D2604" s="191"/>
      <c r="E2604" s="196"/>
    </row>
    <row r="2605">
      <c r="A2605" s="190"/>
      <c r="B2605" s="179"/>
      <c r="C2605" s="192"/>
      <c r="D2605" s="191"/>
      <c r="E2605" s="196"/>
    </row>
    <row r="2606">
      <c r="A2606" s="190"/>
      <c r="B2606" s="179"/>
      <c r="C2606" s="192"/>
      <c r="D2606" s="191"/>
      <c r="E2606" s="196"/>
    </row>
    <row r="2607">
      <c r="A2607" s="190"/>
      <c r="B2607" s="191" t="str">
        <v>Annisa</v>
      </c>
      <c r="C2607" s="192"/>
      <c r="D2607" s="191"/>
      <c r="E2607" s="196"/>
    </row>
    <row r="2608">
      <c r="A2608" s="190"/>
      <c r="B2608" s="191"/>
      <c r="C2608" s="192"/>
      <c r="D2608" s="191"/>
      <c r="E2608" s="196"/>
    </row>
    <row r="2609">
      <c r="A2609" s="190"/>
      <c r="B2609" s="191"/>
      <c r="C2609" s="192"/>
      <c r="D2609" s="191"/>
      <c r="E2609" s="196"/>
    </row>
    <row r="2610">
      <c r="A2610" s="190"/>
      <c r="B2610" s="191"/>
      <c r="C2610" s="192"/>
      <c r="D2610" s="191"/>
      <c r="E2610" s="196"/>
    </row>
    <row r="2611">
      <c r="A2611" s="190"/>
      <c r="B2611" s="191"/>
      <c r="C2611" s="192"/>
      <c r="D2611" s="191"/>
      <c r="E2611" s="196"/>
    </row>
    <row r="2612">
      <c r="A2612" s="190"/>
      <c r="B2612" s="194" t="str">
        <v>Lossa</v>
      </c>
      <c r="C2612" s="192"/>
      <c r="D2612" s="191"/>
      <c r="E2612" s="196" t="str">
        <v>13.00</v>
      </c>
    </row>
    <row r="2613">
      <c r="A2613" s="190"/>
      <c r="B2613" s="194"/>
      <c r="C2613" s="192"/>
      <c r="D2613" s="191"/>
      <c r="E2613" s="196" t="str">
        <v>dimeetingin sm tim data besok</v>
      </c>
    </row>
    <row r="2614">
      <c r="A2614" s="190"/>
      <c r="B2614" s="194"/>
      <c r="C2614" s="192"/>
      <c r="D2614" s="191"/>
      <c r="E2614" s="196" t="str">
        <v>15.00</v>
      </c>
    </row>
    <row r="2615">
      <c r="A2615" s="190"/>
      <c r="B2615" s="194"/>
      <c r="C2615" s="192"/>
      <c r="D2615" s="191"/>
      <c r="E2615" s="196" t="s">
        <v>361</v>
      </c>
    </row>
    <row r="2616">
      <c r="A2616" s="190"/>
      <c r="B2616" s="194"/>
      <c r="C2616" s="192"/>
      <c r="D2616" s="191"/>
      <c r="E2616" s="196"/>
    </row>
    <row r="2617">
      <c r="A2617" s="190"/>
      <c r="B2617" s="194"/>
      <c r="C2617" s="192"/>
      <c r="D2617" s="191"/>
      <c r="E2617" s="196"/>
    </row>
    <row r="2618">
      <c r="A2618" s="190"/>
      <c r="B2618" s="194" t="str">
        <v>Amel</v>
      </c>
      <c r="C2618" s="192"/>
      <c r="D2618" s="191"/>
      <c r="E2618" s="196"/>
    </row>
    <row r="2619">
      <c r="A2619" s="190"/>
      <c r="B2619" s="194"/>
      <c r="C2619" s="192"/>
      <c r="D2619" s="191"/>
      <c r="E2619" s="196"/>
    </row>
    <row r="2620">
      <c r="A2620" s="190"/>
      <c r="B2620" s="194"/>
      <c r="C2620" s="192"/>
      <c r="D2620" s="191"/>
      <c r="E2620" s="196"/>
    </row>
    <row r="2621">
      <c r="A2621" s="190"/>
      <c r="B2621" s="194"/>
      <c r="C2621" s="2"/>
      <c r="D2621" s="191"/>
      <c r="E2621" s="196"/>
    </row>
    <row r="2622">
      <c r="A2622" s="190"/>
      <c r="B2622" s="194"/>
      <c r="C2622" s="133"/>
      <c r="D2622" s="197"/>
      <c r="E2622" s="196"/>
    </row>
    <row r="2623">
      <c r="A2623" s="190"/>
      <c r="B2623" s="194"/>
      <c r="C2623" s="200"/>
      <c r="D2623" s="191"/>
      <c r="E2623" s="196"/>
    </row>
    <row r="2624">
      <c r="A2624" s="190"/>
      <c r="B2624" s="194" t="str">
        <v>Zhafran</v>
      </c>
      <c r="C2624" s="192"/>
      <c r="D2624" s="191"/>
      <c r="E2624" s="196"/>
    </row>
    <row r="2625">
      <c r="A2625" s="190"/>
      <c r="B2625" s="194"/>
      <c r="C2625" s="192"/>
      <c r="D2625" s="191"/>
      <c r="E2625" s="196"/>
    </row>
    <row r="2626">
      <c r="A2626" s="190"/>
      <c r="B2626" s="194"/>
      <c r="C2626" s="192"/>
      <c r="D2626" s="191"/>
      <c r="E2626" s="196"/>
    </row>
    <row r="2627">
      <c r="A2627" s="190"/>
      <c r="B2627" s="194"/>
      <c r="C2627" s="192"/>
      <c r="D2627" s="191"/>
      <c r="E2627" s="196"/>
    </row>
    <row r="2628">
      <c r="A2628" s="190"/>
      <c r="B2628" s="194"/>
      <c r="C2628" s="192"/>
      <c r="D2628" s="191"/>
      <c r="E2628" s="196"/>
    </row>
    <row r="2629">
      <c r="A2629" s="190"/>
      <c r="B2629" s="194"/>
      <c r="C2629" s="192"/>
      <c r="D2629" s="191"/>
      <c r="E2629" s="196"/>
    </row>
    <row r="2630">
      <c r="A2630" s="190"/>
      <c r="B2630" s="194"/>
      <c r="C2630" s="192"/>
      <c r="D2630" s="191"/>
      <c r="E2630" s="196"/>
    </row>
    <row r="2631">
      <c r="A2631" s="190"/>
      <c r="B2631" s="179" t="str">
        <v>Hadi</v>
      </c>
      <c r="C2631" s="192" t="str">
        <v>Monitoring Business</v>
      </c>
      <c r="D2631" s="191" t="str">
        <v>In Progress</v>
      </c>
      <c r="E2631" s="196"/>
    </row>
    <row r="2632">
      <c r="A2632" s="190"/>
      <c r="B2632" s="179"/>
      <c r="C2632" s="192" t="str">
        <v>Meeting Head</v>
      </c>
      <c r="D2632" s="191" t="str">
        <v>In Progress</v>
      </c>
      <c r="E2632" s="196"/>
    </row>
    <row r="2633">
      <c r="A2633" s="190"/>
      <c r="B2633" s="179"/>
      <c r="C2633" s="192"/>
      <c r="D2633" s="191"/>
      <c r="E2633" s="196"/>
    </row>
    <row r="2634">
      <c r="A2634" s="190"/>
      <c r="B2634" s="179"/>
      <c r="C2634" s="192"/>
      <c r="D2634" s="191"/>
      <c r="E2634" s="196"/>
    </row>
    <row r="2635">
      <c r="A2635" s="190"/>
      <c r="B2635" s="179"/>
      <c r="C2635" s="192"/>
      <c r="D2635" s="191"/>
      <c r="E2635" s="196"/>
    </row>
    <row r="2636">
      <c r="A2636" s="190"/>
      <c r="B2636" s="179"/>
      <c r="C2636" s="192"/>
      <c r="D2636" s="191"/>
      <c r="E2636" s="196"/>
    </row>
    <row r="2637">
      <c r="A2637" s="190"/>
      <c r="B2637" s="179"/>
      <c r="C2637" s="192"/>
      <c r="D2637" s="191"/>
      <c r="E2637" s="196"/>
    </row>
    <row r="2638">
      <c r="A2638" s="190"/>
      <c r="B2638" s="179"/>
      <c r="C2638" s="192"/>
      <c r="D2638" s="191"/>
      <c r="E2638" s="196"/>
    </row>
    <row r="2639">
      <c r="A2639" s="190"/>
      <c r="B2639" s="179"/>
      <c r="C2639" s="192"/>
      <c r="D2639" s="191"/>
      <c r="E2639" s="196"/>
    </row>
    <row r="2640">
      <c r="A2640" s="190"/>
      <c r="B2640" s="179"/>
      <c r="C2640" s="192"/>
      <c r="D2640" s="191"/>
      <c r="E2640" s="196"/>
    </row>
    <row r="2641">
      <c r="A2641" s="190"/>
      <c r="B2641" s="179"/>
      <c r="C2641" s="192"/>
      <c r="D2641" s="191"/>
      <c r="E2641" s="196"/>
    </row>
    <row r="2642">
      <c r="A2642" s="190"/>
      <c r="B2642" s="179"/>
      <c r="C2642" s="192"/>
      <c r="D2642" s="191"/>
      <c r="E2642" s="196"/>
    </row>
    <row r="2643">
      <c r="A2643" s="190"/>
      <c r="B2643" s="179"/>
      <c r="C2643" s="192"/>
      <c r="D2643" s="191"/>
      <c r="E2643" s="196"/>
    </row>
    <row r="2644">
      <c r="A2644" s="190"/>
      <c r="B2644" s="179"/>
      <c r="C2644" s="192"/>
      <c r="D2644" s="191"/>
      <c r="E2644" s="196"/>
    </row>
    <row r="2645">
      <c r="A2645" s="190"/>
      <c r="B2645" s="179"/>
      <c r="C2645" s="192"/>
      <c r="D2645" s="191"/>
      <c r="E2645" s="196"/>
    </row>
    <row r="2646">
      <c r="A2646" s="190"/>
      <c r="B2646" s="179"/>
      <c r="C2646" s="192"/>
      <c r="D2646" s="191"/>
      <c r="E2646" s="196"/>
    </row>
    <row r="2647">
      <c r="A2647" s="190"/>
      <c r="B2647" s="179"/>
      <c r="C2647" s="192"/>
      <c r="D2647" s="191"/>
      <c r="E2647" s="196"/>
    </row>
    <row r="2648">
      <c r="A2648" s="190"/>
      <c r="B2648" s="179"/>
      <c r="C2648" s="192"/>
      <c r="D2648" s="191"/>
      <c r="E2648" s="196"/>
    </row>
    <row r="2649">
      <c r="A2649" s="190"/>
      <c r="B2649" s="179"/>
      <c r="C2649" s="192"/>
      <c r="D2649" s="191"/>
      <c r="E2649" s="196"/>
    </row>
    <row r="2650">
      <c r="A2650" s="190"/>
      <c r="B2650" s="179"/>
      <c r="C2650" s="192"/>
      <c r="D2650" s="191"/>
      <c r="E2650" s="196"/>
    </row>
    <row r="2651">
      <c r="A2651" s="190"/>
      <c r="B2651" s="179"/>
      <c r="C2651" s="192"/>
      <c r="D2651" s="191"/>
      <c r="E2651" s="196"/>
    </row>
    <row r="2652">
      <c r="A2652" s="190"/>
      <c r="B2652" s="179"/>
      <c r="C2652" s="192"/>
      <c r="D2652" s="191"/>
      <c r="E2652" s="196"/>
    </row>
    <row r="2653">
      <c r="A2653" s="190"/>
      <c r="B2653" s="179"/>
      <c r="C2653" s="192"/>
      <c r="D2653" s="191"/>
      <c r="E2653" s="196"/>
    </row>
    <row r="2654">
      <c r="A2654" s="190"/>
      <c r="B2654" s="179"/>
      <c r="C2654" s="192"/>
      <c r="D2654" s="191"/>
      <c r="E2654" s="196"/>
    </row>
    <row r="2655">
      <c r="A2655" s="190"/>
      <c r="B2655" s="179"/>
      <c r="C2655" s="192"/>
      <c r="D2655" s="191"/>
      <c r="E2655" s="196"/>
    </row>
    <row r="2656">
      <c r="A2656" s="190"/>
      <c r="B2656" s="179"/>
      <c r="C2656" s="192"/>
      <c r="D2656" s="191"/>
      <c r="E2656" s="196"/>
    </row>
    <row r="2657">
      <c r="A2657" s="190"/>
      <c r="B2657" s="179"/>
      <c r="C2657" s="192"/>
      <c r="D2657" s="191"/>
      <c r="E2657" s="196"/>
    </row>
    <row r="2658">
      <c r="A2658" s="190"/>
      <c r="B2658" s="179"/>
      <c r="C2658" s="192"/>
      <c r="D2658" s="191"/>
      <c r="E2658" s="196"/>
    </row>
    <row r="2659">
      <c r="A2659" s="190"/>
      <c r="B2659" s="179"/>
      <c r="C2659" s="192"/>
      <c r="D2659" s="191"/>
      <c r="E2659" s="196"/>
    </row>
    <row r="2660">
      <c r="A2660" s="190"/>
      <c r="B2660" s="179"/>
      <c r="C2660" s="192"/>
      <c r="D2660" s="191"/>
      <c r="E2660" s="196"/>
    </row>
    <row r="2661">
      <c r="A2661" s="190"/>
      <c r="B2661" s="179"/>
      <c r="C2661" s="192"/>
      <c r="D2661" s="191"/>
      <c r="E2661" s="196"/>
    </row>
    <row r="2662">
      <c r="A2662" s="190"/>
      <c r="B2662" s="179"/>
      <c r="C2662" s="192"/>
      <c r="D2662" s="191"/>
      <c r="E2662" s="196"/>
    </row>
    <row r="2663">
      <c r="A2663" s="190"/>
      <c r="B2663" s="179"/>
      <c r="C2663" s="192"/>
      <c r="D2663" s="191"/>
      <c r="E2663" s="196"/>
    </row>
    <row r="2664">
      <c r="A2664" s="190"/>
      <c r="B2664" s="179"/>
      <c r="C2664" s="192"/>
      <c r="D2664" s="191"/>
      <c r="E2664" s="196"/>
    </row>
    <row r="2665">
      <c r="A2665" s="190"/>
      <c r="B2665" s="179"/>
      <c r="C2665" s="192"/>
      <c r="D2665" s="191"/>
      <c r="E2665" s="196"/>
    </row>
    <row r="2666">
      <c r="A2666" s="190"/>
      <c r="B2666" s="179"/>
      <c r="C2666" s="192"/>
      <c r="D2666" s="191"/>
      <c r="E2666" s="196"/>
    </row>
    <row r="2667">
      <c r="A2667" s="190"/>
      <c r="B2667" s="179"/>
      <c r="C2667" s="192"/>
      <c r="D2667" s="191"/>
      <c r="E2667" s="196"/>
    </row>
    <row r="2668">
      <c r="A2668" s="190"/>
      <c r="B2668" s="179"/>
      <c r="C2668" s="192"/>
      <c r="D2668" s="191"/>
      <c r="E2668" s="196"/>
    </row>
    <row r="2669">
      <c r="A2669" s="190"/>
      <c r="B2669" s="179"/>
      <c r="C2669" s="192"/>
      <c r="D2669" s="191"/>
      <c r="E2669" s="196"/>
    </row>
    <row r="2670">
      <c r="A2670" s="190"/>
      <c r="B2670" s="179"/>
      <c r="C2670" s="192"/>
      <c r="D2670" s="191"/>
      <c r="E2670" s="196"/>
    </row>
    <row r="2671">
      <c r="A2671" s="190"/>
      <c r="B2671" s="179"/>
      <c r="C2671" s="192"/>
      <c r="D2671" s="191"/>
      <c r="E2671" s="196"/>
    </row>
    <row r="2672">
      <c r="A2672" s="190"/>
      <c r="B2672" s="179"/>
      <c r="C2672" s="192"/>
      <c r="D2672" s="191"/>
      <c r="E2672" s="196"/>
    </row>
    <row r="2673">
      <c r="A2673" s="190"/>
      <c r="B2673" s="179"/>
      <c r="C2673" s="192"/>
      <c r="D2673" s="191"/>
      <c r="E2673" s="196"/>
    </row>
    <row r="2674">
      <c r="A2674" s="190"/>
      <c r="B2674" s="179"/>
      <c r="C2674" s="192"/>
      <c r="D2674" s="191"/>
      <c r="E2674" s="196"/>
    </row>
    <row r="2675">
      <c r="A2675" s="190"/>
      <c r="B2675" s="179"/>
      <c r="C2675" s="192"/>
      <c r="D2675" s="191"/>
      <c r="E2675" s="196"/>
    </row>
    <row r="2676">
      <c r="A2676" s="190"/>
      <c r="B2676" s="179"/>
      <c r="C2676" s="192"/>
      <c r="D2676" s="191"/>
      <c r="E2676" s="196"/>
    </row>
    <row r="2677">
      <c r="A2677" s="190"/>
      <c r="B2677" s="179"/>
      <c r="C2677" s="192"/>
      <c r="D2677" s="191"/>
      <c r="E2677" s="196"/>
    </row>
    <row r="2678">
      <c r="A2678" s="190"/>
      <c r="B2678" s="179"/>
      <c r="C2678" s="192"/>
      <c r="D2678" s="191"/>
      <c r="E2678" s="196"/>
    </row>
    <row r="2679">
      <c r="A2679" s="190"/>
      <c r="B2679" s="179"/>
      <c r="C2679" s="192"/>
      <c r="D2679" s="191"/>
      <c r="E2679" s="196"/>
    </row>
    <row r="2680">
      <c r="A2680" s="190"/>
      <c r="B2680" s="179"/>
      <c r="C2680" s="192"/>
      <c r="D2680" s="191"/>
      <c r="E2680" s="196"/>
    </row>
    <row r="2681">
      <c r="A2681" s="190"/>
      <c r="B2681" s="179"/>
      <c r="C2681" s="192"/>
      <c r="D2681" s="191"/>
      <c r="E2681" s="196"/>
    </row>
    <row r="2682">
      <c r="A2682" s="190"/>
      <c r="B2682" s="179"/>
      <c r="C2682" s="192"/>
      <c r="D2682" s="191"/>
      <c r="E2682" s="196"/>
    </row>
    <row r="2683">
      <c r="A2683" s="190"/>
      <c r="B2683" s="179"/>
      <c r="C2683" s="192"/>
      <c r="D2683" s="191"/>
      <c r="E2683" s="196"/>
    </row>
    <row r="2684">
      <c r="A2684" s="190"/>
      <c r="B2684" s="179"/>
      <c r="C2684" s="192"/>
      <c r="D2684" s="191"/>
      <c r="E2684" s="196"/>
    </row>
    <row r="2685">
      <c r="A2685" s="190"/>
      <c r="B2685" s="179"/>
      <c r="C2685" s="192"/>
      <c r="D2685" s="191"/>
      <c r="E2685" s="196"/>
    </row>
    <row r="2686">
      <c r="A2686" s="190"/>
      <c r="B2686" s="179"/>
      <c r="C2686" s="192"/>
      <c r="D2686" s="191"/>
      <c r="E2686" s="196"/>
    </row>
    <row r="2687">
      <c r="A2687" s="190"/>
      <c r="B2687" s="179"/>
      <c r="C2687" s="192"/>
      <c r="D2687" s="191"/>
      <c r="E2687" s="196"/>
    </row>
    <row r="2688">
      <c r="A2688" s="190"/>
      <c r="B2688" s="179"/>
      <c r="C2688" s="192"/>
      <c r="D2688" s="191"/>
      <c r="E2688" s="196"/>
    </row>
    <row r="2689">
      <c r="A2689" s="190"/>
      <c r="B2689" s="179"/>
      <c r="C2689" s="192"/>
      <c r="D2689" s="191"/>
      <c r="E2689" s="196"/>
    </row>
    <row r="2690">
      <c r="A2690" s="190"/>
      <c r="B2690" s="179"/>
      <c r="C2690" s="192"/>
      <c r="D2690" s="191"/>
      <c r="E2690" s="196"/>
    </row>
    <row r="2691">
      <c r="A2691" s="190"/>
      <c r="B2691" s="179"/>
      <c r="C2691" s="192"/>
      <c r="D2691" s="191"/>
      <c r="E2691" s="196"/>
    </row>
    <row r="2692">
      <c r="A2692" s="190"/>
      <c r="B2692" s="179"/>
      <c r="C2692" s="192"/>
      <c r="D2692" s="191"/>
      <c r="E2692" s="196"/>
    </row>
    <row r="2693">
      <c r="A2693" s="190"/>
      <c r="B2693" s="179"/>
      <c r="C2693" s="192"/>
      <c r="D2693" s="191"/>
      <c r="E2693" s="196"/>
    </row>
    <row r="2694">
      <c r="A2694" s="190"/>
      <c r="B2694" s="179"/>
      <c r="C2694" s="192"/>
      <c r="D2694" s="191"/>
      <c r="E2694" s="196"/>
    </row>
    <row r="2695">
      <c r="A2695" s="190"/>
      <c r="B2695" s="179"/>
      <c r="C2695" s="192"/>
      <c r="D2695" s="191"/>
      <c r="E2695" s="196"/>
    </row>
    <row r="2696">
      <c r="A2696" s="190"/>
      <c r="B2696" s="179"/>
      <c r="C2696" s="192"/>
      <c r="D2696" s="191"/>
      <c r="E2696" s="196"/>
    </row>
    <row r="2697">
      <c r="A2697" s="190"/>
      <c r="B2697" s="179"/>
      <c r="C2697" s="192"/>
      <c r="D2697" s="191"/>
      <c r="E2697" s="196"/>
    </row>
    <row r="2698">
      <c r="A2698" s="190"/>
      <c r="B2698" s="179"/>
      <c r="C2698" s="192"/>
      <c r="D2698" s="191"/>
      <c r="E2698" s="196"/>
    </row>
    <row r="2699">
      <c r="A2699" s="190"/>
      <c r="B2699" s="179"/>
      <c r="C2699" s="192"/>
      <c r="D2699" s="191"/>
      <c r="E2699" s="196"/>
    </row>
    <row r="2700">
      <c r="A2700" s="190"/>
      <c r="B2700" s="179"/>
      <c r="C2700" s="192"/>
      <c r="D2700" s="191"/>
      <c r="E2700" s="196"/>
    </row>
    <row r="2701">
      <c r="A2701" s="190"/>
      <c r="B2701" s="179"/>
      <c r="C2701" s="192"/>
      <c r="D2701" s="191"/>
      <c r="E2701" s="196"/>
    </row>
    <row r="2702">
      <c r="A2702" s="190"/>
      <c r="B2702" s="179"/>
      <c r="C2702" s="192"/>
      <c r="D2702" s="191"/>
      <c r="E2702" s="196"/>
    </row>
    <row r="2703">
      <c r="A2703" s="190"/>
      <c r="B2703" s="179"/>
      <c r="C2703" s="192"/>
      <c r="D2703" s="191"/>
      <c r="E2703" s="196"/>
    </row>
    <row r="2704">
      <c r="A2704" s="190"/>
      <c r="B2704" s="179"/>
      <c r="C2704" s="192"/>
      <c r="D2704" s="191"/>
      <c r="E2704" s="196"/>
    </row>
    <row r="2705">
      <c r="A2705" s="190"/>
      <c r="B2705" s="179"/>
      <c r="C2705" s="192"/>
      <c r="D2705" s="191"/>
      <c r="E2705" s="196"/>
    </row>
    <row r="2706">
      <c r="A2706" s="190"/>
      <c r="B2706" s="179"/>
      <c r="C2706" s="192"/>
      <c r="D2706" s="191"/>
      <c r="E2706" s="196"/>
    </row>
    <row r="2707">
      <c r="A2707" s="190"/>
      <c r="B2707" s="179"/>
      <c r="C2707" s="192"/>
      <c r="D2707" s="191"/>
      <c r="E2707" s="196"/>
    </row>
    <row r="2708">
      <c r="A2708" s="190"/>
      <c r="B2708" s="179"/>
      <c r="C2708" s="192"/>
      <c r="D2708" s="191"/>
      <c r="E2708" s="196"/>
    </row>
    <row r="2709">
      <c r="A2709" s="190"/>
      <c r="B2709" s="179"/>
      <c r="C2709" s="192"/>
      <c r="D2709" s="191"/>
      <c r="E2709" s="196"/>
    </row>
    <row r="2710">
      <c r="A2710" s="190"/>
      <c r="B2710" s="179"/>
      <c r="C2710" s="192"/>
      <c r="D2710" s="191"/>
      <c r="E2710" s="196"/>
    </row>
    <row r="2711">
      <c r="A2711" s="190"/>
      <c r="B2711" s="179"/>
      <c r="C2711" s="192"/>
      <c r="D2711" s="191"/>
      <c r="E2711" s="196"/>
    </row>
    <row r="2712">
      <c r="A2712" s="190"/>
      <c r="B2712" s="179"/>
      <c r="C2712" s="192"/>
      <c r="D2712" s="191"/>
      <c r="E2712" s="196"/>
    </row>
    <row r="2713">
      <c r="A2713" s="190"/>
      <c r="B2713" s="179"/>
      <c r="C2713" s="192"/>
      <c r="D2713" s="191"/>
      <c r="E2713" s="196"/>
    </row>
    <row r="2714">
      <c r="A2714" s="190"/>
      <c r="B2714" s="179"/>
      <c r="C2714" s="192"/>
      <c r="D2714" s="191"/>
      <c r="E2714" s="196"/>
    </row>
    <row r="2715">
      <c r="A2715" s="190"/>
      <c r="B2715" s="179"/>
      <c r="C2715" s="192"/>
      <c r="D2715" s="191"/>
      <c r="E2715" s="196"/>
    </row>
    <row r="2716">
      <c r="A2716" s="190"/>
      <c r="B2716" s="179"/>
      <c r="C2716" s="192"/>
      <c r="D2716" s="191"/>
      <c r="E2716" s="196"/>
    </row>
    <row r="2717">
      <c r="A2717" s="190"/>
      <c r="B2717" s="179"/>
      <c r="C2717" s="192"/>
      <c r="D2717" s="191"/>
      <c r="E2717" s="196"/>
    </row>
    <row r="2718">
      <c r="A2718" s="190"/>
      <c r="B2718" s="179"/>
      <c r="C2718" s="192"/>
      <c r="D2718" s="191"/>
      <c r="E2718" s="196"/>
    </row>
    <row r="2719">
      <c r="A2719" s="190"/>
      <c r="B2719" s="179"/>
      <c r="C2719" s="192"/>
      <c r="D2719" s="191"/>
      <c r="E2719" s="196"/>
    </row>
    <row r="2720">
      <c r="A2720" s="190"/>
      <c r="B2720" s="179"/>
      <c r="C2720" s="192"/>
      <c r="D2720" s="191"/>
      <c r="E2720" s="196"/>
    </row>
    <row r="2721">
      <c r="A2721" s="190"/>
      <c r="B2721" s="179"/>
      <c r="C2721" s="192"/>
      <c r="D2721" s="191"/>
      <c r="E2721" s="196"/>
    </row>
    <row r="2722">
      <c r="A2722" s="190"/>
      <c r="B2722" s="179"/>
      <c r="C2722" s="192"/>
      <c r="D2722" s="191"/>
      <c r="E2722" s="196"/>
    </row>
    <row r="2723">
      <c r="A2723" s="190"/>
      <c r="B2723" s="179"/>
      <c r="C2723" s="192"/>
      <c r="D2723" s="191"/>
      <c r="E2723" s="196"/>
    </row>
    <row r="2724">
      <c r="A2724" s="190"/>
      <c r="B2724" s="179"/>
      <c r="C2724" s="192"/>
      <c r="D2724" s="191"/>
      <c r="E2724" s="196"/>
    </row>
    <row r="2725">
      <c r="A2725" s="190"/>
      <c r="B2725" s="179"/>
      <c r="C2725" s="192"/>
      <c r="D2725" s="191"/>
      <c r="E2725" s="196"/>
    </row>
    <row r="2726">
      <c r="A2726" s="190"/>
      <c r="B2726" s="179"/>
      <c r="C2726" s="192"/>
      <c r="D2726" s="191"/>
      <c r="E2726" s="196"/>
    </row>
    <row r="2727">
      <c r="A2727" s="190"/>
      <c r="B2727" s="179"/>
      <c r="C2727" s="192"/>
      <c r="D2727" s="191"/>
      <c r="E2727" s="196"/>
    </row>
    <row r="2728">
      <c r="A2728" s="190"/>
      <c r="B2728" s="179"/>
      <c r="C2728" s="192"/>
      <c r="D2728" s="191"/>
      <c r="E2728" s="196"/>
    </row>
    <row r="2729">
      <c r="A2729" s="190"/>
      <c r="B2729" s="179"/>
      <c r="C2729" s="192"/>
      <c r="D2729" s="191"/>
      <c r="E2729" s="196"/>
    </row>
    <row r="2730">
      <c r="A2730" s="190"/>
      <c r="B2730" s="179"/>
      <c r="C2730" s="192"/>
      <c r="D2730" s="191"/>
      <c r="E2730" s="196"/>
    </row>
    <row r="2731">
      <c r="A2731" s="190"/>
      <c r="B2731" s="179"/>
      <c r="C2731" s="192"/>
      <c r="D2731" s="191"/>
      <c r="E2731" s="196"/>
    </row>
    <row r="2732">
      <c r="A2732" s="190"/>
      <c r="B2732" s="179"/>
      <c r="C2732" s="192"/>
      <c r="D2732" s="191"/>
      <c r="E2732" s="196"/>
    </row>
    <row r="2733">
      <c r="A2733" s="190"/>
      <c r="B2733" s="179"/>
      <c r="C2733" s="192"/>
      <c r="D2733" s="191"/>
      <c r="E2733" s="196"/>
    </row>
    <row r="2734">
      <c r="A2734" s="190"/>
      <c r="B2734" s="179"/>
      <c r="C2734" s="192"/>
      <c r="D2734" s="191"/>
      <c r="E2734" s="196"/>
    </row>
    <row r="2735">
      <c r="A2735" s="190"/>
      <c r="B2735" s="179"/>
      <c r="C2735" s="192"/>
      <c r="D2735" s="191"/>
      <c r="E2735" s="196"/>
    </row>
    <row r="2736">
      <c r="A2736" s="190"/>
      <c r="B2736" s="179"/>
      <c r="C2736" s="192"/>
      <c r="D2736" s="191"/>
      <c r="E2736" s="196"/>
    </row>
    <row r="2737">
      <c r="A2737" s="190"/>
      <c r="B2737" s="179"/>
      <c r="C2737" s="192"/>
      <c r="D2737" s="191"/>
      <c r="E2737" s="196"/>
    </row>
    <row r="2738">
      <c r="A2738" s="190"/>
      <c r="B2738" s="179"/>
      <c r="C2738" s="192"/>
      <c r="D2738" s="191"/>
      <c r="E2738" s="196"/>
    </row>
    <row r="2739">
      <c r="A2739" s="190"/>
      <c r="B2739" s="179"/>
      <c r="C2739" s="192"/>
      <c r="D2739" s="191"/>
      <c r="E2739" s="196"/>
    </row>
    <row r="2740">
      <c r="A2740" s="190"/>
      <c r="B2740" s="179"/>
      <c r="C2740" s="192"/>
      <c r="D2740" s="191"/>
      <c r="E2740" s="196"/>
    </row>
    <row r="2741">
      <c r="A2741" s="190"/>
      <c r="B2741" s="179"/>
      <c r="C2741" s="192"/>
      <c r="D2741" s="191"/>
      <c r="E2741" s="196"/>
    </row>
    <row r="2742">
      <c r="A2742" s="190"/>
      <c r="B2742" s="179"/>
      <c r="C2742" s="192"/>
      <c r="D2742" s="191"/>
      <c r="E2742" s="196"/>
    </row>
    <row r="2743">
      <c r="A2743" s="190"/>
      <c r="B2743" s="179"/>
      <c r="C2743" s="192"/>
      <c r="D2743" s="191"/>
      <c r="E2743" s="196"/>
    </row>
    <row r="2744">
      <c r="A2744" s="190"/>
      <c r="B2744" s="179"/>
      <c r="C2744" s="192"/>
      <c r="D2744" s="191"/>
      <c r="E2744" s="196"/>
    </row>
    <row r="2745">
      <c r="A2745" s="190"/>
      <c r="B2745" s="179"/>
      <c r="C2745" s="192"/>
      <c r="D2745" s="191"/>
      <c r="E2745" s="196"/>
    </row>
    <row r="2746">
      <c r="A2746" s="190"/>
      <c r="B2746" s="179"/>
      <c r="C2746" s="192"/>
      <c r="D2746" s="191"/>
      <c r="E2746" s="196"/>
    </row>
    <row r="2747">
      <c r="A2747" s="190"/>
      <c r="B2747" s="179"/>
      <c r="C2747" s="192"/>
      <c r="D2747" s="191"/>
      <c r="E2747" s="196"/>
    </row>
    <row r="2748">
      <c r="A2748" s="190"/>
      <c r="B2748" s="179"/>
      <c r="C2748" s="192"/>
      <c r="D2748" s="191"/>
      <c r="E2748" s="196"/>
    </row>
    <row r="2749">
      <c r="A2749" s="190"/>
      <c r="B2749" s="179"/>
      <c r="C2749" s="192"/>
      <c r="D2749" s="191"/>
      <c r="E2749" s="196"/>
    </row>
    <row r="2750">
      <c r="A2750" s="190"/>
      <c r="B2750" s="179"/>
      <c r="C2750" s="192"/>
      <c r="D2750" s="191"/>
      <c r="E2750" s="196"/>
    </row>
    <row r="2751">
      <c r="A2751" s="190"/>
      <c r="B2751" s="179"/>
      <c r="C2751" s="192"/>
      <c r="D2751" s="191"/>
      <c r="E2751" s="196"/>
    </row>
    <row r="2752">
      <c r="A2752" s="190"/>
      <c r="B2752" s="179"/>
      <c r="C2752" s="192"/>
      <c r="D2752" s="191"/>
      <c r="E2752" s="196"/>
    </row>
    <row r="2753">
      <c r="A2753" s="190"/>
      <c r="B2753" s="179"/>
      <c r="C2753" s="192"/>
      <c r="D2753" s="191"/>
      <c r="E2753" s="196"/>
    </row>
    <row r="2754">
      <c r="A2754" s="190"/>
      <c r="B2754" s="179"/>
      <c r="C2754" s="192"/>
      <c r="D2754" s="191"/>
      <c r="E2754" s="196"/>
    </row>
    <row r="2755">
      <c r="A2755" s="190"/>
      <c r="B2755" s="179"/>
      <c r="C2755" s="192"/>
      <c r="D2755" s="191"/>
      <c r="E2755" s="196"/>
    </row>
    <row r="2756">
      <c r="A2756" s="190"/>
      <c r="B2756" s="179"/>
      <c r="C2756" s="192"/>
      <c r="D2756" s="191"/>
      <c r="E2756" s="196"/>
    </row>
    <row r="2757">
      <c r="A2757" s="190"/>
      <c r="B2757" s="179"/>
      <c r="C2757" s="192"/>
      <c r="D2757" s="191"/>
      <c r="E2757" s="196"/>
    </row>
    <row r="2758">
      <c r="A2758" s="190"/>
      <c r="B2758" s="179"/>
      <c r="C2758" s="192"/>
      <c r="D2758" s="191"/>
      <c r="E2758" s="196"/>
    </row>
    <row r="2759">
      <c r="A2759" s="190"/>
      <c r="B2759" s="179"/>
      <c r="C2759" s="192"/>
      <c r="D2759" s="191"/>
      <c r="E2759" s="196"/>
    </row>
    <row r="2760">
      <c r="A2760" s="190"/>
      <c r="B2760" s="179"/>
      <c r="C2760" s="192"/>
      <c r="D2760" s="191"/>
      <c r="E2760" s="196"/>
    </row>
    <row r="2761">
      <c r="A2761" s="190"/>
      <c r="B2761" s="179"/>
      <c r="C2761" s="192"/>
      <c r="D2761" s="191"/>
      <c r="E2761" s="196"/>
    </row>
    <row r="2762">
      <c r="A2762" s="190"/>
      <c r="B2762" s="179"/>
      <c r="C2762" s="192"/>
      <c r="D2762" s="191"/>
      <c r="E2762" s="196"/>
    </row>
    <row r="2763">
      <c r="A2763" s="190"/>
      <c r="B2763" s="179"/>
      <c r="C2763" s="192"/>
      <c r="D2763" s="191"/>
      <c r="E2763" s="196"/>
    </row>
    <row r="2764">
      <c r="A2764" s="190"/>
      <c r="B2764" s="179"/>
      <c r="C2764" s="192"/>
      <c r="D2764" s="191"/>
      <c r="E2764" s="196"/>
    </row>
    <row r="2765">
      <c r="A2765" s="190"/>
      <c r="B2765" s="179"/>
      <c r="C2765" s="192"/>
      <c r="D2765" s="191"/>
      <c r="E2765" s="196"/>
    </row>
    <row r="2766">
      <c r="A2766" s="190"/>
      <c r="B2766" s="179"/>
      <c r="C2766" s="192"/>
      <c r="D2766" s="191"/>
      <c r="E2766" s="196"/>
    </row>
    <row r="2767">
      <c r="A2767" s="190"/>
      <c r="B2767" s="179"/>
      <c r="C2767" s="192"/>
      <c r="D2767" s="191"/>
      <c r="E2767" s="196"/>
    </row>
    <row r="2768">
      <c r="A2768" s="190"/>
      <c r="B2768" s="179"/>
      <c r="C2768" s="192"/>
      <c r="D2768" s="191"/>
      <c r="E2768" s="196"/>
    </row>
    <row r="2769">
      <c r="A2769" s="190"/>
      <c r="B2769" s="179"/>
      <c r="C2769" s="192"/>
      <c r="D2769" s="191"/>
      <c r="E2769" s="196"/>
    </row>
    <row r="2770">
      <c r="A2770" s="190"/>
      <c r="B2770" s="179"/>
      <c r="C2770" s="192"/>
      <c r="D2770" s="191"/>
      <c r="E2770" s="196"/>
    </row>
    <row r="2771">
      <c r="A2771" s="190"/>
      <c r="B2771" s="179"/>
      <c r="C2771" s="192"/>
      <c r="D2771" s="191"/>
      <c r="E2771" s="196"/>
    </row>
    <row r="2772">
      <c r="A2772" s="190"/>
      <c r="B2772" s="179"/>
      <c r="C2772" s="192"/>
      <c r="D2772" s="191"/>
      <c r="E2772" s="196"/>
    </row>
    <row r="2773">
      <c r="A2773" s="190"/>
      <c r="B2773" s="179"/>
      <c r="C2773" s="192"/>
      <c r="D2773" s="191"/>
      <c r="E2773" s="196"/>
    </row>
    <row r="2774">
      <c r="A2774" s="190"/>
      <c r="B2774" s="179"/>
      <c r="C2774" s="192"/>
      <c r="D2774" s="191"/>
      <c r="E2774" s="196"/>
    </row>
    <row r="2775">
      <c r="A2775" s="190"/>
      <c r="B2775" s="179"/>
      <c r="C2775" s="192"/>
      <c r="D2775" s="191"/>
      <c r="E2775" s="196"/>
    </row>
    <row r="2776">
      <c r="A2776" s="190"/>
      <c r="B2776" s="179"/>
      <c r="C2776" s="192"/>
      <c r="D2776" s="191"/>
      <c r="E2776" s="196"/>
    </row>
    <row r="2777">
      <c r="A2777" s="190"/>
      <c r="B2777" s="179"/>
      <c r="C2777" s="192"/>
      <c r="D2777" s="191"/>
      <c r="E2777" s="196"/>
    </row>
    <row r="2778">
      <c r="A2778" s="190"/>
      <c r="B2778" s="179"/>
      <c r="C2778" s="192"/>
      <c r="D2778" s="191"/>
      <c r="E2778" s="196"/>
    </row>
    <row r="2779">
      <c r="A2779" s="190"/>
      <c r="B2779" s="179"/>
      <c r="C2779" s="192"/>
      <c r="D2779" s="191"/>
      <c r="E2779" s="196"/>
    </row>
    <row r="2780">
      <c r="A2780" s="190"/>
      <c r="B2780" s="179"/>
      <c r="C2780" s="192"/>
      <c r="D2780" s="191"/>
      <c r="E2780" s="196"/>
    </row>
    <row r="2781">
      <c r="A2781" s="190"/>
      <c r="B2781" s="179"/>
      <c r="C2781" s="192"/>
      <c r="D2781" s="191"/>
      <c r="E2781" s="196"/>
    </row>
    <row r="2782">
      <c r="A2782" s="190"/>
      <c r="B2782" s="179"/>
      <c r="C2782" s="192"/>
      <c r="D2782" s="191"/>
      <c r="E2782" s="196"/>
    </row>
    <row r="2783">
      <c r="A2783" s="190"/>
      <c r="B2783" s="179"/>
      <c r="C2783" s="192"/>
      <c r="D2783" s="191"/>
      <c r="E2783" s="196"/>
    </row>
    <row r="2784">
      <c r="A2784" s="190"/>
      <c r="B2784" s="179"/>
      <c r="C2784" s="192"/>
      <c r="D2784" s="191"/>
      <c r="E2784" s="196"/>
    </row>
    <row r="2785">
      <c r="A2785" s="190"/>
      <c r="B2785" s="179"/>
      <c r="C2785" s="192"/>
      <c r="D2785" s="191"/>
      <c r="E2785" s="196"/>
    </row>
    <row r="2786">
      <c r="A2786" s="190"/>
      <c r="B2786" s="179"/>
      <c r="C2786" s="192"/>
      <c r="D2786" s="191"/>
      <c r="E2786" s="196"/>
    </row>
    <row r="2787">
      <c r="A2787" s="190"/>
      <c r="B2787" s="179"/>
      <c r="C2787" s="192"/>
      <c r="D2787" s="191"/>
      <c r="E2787" s="196"/>
    </row>
    <row r="2788">
      <c r="A2788" s="190"/>
      <c r="B2788" s="179"/>
      <c r="C2788" s="192"/>
      <c r="D2788" s="191"/>
      <c r="E2788" s="196"/>
    </row>
    <row r="2789">
      <c r="A2789" s="190"/>
      <c r="B2789" s="179"/>
      <c r="C2789" s="192"/>
      <c r="D2789" s="191"/>
      <c r="E2789" s="196"/>
    </row>
    <row r="2790">
      <c r="A2790" s="190"/>
      <c r="B2790" s="179"/>
      <c r="C2790" s="192"/>
      <c r="D2790" s="191"/>
      <c r="E2790" s="196"/>
    </row>
  </sheetData>
  <mergeCells>
    <mergeCell ref="B2562:B2566"/>
    <mergeCell ref="B2557:B2561"/>
    <mergeCell ref="B2551:B2556"/>
    <mergeCell ref="B2546:B2550"/>
    <mergeCell ref="B2524:B2528"/>
    <mergeCell ref="A2503:A2545"/>
    <mergeCell ref="B2529:B2533"/>
    <mergeCell ref="B2534:B2540"/>
    <mergeCell ref="B2541:B2545"/>
    <mergeCell ref="B2429:B2433"/>
    <mergeCell ref="B2424:B2428"/>
    <mergeCell ref="B2418:B2423"/>
    <mergeCell ref="B2413:B2417"/>
    <mergeCell ref="B2408:B2412"/>
    <mergeCell ref="B2401:B2407"/>
    <mergeCell ref="B2395:B2400"/>
    <mergeCell ref="B2389:B2394"/>
    <mergeCell ref="B2384:B2388"/>
    <mergeCell ref="B2379:B2383"/>
    <mergeCell ref="B2373:B2378"/>
    <mergeCell ref="A2368:A2412"/>
    <mergeCell ref="B2368:B2372"/>
    <mergeCell ref="B2363:B2367"/>
    <mergeCell ref="B2356:B2362"/>
    <mergeCell ref="B2350:B2355"/>
    <mergeCell ref="B2344:B2349"/>
    <mergeCell ref="B2339:B2343"/>
    <mergeCell ref="B2334:B2338"/>
    <mergeCell ref="B2328:B2333"/>
    <mergeCell ref="A2323:A2367"/>
    <mergeCell ref="B2323:B2327"/>
    <mergeCell ref="B2318:B2322"/>
    <mergeCell ref="B2311:B2317"/>
    <mergeCell ref="B2305:B2310"/>
    <mergeCell ref="B2299:B2304"/>
    <mergeCell ref="B2294:B2298"/>
    <mergeCell ref="B2289:B2293"/>
    <mergeCell ref="B2283:B2288"/>
    <mergeCell ref="A2278:A2322"/>
    <mergeCell ref="B2278:B2282"/>
    <mergeCell ref="A2233:A2277"/>
    <mergeCell ref="B2260:B2265"/>
    <mergeCell ref="B2266:B2272"/>
    <mergeCell ref="B2273:B2277"/>
    <mergeCell ref="B2254:B2259"/>
    <mergeCell ref="B2249:B2253"/>
    <mergeCell ref="B2244:B2248"/>
    <mergeCell ref="B2238:B2243"/>
    <mergeCell ref="B2233:B2237"/>
    <mergeCell ref="A2189:A2232"/>
    <mergeCell ref="B2210:B2215"/>
    <mergeCell ref="B2216:B2220"/>
    <mergeCell ref="B2221:B2227"/>
    <mergeCell ref="B2228:B2232"/>
    <mergeCell ref="B2205:B2209"/>
    <mergeCell ref="B2200:B2204"/>
    <mergeCell ref="B2194:B2199"/>
    <mergeCell ref="B2189:B2193"/>
    <mergeCell ref="B2184:B2188"/>
    <mergeCell ref="B2177:B2183"/>
    <mergeCell ref="B2172:B2176"/>
    <mergeCell ref="B2167:B2171"/>
    <mergeCell ref="B2162:B2166"/>
    <mergeCell ref="B2157:B2161"/>
    <mergeCell ref="B2151:B2156"/>
    <mergeCell ref="A2146:A2188"/>
    <mergeCell ref="B2146:B2150"/>
    <mergeCell ref="A2102:A2145"/>
    <mergeCell ref="B2123:B2128"/>
    <mergeCell ref="B2129:B2133"/>
    <mergeCell ref="B2134:B2140"/>
    <mergeCell ref="B2141:B2145"/>
    <mergeCell ref="B2118:B2122"/>
    <mergeCell ref="B2113:B2117"/>
    <mergeCell ref="B2107:B2112"/>
    <mergeCell ref="B2102:B2106"/>
    <mergeCell ref="B2097:B2101"/>
    <mergeCell ref="B2090:B2096"/>
    <mergeCell ref="B2085:B2089"/>
    <mergeCell ref="B2080:B2084"/>
    <mergeCell ref="B2075:B2079"/>
    <mergeCell ref="B2070:B2074"/>
    <mergeCell ref="B2064:B2069"/>
    <mergeCell ref="A2059:A2101"/>
    <mergeCell ref="B2059:B2063"/>
    <mergeCell ref="B2037:B2041"/>
    <mergeCell ref="A2016:A2058"/>
    <mergeCell ref="B2042:B2046"/>
    <mergeCell ref="B2047:B2053"/>
    <mergeCell ref="B2054:B2058"/>
    <mergeCell ref="E1995:E1996"/>
    <mergeCell ref="B2011:B2015"/>
    <mergeCell ref="B2004:B2010"/>
    <mergeCell ref="B1999:B2003"/>
    <mergeCell ref="B1995:B1998"/>
    <mergeCell ref="B1990:B1994"/>
    <mergeCell ref="B1985:B1989"/>
    <mergeCell ref="B1979:B1984"/>
    <mergeCell ref="B1974:B1978"/>
    <mergeCell ref="A1974:A2015"/>
    <mergeCell ref="B1969:B1973"/>
    <mergeCell ref="B1962:B1968"/>
    <mergeCell ref="B1957:B1961"/>
    <mergeCell ref="B1952:B1956"/>
    <mergeCell ref="B1947:B1951"/>
    <mergeCell ref="B1942:B1946"/>
    <mergeCell ref="B1936:B1941"/>
    <mergeCell ref="B1931:B1935"/>
    <mergeCell ref="A1931:A1973"/>
    <mergeCell ref="B1926:B1930"/>
    <mergeCell ref="B1919:B1925"/>
    <mergeCell ref="B1914:B1918"/>
    <mergeCell ref="B1909:B1913"/>
    <mergeCell ref="B1904:B1908"/>
    <mergeCell ref="B1899:B1903"/>
    <mergeCell ref="B1893:B1898"/>
    <mergeCell ref="B1888:B1892"/>
    <mergeCell ref="A1888:A1930"/>
    <mergeCell ref="B1822:B1827"/>
    <mergeCell ref="A1801:A1844"/>
    <mergeCell ref="B1828:B1832"/>
    <mergeCell ref="B1833:B1839"/>
    <mergeCell ref="B1840:B1844"/>
    <mergeCell ref="B1845:B1849"/>
    <mergeCell ref="B1850:B1855"/>
    <mergeCell ref="B1856:B1860"/>
    <mergeCell ref="B1861:B1865"/>
    <mergeCell ref="B1866:B1870"/>
    <mergeCell ref="B1871:B1875"/>
    <mergeCell ref="B1876:B1882"/>
    <mergeCell ref="B1883:B1887"/>
    <mergeCell ref="A1845:A1887"/>
    <mergeCell ref="B1817:B1821"/>
    <mergeCell ref="B1812:B1816"/>
    <mergeCell ref="B1806:B1811"/>
    <mergeCell ref="B1801:B1805"/>
    <mergeCell ref="B1796:B1800"/>
    <mergeCell ref="B1789:B1795"/>
    <mergeCell ref="B1784:B1788"/>
    <mergeCell ref="B1779:B1783"/>
    <mergeCell ref="B1774:B1778"/>
    <mergeCell ref="B1769:B1773"/>
    <mergeCell ref="B1763:B1768"/>
    <mergeCell ref="A1758:A1800"/>
    <mergeCell ref="B1758:B1762"/>
    <mergeCell ref="B1753:B1757"/>
    <mergeCell ref="B1746:B1752"/>
    <mergeCell ref="B1741:B1745"/>
    <mergeCell ref="B1736:B1740"/>
    <mergeCell ref="B1731:B1735"/>
    <mergeCell ref="B1726:B1730"/>
    <mergeCell ref="B1720:B1725"/>
    <mergeCell ref="A1715:A1757"/>
    <mergeCell ref="B1715:B1719"/>
    <mergeCell ref="A1672:A1714"/>
    <mergeCell ref="B1703:B1709"/>
    <mergeCell ref="B1710:B1714"/>
    <mergeCell ref="C1593:C1598"/>
    <mergeCell ref="B1646:B1650"/>
    <mergeCell ref="B1641:B1645"/>
    <mergeCell ref="B1635:B1640"/>
    <mergeCell ref="B1630:B1634"/>
    <mergeCell ref="B1609:B1613"/>
    <mergeCell ref="B1625:B1629"/>
    <mergeCell ref="B1619:B1624"/>
    <mergeCell ref="B1614:B1618"/>
    <mergeCell ref="A1588:A1629"/>
    <mergeCell ref="B1563:B1567"/>
    <mergeCell ref="B1558:B1562"/>
    <mergeCell ref="B1552:B1557"/>
    <mergeCell ref="B1547:B1551"/>
    <mergeCell ref="A1505:A1546"/>
    <mergeCell ref="B1532:B1536"/>
    <mergeCell ref="B1537:B1541"/>
    <mergeCell ref="B1542:B1546"/>
    <mergeCell ref="B1526:B1531"/>
    <mergeCell ref="B1521:B1525"/>
    <mergeCell ref="B1516:B1520"/>
    <mergeCell ref="B1510:B1515"/>
    <mergeCell ref="B1505:B1509"/>
    <mergeCell ref="B1500:B1504"/>
    <mergeCell ref="B1495:B1499"/>
    <mergeCell ref="B1490:B1494"/>
    <mergeCell ref="B1485:B1489"/>
    <mergeCell ref="B1480:B1484"/>
    <mergeCell ref="B1475:B1479"/>
    <mergeCell ref="B1469:B1474"/>
    <mergeCell ref="A1464:A1504"/>
    <mergeCell ref="B1464:B1468"/>
    <mergeCell ref="B1459:B1463"/>
    <mergeCell ref="B1454:B1458"/>
    <mergeCell ref="B1449:B1453"/>
    <mergeCell ref="B1444:B1448"/>
    <mergeCell ref="B1439:B1443"/>
    <mergeCell ref="B1434:B1438"/>
    <mergeCell ref="B1428:B1433"/>
    <mergeCell ref="A1423:A1463"/>
    <mergeCell ref="B1423:B1427"/>
    <mergeCell ref="B1403:B1407"/>
    <mergeCell ref="A1382:A1422"/>
    <mergeCell ref="B1408:B1412"/>
    <mergeCell ref="B1413:B1417"/>
    <mergeCell ref="B1418:B1422"/>
    <mergeCell ref="B1398:B1402"/>
    <mergeCell ref="B1393:B1397"/>
    <mergeCell ref="B1387:B1392"/>
    <mergeCell ref="B1382:B1386"/>
    <mergeCell ref="B645:B649"/>
    <mergeCell ref="B640:B644"/>
    <mergeCell ref="B635:B639"/>
    <mergeCell ref="B630:B634"/>
    <mergeCell ref="B625:B629"/>
    <mergeCell ref="B621:B624"/>
    <mergeCell ref="B615:B620"/>
    <mergeCell ref="B610:B614"/>
    <mergeCell ref="A610:A649"/>
    <mergeCell ref="B545:B549"/>
    <mergeCell ref="B541:B544"/>
    <mergeCell ref="B535:B540"/>
    <mergeCell ref="B530:B534"/>
    <mergeCell ref="B520:B524"/>
    <mergeCell ref="A491:A529"/>
    <mergeCell ref="B525:B529"/>
    <mergeCell ref="B515:B519"/>
    <mergeCell ref="B511:B514"/>
    <mergeCell ref="B506:B510"/>
    <mergeCell ref="B502:B505"/>
    <mergeCell ref="B496:B501"/>
    <mergeCell ref="B491:B495"/>
    <mergeCell ref="B486:B490"/>
    <mergeCell ref="B481:B485"/>
    <mergeCell ref="B476:B480"/>
    <mergeCell ref="B471:B475"/>
    <mergeCell ref="B467:B470"/>
    <mergeCell ref="B461:B466"/>
    <mergeCell ref="B456:B460"/>
    <mergeCell ref="A456:A490"/>
    <mergeCell ref="B451:B455"/>
    <mergeCell ref="B446:B450"/>
    <mergeCell ref="B441:B445"/>
    <mergeCell ref="B436:B440"/>
    <mergeCell ref="B432:B435"/>
    <mergeCell ref="B426:B431"/>
    <mergeCell ref="B421:B425"/>
    <mergeCell ref="A421:A455"/>
    <mergeCell ref="B268:B272"/>
    <mergeCell ref="B277:B281"/>
    <mergeCell ref="B273:B276"/>
    <mergeCell ref="B248:B252"/>
    <mergeCell ref="B253:B258"/>
    <mergeCell ref="B259:B262"/>
    <mergeCell ref="B263:B267"/>
    <mergeCell ref="A248:A281"/>
    <mergeCell ref="B198:B202"/>
    <mergeCell ref="A214:A247"/>
    <mergeCell ref="B234:B237"/>
    <mergeCell ref="B243:B247"/>
    <mergeCell ref="B238:B242"/>
    <mergeCell ref="B214:B218"/>
    <mergeCell ref="B219:B224"/>
    <mergeCell ref="B225:B228"/>
    <mergeCell ref="B229:B233"/>
    <mergeCell ref="A178:A213"/>
    <mergeCell ref="B203:B208"/>
    <mergeCell ref="B209:B213"/>
    <mergeCell ref="B193:B197"/>
    <mergeCell ref="B189:B192"/>
    <mergeCell ref="B183:B188"/>
    <mergeCell ref="B178:B182"/>
    <mergeCell ref="B66:B70"/>
    <mergeCell ref="B62:B65"/>
    <mergeCell ref="B57:B61"/>
    <mergeCell ref="B52:B56"/>
    <mergeCell ref="B48:B51"/>
    <mergeCell ref="B42:B47"/>
    <mergeCell ref="B37:B41"/>
    <mergeCell ref="A37:A70"/>
    <mergeCell ref="B32:B36"/>
    <mergeCell ref="B27:B31"/>
    <mergeCell ref="B22:B26"/>
    <mergeCell ref="B17:B21"/>
    <mergeCell ref="B13:B16"/>
    <mergeCell ref="B7:B12"/>
    <mergeCell ref="B2:B6"/>
    <mergeCell ref="A2:A36"/>
    <mergeCell ref="B91:B95"/>
    <mergeCell ref="B86:B90"/>
    <mergeCell ref="B82:B85"/>
    <mergeCell ref="B76:B81"/>
    <mergeCell ref="B71:B75"/>
    <mergeCell ref="A71:A106"/>
    <mergeCell ref="B102:B106"/>
    <mergeCell ref="B96:B101"/>
    <mergeCell ref="B122:B126"/>
    <mergeCell ref="B118:B121"/>
    <mergeCell ref="B112:B117"/>
    <mergeCell ref="B107:B111"/>
    <mergeCell ref="A107:A142"/>
    <mergeCell ref="B127:B131"/>
    <mergeCell ref="B138:B142"/>
    <mergeCell ref="B132:B137"/>
    <mergeCell ref="A143:A177"/>
    <mergeCell ref="B158:B162"/>
    <mergeCell ref="B154:B157"/>
    <mergeCell ref="B148:B153"/>
    <mergeCell ref="B143:B147"/>
    <mergeCell ref="B163:B166"/>
    <mergeCell ref="B173:B177"/>
    <mergeCell ref="B167:B172"/>
    <mergeCell ref="B302:B306"/>
    <mergeCell ref="B282:B286"/>
    <mergeCell ref="B287:B292"/>
    <mergeCell ref="B293:B296"/>
    <mergeCell ref="B297:B301"/>
    <mergeCell ref="B312:B316"/>
    <mergeCell ref="A282:A316"/>
    <mergeCell ref="B307:B311"/>
    <mergeCell ref="B317:B321"/>
    <mergeCell ref="B322:B327"/>
    <mergeCell ref="B328:B331"/>
    <mergeCell ref="B332:B336"/>
    <mergeCell ref="B337:B341"/>
    <mergeCell ref="A317:A351"/>
    <mergeCell ref="B347:B351"/>
    <mergeCell ref="B342:B346"/>
    <mergeCell ref="B352:B356"/>
    <mergeCell ref="B357:B362"/>
    <mergeCell ref="B363:B366"/>
    <mergeCell ref="B367:B371"/>
    <mergeCell ref="A352:A385"/>
    <mergeCell ref="B372:B375"/>
    <mergeCell ref="B376:B380"/>
    <mergeCell ref="B381:B385"/>
    <mergeCell ref="B386:B390"/>
    <mergeCell ref="A386:A420"/>
    <mergeCell ref="B391:B396"/>
    <mergeCell ref="B397:B400"/>
    <mergeCell ref="B401:B405"/>
    <mergeCell ref="B406:B410"/>
    <mergeCell ref="B411:B415"/>
    <mergeCell ref="B416:B420"/>
    <mergeCell ref="A530:A569"/>
    <mergeCell ref="B555:B559"/>
    <mergeCell ref="B560:B564"/>
    <mergeCell ref="B565:B569"/>
    <mergeCell ref="B550:B554"/>
    <mergeCell ref="B570:B574"/>
    <mergeCell ref="B575:B580"/>
    <mergeCell ref="B581:B584"/>
    <mergeCell ref="B585:B589"/>
    <mergeCell ref="A570:A609"/>
    <mergeCell ref="B595:B599"/>
    <mergeCell ref="B600:B604"/>
    <mergeCell ref="B605:B609"/>
    <mergeCell ref="B590:B594"/>
    <mergeCell ref="A650:A689"/>
    <mergeCell ref="B650:B654"/>
    <mergeCell ref="B655:B660"/>
    <mergeCell ref="B661:B664"/>
    <mergeCell ref="B665:B669"/>
    <mergeCell ref="B670:B674"/>
    <mergeCell ref="B675:B679"/>
    <mergeCell ref="B680:B684"/>
    <mergeCell ref="B685:B689"/>
    <mergeCell ref="A690:A729"/>
    <mergeCell ref="B690:B694"/>
    <mergeCell ref="B695:B700"/>
    <mergeCell ref="B701:B704"/>
    <mergeCell ref="B705:B709"/>
    <mergeCell ref="B710:B714"/>
    <mergeCell ref="B715:B719"/>
    <mergeCell ref="B720:B724"/>
    <mergeCell ref="B725:B729"/>
    <mergeCell ref="B730:B734"/>
    <mergeCell ref="B735:B740"/>
    <mergeCell ref="B766:B770"/>
    <mergeCell ref="B761:B765"/>
    <mergeCell ref="B756:B760"/>
    <mergeCell ref="B751:B755"/>
    <mergeCell ref="B746:B750"/>
    <mergeCell ref="A730:A770"/>
    <mergeCell ref="B741:B745"/>
    <mergeCell ref="B771:B775"/>
    <mergeCell ref="A771:A811"/>
    <mergeCell ref="B776:B781"/>
    <mergeCell ref="B782:B786"/>
    <mergeCell ref="B787:B791"/>
    <mergeCell ref="B792:B796"/>
    <mergeCell ref="B797:B801"/>
    <mergeCell ref="B802:B806"/>
    <mergeCell ref="B807:B811"/>
    <mergeCell ref="B812:B816"/>
    <mergeCell ref="A812:A852"/>
    <mergeCell ref="B817:B822"/>
    <mergeCell ref="B823:B827"/>
    <mergeCell ref="B828:B832"/>
    <mergeCell ref="B833:B837"/>
    <mergeCell ref="B838:B842"/>
    <mergeCell ref="B843:B847"/>
    <mergeCell ref="B848:B852"/>
    <mergeCell ref="B853:B857"/>
    <mergeCell ref="A853:A893"/>
    <mergeCell ref="B858:B863"/>
    <mergeCell ref="B864:B868"/>
    <mergeCell ref="B869:B873"/>
    <mergeCell ref="B874:B878"/>
    <mergeCell ref="B879:B883"/>
    <mergeCell ref="B884:B888"/>
    <mergeCell ref="B889:B893"/>
    <mergeCell ref="B894:B898"/>
    <mergeCell ref="A894:A934"/>
    <mergeCell ref="B899:B904"/>
    <mergeCell ref="B905:B909"/>
    <mergeCell ref="B910:B914"/>
    <mergeCell ref="B915:B919"/>
    <mergeCell ref="B920:B924"/>
    <mergeCell ref="B925:B929"/>
    <mergeCell ref="B930:B934"/>
    <mergeCell ref="B935:B939"/>
    <mergeCell ref="A935:A975"/>
    <mergeCell ref="B940:B945"/>
    <mergeCell ref="B946:B950"/>
    <mergeCell ref="B951:B955"/>
    <mergeCell ref="B956:B960"/>
    <mergeCell ref="B961:B965"/>
    <mergeCell ref="B966:B970"/>
    <mergeCell ref="B971:B975"/>
    <mergeCell ref="B976:B980"/>
    <mergeCell ref="A976:A1016"/>
    <mergeCell ref="B981:B986"/>
    <mergeCell ref="B987:B991"/>
    <mergeCell ref="B992:B996"/>
    <mergeCell ref="B997:B1001"/>
    <mergeCell ref="B1002:B1006"/>
    <mergeCell ref="B1007:B1011"/>
    <mergeCell ref="B1012:B1016"/>
    <mergeCell ref="B1017:B1021"/>
    <mergeCell ref="A1017:A1057"/>
    <mergeCell ref="B1022:B1027"/>
    <mergeCell ref="B1028:B1032"/>
    <mergeCell ref="B1033:B1037"/>
    <mergeCell ref="B1038:B1042"/>
    <mergeCell ref="B1043:B1047"/>
    <mergeCell ref="B1048:B1052"/>
    <mergeCell ref="B1053:B1057"/>
    <mergeCell ref="B1058:B1062"/>
    <mergeCell ref="A1058:A1098"/>
    <mergeCell ref="B1063:B1068"/>
    <mergeCell ref="B1069:B1073"/>
    <mergeCell ref="B1074:B1078"/>
    <mergeCell ref="B1079:B1083"/>
    <mergeCell ref="B1084:B1088"/>
    <mergeCell ref="B1089:B1093"/>
    <mergeCell ref="B1094:B1098"/>
    <mergeCell ref="B1099:B1103"/>
    <mergeCell ref="A1099:A1139"/>
    <mergeCell ref="B1104:B1109"/>
    <mergeCell ref="B1110:B1114"/>
    <mergeCell ref="B1115:B1119"/>
    <mergeCell ref="B1120:B1124"/>
    <mergeCell ref="B1125:B1129"/>
    <mergeCell ref="B1130:B1134"/>
    <mergeCell ref="B1135:B1139"/>
    <mergeCell ref="A1140:A1180"/>
    <mergeCell ref="B1140:B1144"/>
    <mergeCell ref="B1145:B1150"/>
    <mergeCell ref="B1151:B1155"/>
    <mergeCell ref="B1156:B1160"/>
    <mergeCell ref="B1161:B1165"/>
    <mergeCell ref="B1166:B1170"/>
    <mergeCell ref="B1171:B1175"/>
    <mergeCell ref="B1176:B1180"/>
    <mergeCell ref="A1181:A1220"/>
    <mergeCell ref="B1181:B1185"/>
    <mergeCell ref="B1186:B1191"/>
    <mergeCell ref="B1192:B1196"/>
    <mergeCell ref="B1197:B1201"/>
    <mergeCell ref="B1202:B1205"/>
    <mergeCell ref="B1206:B1210"/>
    <mergeCell ref="B1211:B1215"/>
    <mergeCell ref="B1216:B1220"/>
    <mergeCell ref="A1221:A1261"/>
    <mergeCell ref="B1221:B1225"/>
    <mergeCell ref="B1226:B1231"/>
    <mergeCell ref="B1232:B1236"/>
    <mergeCell ref="B1237:B1241"/>
    <mergeCell ref="B1242:B1246"/>
    <mergeCell ref="B1247:B1251"/>
    <mergeCell ref="B1252:B1256"/>
    <mergeCell ref="B1257:B1261"/>
    <mergeCell ref="A1262:A1301"/>
    <mergeCell ref="B1262:B1266"/>
    <mergeCell ref="B1267:B1272"/>
    <mergeCell ref="B1273:B1277"/>
    <mergeCell ref="B1278:B1282"/>
    <mergeCell ref="B1283:B1286"/>
    <mergeCell ref="B1287:B1291"/>
    <mergeCell ref="B1292:B1296"/>
    <mergeCell ref="B1297:B1301"/>
    <mergeCell ref="B1302:B1306"/>
    <mergeCell ref="B1307:B1312"/>
    <mergeCell ref="B1313:B1317"/>
    <mergeCell ref="B1318:B1322"/>
    <mergeCell ref="B1377:B1381"/>
    <mergeCell ref="B1372:B1376"/>
    <mergeCell ref="B1367:B1371"/>
    <mergeCell ref="B1363:B1366"/>
    <mergeCell ref="B1358:B1362"/>
    <mergeCell ref="B1353:B1357"/>
    <mergeCell ref="B1347:B1352"/>
    <mergeCell ref="B1342:B1346"/>
    <mergeCell ref="A1342:A1381"/>
    <mergeCell ref="B1337:B1341"/>
    <mergeCell ref="B1332:B1336"/>
    <mergeCell ref="B1327:B1331"/>
    <mergeCell ref="B1323:B1326"/>
    <mergeCell ref="A1302:A1341"/>
    <mergeCell ref="B1568:B1572"/>
    <mergeCell ref="B1573:B1576"/>
    <mergeCell ref="A1547:A1587"/>
    <mergeCell ref="B1577:B1582"/>
    <mergeCell ref="B1583:B1587"/>
    <mergeCell ref="B1588:B1592"/>
    <mergeCell ref="B1593:B1598"/>
    <mergeCell ref="B1599:B1603"/>
    <mergeCell ref="B1604:B1608"/>
    <mergeCell ref="A1630:A1671"/>
    <mergeCell ref="B1656:B1660"/>
    <mergeCell ref="B1661:B1666"/>
    <mergeCell ref="B1667:B1671"/>
    <mergeCell ref="B1651:B1655"/>
    <mergeCell ref="B1672:B1676"/>
    <mergeCell ref="B1677:B1682"/>
    <mergeCell ref="B1683:B1687"/>
    <mergeCell ref="B1688:B1692"/>
    <mergeCell ref="B1698:B1702"/>
    <mergeCell ref="B1693:B1697"/>
    <mergeCell ref="B2016:B2020"/>
    <mergeCell ref="B2021:B2026"/>
    <mergeCell ref="B2027:B2031"/>
    <mergeCell ref="B2032:B2036"/>
    <mergeCell ref="B2434:B2439"/>
    <mergeCell ref="A2413:A2457"/>
    <mergeCell ref="B2440:B2445"/>
    <mergeCell ref="B2446:B2452"/>
    <mergeCell ref="B2453:B2457"/>
    <mergeCell ref="B2458:B2462"/>
    <mergeCell ref="B2463:B2468"/>
    <mergeCell ref="B2469:B2473"/>
    <mergeCell ref="B2474:B2478"/>
    <mergeCell ref="B2519:B2523"/>
    <mergeCell ref="B2514:B2518"/>
    <mergeCell ref="B2508:B2513"/>
    <mergeCell ref="B2503:B2507"/>
    <mergeCell ref="B2498:B2502"/>
    <mergeCell ref="B2491:B2497"/>
    <mergeCell ref="B2485:B2490"/>
    <mergeCell ref="B2479:B2484"/>
    <mergeCell ref="A2458:A2502"/>
    <mergeCell ref="A2546:A2590"/>
    <mergeCell ref="B2567:B2572"/>
    <mergeCell ref="B2573:B2578"/>
    <mergeCell ref="B2579:B2585"/>
    <mergeCell ref="B2586:B2590"/>
    <mergeCell ref="B2591:B2595"/>
    <mergeCell ref="A2591:A2635"/>
    <mergeCell ref="B2596:B2601"/>
    <mergeCell ref="B2602:B2606"/>
    <mergeCell ref="B2607:B2611"/>
    <mergeCell ref="B2612:B2617"/>
    <mergeCell ref="B2618:B2623"/>
    <mergeCell ref="B2624:B2630"/>
    <mergeCell ref="B2631:B2635"/>
  </mergeCells>
  <dataValidations count="1">
    <dataValidation allowBlank="true" errorStyle="stop" showErrorMessage="true" sqref="D2:D100 D102:D179 D181:D215 D217:D249 D251:D533 D535:D573 D575:D613 D615:D1465 D1467:D1506 D1508:D1545 D1547:D1629 D1635:D1671 D1677:D1792 D1794:D1801 D1803:D1936 D1938:D2505 D2507:D2790" type="list">
      <formula1>"Done,In Progress"</formula1>
    </dataValidation>
  </dataValidations>
  <hyperlinks>
    <hyperlink ref="E319" display="https://www.canva.com/design/DAG-00fH3MQ/G5cb7XtEwbGFJkY0wJdsvw/edit?continue_in_browser=true" r:id="rId1"/>
    <hyperlink ref="E615" display="3.0 Website Revamp" r:id="rId2"/>
    <hyperlink ref="E1163" display="Pricing Pilot Project.xlsx" r:id="rId3"/>
    <hyperlink ref="E37" display="Concept Course Lab for 2026" r:id="rId4"/>
    <hyperlink ref="E309" display="https://mapid25-my.sharepoint.com/:w:/g/personal/business_mapid25_onmicrosoft_com/IQAquYyFJvmTT6VYZWQRkjBEAc8W98hElTlz9aolblWYZHo?e=D4Xfba" r:id="rId5"/>
    <hyperlink ref="E753" display="Benchmarking Survei Komoditas Pupuk Indonesia" r:id="rId6"/>
    <hyperlink ref="E2481" display="https://mapid25-my.sharepoint.com/:x:/g/personal/business_mapid25_onmicrosoft_com/IQAqo87LtjxtRK6sYxH3JB6yAYVaw8LHIv5AfHO_49CZiv8?e=K3uprA" r:id="rId7"/>
    <hyperlink ref="E1121" display="https://mapid25-my.sharepoint.com/:x:/g/personal/business_mapid25_onmicrosoft_com/IQDw_B9lxJLJR43tzZ1F8fWGAS-2sXIaipb58dHvkix_Pdk?e=gdc9VK" r:id="rId8"/>
    <hyperlink ref="E1909" display="https://mapid25-my.sharepoint.com/:w:/g/personal/business_mapid25_onmicrosoft_com/IQBxHyldQ5BCQZ2KSrr2AKSaAcRKLt-DjhB8iXYPIrRU8uM?e=mj55AP" r:id="rId9"/>
    <hyperlink ref="E304" display="https://mapid25-my.sharepoint.com/:w:/g/personal/business_mapid25_onmicrosoft_com/IQAquYyFJvmTT6VYZWQRkjBEAc8W98hElTlz9aolblWYZHo?e=D4Xfba" r:id="rId10"/>
    <hyperlink ref="C599" display="kattegat.ai" r:id="rId11"/>
    <hyperlink ref="E1890" display="Dedicated Engineer Pool Strategy 2026" r:id="rId12"/>
    <hyperlink ref="E1728" display="https://www.canva.com/design/DAHDm4J1ZLs/plZ6i4u9qVrOcKIUKzJCMg/edit" r:id="rId13"/>
    <hyperlink ref="E1884" display="MAPID F&amp;B EXPANSION DAY" r:id="rId14"/>
    <hyperlink ref="E1298" display="https://mapidbusinessteam.netlify.app/" r:id="rId15"/>
    <hyperlink ref="E1477" display="[BRIEF] Thematic Class - Maret 2026" r:id="rId16"/>
    <hyperlink ref="E364" display="MAPID Community - Januari 2026" r:id="rId17"/>
    <hyperlink ref="E503" display="PLAYBOOK COMMUNITY MANAGER - MAPID APPS" r:id="rId18"/>
    <hyperlink ref="E2570" display="mapid.co.id/SourceCodeBBWSCilicis" r:id="rId19"/>
    <hyperlink ref="E434" display="Dokumen Konsep Film Dokumenter" r:id="rId20"/>
    <hyperlink ref="E542" display="[Brief] MAPID Academy - ADS MAB15" r:id="rId21"/>
    <hyperlink ref="E1280" display="https://share.google/xPDGEBCt6ycEqmJV4" r:id="rId22"/>
    <hyperlink ref="E1276" display="REKAP MAPID Sales - Februari 2026" r:id="rId23"/>
    <hyperlink ref="E198" display="https://mapid25-my.sharepoint.com/:w:/g/personal/business_mapid25_onmicrosoft_com/IQAtMvFV52iGS4mycNxtbFwBAfccWPgwcJNElhDAWmX8ukU?e=g1b7iK" r:id="rId24"/>
    <hyperlink ref="E283" display="Concept Course Lab for 2026 - Q1" r:id="rId25"/>
    <hyperlink ref="E407" display="https://mapid25-my.sharepoint.com/:x:/r/personal/business_mapid25_onmicrosoft_com/_layouts/15/Doc.aspx?sourcedoc=%7BD641DA54-D041-449C-9E4C-95DE72655618%7D&amp;file=NABATI%20CALCULATION.xlsx&amp;action=default&amp;mobileredirect=true" r:id="rId26"/>
    <hyperlink ref="E1084" display="https://mapid25-my.sharepoint.com/:w:/g/personal/business_mapid25_onmicrosoft_com/IQBzWkXMTlSITbUFGmbSXry-AV_fkiyn-s63zZR1rDvGwno?e=SS8KqP" r:id="rId27"/>
    <hyperlink ref="E69" display="TOR (Terms of Reference) – MAPID WebGIS Competition 2026" r:id="rId28"/>
    <hyperlink ref="E2082" display="https://mapid25-my.sharepoint.com/:b:/g/personal/business_mapid25_onmicrosoft_com/IQBGKDDY_JjcS7sZz78RyjRQAdaNSh-rt4WBrDXq_mMpxig?e=nXicWM" r:id="rId29"/>
    <hyperlink ref="E2210" display="Konteks Issue Dashboard Nabati 01042026" r:id="rId30"/>
    <hyperlink ref="E200" display="https://www.canva.com/design/DAG-MSNUGlM/pBeY0YV0x3Bzsq4JpvZUrg/edit" r:id="rId31"/>
    <hyperlink ref="E1086" display="https://mapid25-my.sharepoint.com/:w:/g/personal/business_mapid25_onmicrosoft_com/IQBzWkXMTlSITbUFGmbSXry-AV_fkiyn-s63zZR1rDvGwno?e=ULKc7r" r:id="rId32"/>
    <hyperlink ref="E317" display="Pengajuan Biaya Tambahan Operasional MAPID Academy WebGIS Development Batch 2" r:id="rId33"/>
    <hyperlink ref="E2440" display="https://mapid25-my.sharepoint.com/:w:/g/personal/business_mapid25_onmicrosoft_com/IQCn731vnV5CSqiJ36d0QyrfAT72QvLAk7XuZ05snvBpDfs?e=O2yExq" r:id="rId34"/>
    <hyperlink ref="E1995" display="https://mapid25-my.sharepoint.com/:w:/g/personal/business_mapid25_onmicrosoft_com/IQA6mgb9Qe5JSL4PFyKJpBPVAS8-THXubul5-dfu7iJSjoU?e=o6aDT2" r:id="rId35"/>
    <hyperlink ref="E1325" display="https://smartwater.mapid.io/" r:id="rId36"/>
    <hyperlink ref="E1079" display="https://mapid25-my.sharepoint.com/:x:/g/personal/business_mapid25_onmicrosoft_com/IQCwiNGfE_UkSrUAGY5JVVI9AezBu0RckT-Eww3Sv6wb2ok?e=b2l5Gp" r:id="rId37"/>
    <hyperlink ref="E2028" display="https://www.canva.com/design/DAHFApucXlo/7IPvQt140gViixtowk0xjg/edit?utm_content=DAHFApucXlo&amp;utm_campaign=designshare&amp;utm_medium=link2&amp;utm_source=sharebutton" r:id="rId38"/>
    <hyperlink ref="E107" display="Corporate Training Product Strategy for Q1 2026" r:id="rId39"/>
    <hyperlink ref="C946" display="https://csgh0664zke9.sg.larksuite.com/docx/IfvgdFaM8o3WRuxlHSYluRNugke)" r:id="rId40"/>
    <hyperlink ref="E71" display="Corporate Training Product Strategy for Q1 2026" r:id="rId41"/>
    <hyperlink ref="E502" display="SOCMED EDITORIAL PLAN (2026)" r:id="rId42"/>
    <hyperlink ref="E337" display="https://mapid25-my.sharepoint.com/:w:/g/personal/business_mapid25_onmicrosoft_com/IQAZIEG04xhkRbEGw9LP59eRAeZZN3t8pZY9Raiv4cDM3Bs?e=JTIpg3" r:id="rId43"/>
    <hyperlink ref="E2216" display="https://mapid25-my.sharepoint.com/:w:/g/personal/business_mapid25_onmicrosoft_com/IQDtsZyqCA6tS6ax51FmXl1kAThBqd-TlPS5Bld-RerFWZE?e=2QBjeE" r:id="rId44"/>
    <hyperlink ref="E2615" display="mapid.co.id/SourceCodeBBWSCilicis" r:id="rId45"/>
    <hyperlink ref="E4" display="Concept Course Lab for 2026" r:id="rId46"/>
    <hyperlink ref="E1910" display="https://mapid25-my.sharepoint.com/:x:/g/personal/business_mapid25_onmicrosoft_com/IQBfqY9O4iJCTJPuQZr_wtWkAWSuETrh4ORfmLA_9MDl-IM?e=OFCgb9" r:id="rId47"/>
    <hyperlink ref="E38" display="Corporate Training Product Strategy for Q1 2026" r:id="rId48"/>
  </hyperlinks>
  <legacyDrawing r:id="rId49"/>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6" ySplit="5"/>
    </sheetView>
  </sheetViews>
  <sheetFormatPr defaultColWidth="14" defaultRowHeight="19"/>
  <cols>
    <col collapsed="false" customWidth="true" hidden="false" max="1" min="1" style="0" width="6"/>
    <col collapsed="false" customWidth="true" hidden="false" max="2" min="2" style="0" width="14"/>
    <col collapsed="false" customWidth="true" hidden="false" max="3" min="3" style="0" width="11"/>
    <col collapsed="false" customWidth="true" hidden="true" max="3" min="3" style="0" width="11"/>
    <col collapsed="false" customWidth="true" hidden="false" max="4" min="4" style="0" width="14"/>
    <col collapsed="false" customWidth="true" hidden="false" max="5" min="5" style="0" width="13"/>
    <col collapsed="false" customWidth="true" hidden="true" max="5" min="5" style="0" width="13"/>
    <col collapsed="false" customWidth="true" hidden="false" max="6" min="6" style="0" width="19"/>
    <col collapsed="false" customWidth="true" hidden="false" max="7" min="7" style="0" width="14"/>
    <col collapsed="false" customWidth="true" hidden="false" max="9" min="9" style="0" width="20"/>
    <col collapsed="false" customWidth="true" hidden="true" max="9" min="9" style="0" width="20"/>
    <col collapsed="false" customWidth="true" hidden="false" max="10" min="10" style="0" width="41"/>
    <col collapsed="false" customWidth="true" hidden="false" max="11" min="11" style="0" width="14"/>
    <col collapsed="false" customWidth="true" hidden="false" max="12" min="12" style="0" width="20"/>
    <col collapsed="false" customWidth="true" hidden="false" max="13" min="13" style="0" width="16"/>
    <col collapsed="false" customWidth="true" hidden="false" max="14" min="14" style="0" width="25"/>
    <col collapsed="false" customWidth="true" hidden="false" max="18" min="18" style="0" width="27"/>
  </cols>
  <sheetData>
    <row customHeight="true" ht="19" r="1">
      <c r="A1" s="257"/>
      <c r="B1" s="254" t="str">
        <v>Summary Sumber</v>
      </c>
      <c r="C1" s="255"/>
      <c r="D1" s="255"/>
      <c r="E1" s="256"/>
      <c r="F1" s="256" t="str">
        <v>Calendly</v>
      </c>
      <c r="G1" s="256">
        <f>COUNTIF(L:L,"Calendly")</f>
      </c>
      <c r="I1" s="14" t="str">
        <v>W2 Jan</v>
      </c>
      <c r="J1" s="14">
        <v>4</v>
      </c>
    </row>
    <row customHeight="true" ht="19" r="2">
      <c r="A2" s="257"/>
      <c r="B2" s="254"/>
      <c r="C2" s="255"/>
      <c r="D2" s="255"/>
      <c r="E2" s="256"/>
      <c r="F2" s="256" t="str">
        <v>WA Bisnis</v>
      </c>
      <c r="G2" s="256">
        <f>COUNTIF(L:L,"wa Bisnis")</f>
      </c>
      <c r="I2" s="14" t="str">
        <v>W2 Feb</v>
      </c>
      <c r="J2" s="14">
        <v>10</v>
      </c>
      <c r="K2" s="14">
        <v>5</v>
      </c>
    </row>
    <row customHeight="true" ht="19" r="3">
      <c r="A3" s="257"/>
      <c r="B3" s="254"/>
      <c r="C3" s="255"/>
      <c r="D3" s="255"/>
      <c r="E3" s="256"/>
      <c r="F3" s="256" t="str">
        <v>Form Landing Page</v>
      </c>
      <c r="G3" s="256">
        <f>COUNTIF(L:L,"form landing page")</f>
      </c>
    </row>
    <row customHeight="true" ht="19" r="4">
      <c r="A4" s="253"/>
    </row>
    <row r="5">
      <c r="A5" s="252" t="str">
        <v>No</v>
      </c>
      <c r="B5" s="251" t="str">
        <v>Tanggal Req</v>
      </c>
      <c r="C5" s="249" t="str">
        <v>Minggu Req</v>
      </c>
      <c r="D5" s="249" t="str">
        <v>Tanggal Demo</v>
      </c>
      <c r="E5" s="249" t="str">
        <v>Minggu Demo</v>
      </c>
      <c r="F5" s="249" t="str">
        <v>Nama</v>
      </c>
      <c r="G5" s="249" t="str">
        <v>Posisi</v>
      </c>
      <c r="H5" s="249" t="str">
        <v>Instansi</v>
      </c>
      <c r="I5" s="249" t="str">
        <v>Use Cases</v>
      </c>
      <c r="J5" s="249" t="str">
        <v>Kebutuhan</v>
      </c>
      <c r="K5" s="249"/>
      <c r="L5" s="249" t="str">
        <v>Sumber</v>
      </c>
      <c r="M5" s="249" t="str">
        <v>status</v>
      </c>
      <c r="N5" s="249" t="str">
        <v>Notes/MoM</v>
      </c>
      <c r="O5" s="250" t="str">
        <v>FU 1</v>
      </c>
      <c r="P5" s="250" t="str">
        <v>FU 2</v>
      </c>
      <c r="Q5" s="250" t="str">
        <v>FU 3</v>
      </c>
      <c r="R5" s="250" t="str">
        <v>Keterangan FU</v>
      </c>
    </row>
    <row r="6">
      <c r="A6" s="226">
        <v>1</v>
      </c>
      <c r="B6" s="229"/>
      <c r="C6" s="235"/>
      <c r="D6" s="234">
        <v>46030</v>
      </c>
      <c r="E6" s="227">
        <f>WEEKNUM(D6)</f>
      </c>
      <c r="F6" s="227" t="str">
        <v>Dommy Asfiandy</v>
      </c>
      <c r="G6" s="227" t="str">
        <v>VP Agtech &amp; Data Science</v>
      </c>
      <c r="H6" s="227" t="str">
        <v>PT. Pupuk Indonesia (Persero)</v>
      </c>
      <c r="I6" s="227"/>
      <c r="J6" s="227" t="str">
        <v>program kemitraan MAPID, terutama terkait pengumpulan data dan survei lapangan.</v>
      </c>
      <c r="K6" s="227" t="str">
        <v>enterprise</v>
      </c>
      <c r="L6" s="225" t="str">
        <v>calendly</v>
      </c>
      <c r="M6" s="225" t="str">
        <v>handover sales</v>
      </c>
      <c r="N6" s="228" t="s">
        <v>379</v>
      </c>
      <c r="O6" s="133"/>
      <c r="P6" s="133"/>
      <c r="Q6" s="133"/>
      <c r="R6" s="133"/>
    </row>
    <row r="7">
      <c r="A7" s="226">
        <v>2</v>
      </c>
      <c r="B7" s="244"/>
      <c r="C7" s="235"/>
      <c r="D7" s="245">
        <v>46031</v>
      </c>
      <c r="E7" s="227">
        <f>WEEKNUM(D7)</f>
      </c>
      <c r="F7" s="242" t="s">
        <v>378</v>
      </c>
      <c r="G7" s="242" t="str">
        <v>-</v>
      </c>
      <c r="H7" s="242" t="str">
        <v>-</v>
      </c>
      <c r="I7" s="242"/>
      <c r="J7" s="242" t="str">
        <v>gak ngasi keterangan apa apa</v>
      </c>
      <c r="K7" s="242"/>
      <c r="L7" s="246"/>
      <c r="M7" s="225"/>
      <c r="N7" s="247" t="str">
        <v>ghosting euy</v>
      </c>
      <c r="O7" s="243"/>
      <c r="P7" s="243"/>
      <c r="Q7" s="243"/>
      <c r="R7" s="243"/>
      <c r="S7" s="241"/>
      <c r="T7" s="241"/>
      <c r="U7" s="241"/>
      <c r="V7" s="241"/>
      <c r="W7" s="241"/>
      <c r="X7" s="241"/>
      <c r="Y7" s="241"/>
      <c r="Z7" s="241"/>
      <c r="AA7" s="241"/>
      <c r="AB7" s="241"/>
      <c r="AC7" s="241"/>
    </row>
    <row r="8">
      <c r="A8" s="226">
        <v>3</v>
      </c>
      <c r="B8" s="229"/>
      <c r="C8" s="235"/>
      <c r="D8" s="234">
        <v>46037</v>
      </c>
      <c r="E8" s="227">
        <f>WEEKNUM(D8)</f>
      </c>
      <c r="F8" s="227" t="str">
        <v>Ahmad Ghifari Ramadhani</v>
      </c>
      <c r="G8" s="227" t="str" xml:space="preserve">
        <v>IT Digital Project Management </v>
      </c>
      <c r="H8" s="227" t="str">
        <v>Cimory Group</v>
      </c>
      <c r="I8" s="227"/>
      <c r="J8" s="227" t="str">
        <v>Saat ini kami di Cimory Group sedang mencari solusi data Point of Interest (POI) yang dapat mendukung analisis distribusi dan ekspansi untuk industri FMCG.
Kami tertarik untuk mengetahui lebih lanjut mengenai:
- Cakupan data POI yang tersedia (kategori, lokasi, akurasi)
- Model kerja sama dan pricing
- Contoh use case atau studi kasus yang releva</v>
      </c>
      <c r="K8" s="227" t="str">
        <v>enterprise</v>
      </c>
      <c r="L8" s="225" t="str">
        <v>calendly</v>
      </c>
      <c r="M8" s="225" t="str">
        <v>handover sales</v>
      </c>
      <c r="N8" s="228" t="s">
        <v>377</v>
      </c>
      <c r="O8" s="133"/>
      <c r="P8" s="133"/>
      <c r="Q8" s="133"/>
      <c r="R8" s="133"/>
    </row>
    <row r="9">
      <c r="A9" s="226">
        <v>4</v>
      </c>
      <c r="B9" s="229"/>
      <c r="C9" s="235"/>
      <c r="D9" s="234">
        <v>46041</v>
      </c>
      <c r="E9" s="227">
        <f>WEEKNUM(D9)</f>
      </c>
      <c r="F9" s="227" t="str">
        <v>Alvo G Hermawan</v>
      </c>
      <c r="G9" s="227" t="str">
        <v>Business Owner</v>
      </c>
      <c r="H9" s="227" t="str">
        <v>PT Angkasa Medika Fortuna</v>
      </c>
      <c r="I9" s="227"/>
      <c r="J9" s="227" t="str">
        <v>Saya mau mengetahui info titik-titik tertentu di Kota Bandarlampung, karena saya berencana membuka gerai baru untuk toko retail</v>
      </c>
      <c r="K9" s="227" t="str">
        <v>personal</v>
      </c>
      <c r="L9" s="225" t="str">
        <v>form landing page</v>
      </c>
      <c r="M9" s="225" t="str">
        <v>demo</v>
      </c>
      <c r="N9" s="228" t="str">
        <v>udah checkout lisensi personal sebulan</v>
      </c>
      <c r="O9" s="133"/>
      <c r="P9" s="133"/>
      <c r="Q9" s="133"/>
      <c r="R9" s="133"/>
    </row>
    <row r="10">
      <c r="A10" s="226">
        <v>5</v>
      </c>
      <c r="B10" s="229"/>
      <c r="C10" s="235"/>
      <c r="D10" s="234">
        <v>46049</v>
      </c>
      <c r="E10" s="227">
        <f>WEEKNUM(D10)</f>
      </c>
      <c r="F10" s="227" t="str">
        <v>Nadila</v>
      </c>
      <c r="G10" s="227" t="str">
        <v>-</v>
      </c>
      <c r="H10" s="227" t="str">
        <v>PT SOLUSI GADAI INDONESIA</v>
      </c>
      <c r="I10" s="227"/>
      <c r="J10" s="227" t="str">
        <v>PT SOLUSI GADAI INDONESIA sedang mencari perusahaan yang bergerak di bidang LI untuk pembukaan cabang gadai.</v>
      </c>
      <c r="K10" s="227" t="str">
        <v>umkm</v>
      </c>
      <c r="L10" s="225" t="str">
        <v>calendly</v>
      </c>
      <c r="M10" s="225" t="str">
        <v>proposal</v>
      </c>
      <c r="N10" s="228" t="str">
        <v>Minta ditawarin paket UMKM 10jt, komponennya:
- lisence teams 6 bulan
- survey
- dedicated engineer untuk training dan consultation</v>
      </c>
      <c r="O10" s="133"/>
      <c r="P10" s="133"/>
      <c r="Q10" s="133"/>
      <c r="R10" s="133"/>
    </row>
    <row r="11">
      <c r="A11" s="226">
        <v>6</v>
      </c>
      <c r="B11" s="229"/>
      <c r="C11" s="235"/>
      <c r="D11" s="234">
        <v>46050</v>
      </c>
      <c r="E11" s="227">
        <f>WEEKNUM(D11)</f>
      </c>
      <c r="F11" s="227" t="str">
        <v>Benno</v>
      </c>
      <c r="G11" s="227"/>
      <c r="H11" s="227" t="str">
        <v>PT Kattegat AI</v>
      </c>
      <c r="I11" s="227"/>
      <c r="J11" s="227" t="str">
        <v>PT Kattgat AI membutuhkan akses untuk data data yang ada di GEO MAPID</v>
      </c>
      <c r="K11" s="227" t="str">
        <v>enterprise</v>
      </c>
      <c r="L11" s="225" t="str">
        <v>calendly</v>
      </c>
      <c r="M11" s="225" t="str">
        <v>handover sales</v>
      </c>
      <c r="N11" s="228"/>
      <c r="O11" s="133"/>
      <c r="P11" s="133"/>
      <c r="Q11" s="133"/>
      <c r="R11" s="133"/>
    </row>
    <row r="12">
      <c r="A12" s="226">
        <v>7</v>
      </c>
      <c r="B12" s="229"/>
      <c r="C12" s="235"/>
      <c r="D12" s="234">
        <v>46056</v>
      </c>
      <c r="E12" s="227">
        <f>WEEKNUM(D12)</f>
      </c>
      <c r="F12" s="227" t="str">
        <v>Abdul Rahmat Hamdi</v>
      </c>
      <c r="G12" s="227"/>
      <c r="H12" s="227"/>
      <c r="I12" s="227" t="str">
        <v>fried chicken expansion</v>
      </c>
      <c r="J12" s="227" t="str">
        <v>I need a demo to determine the right location to develop a business or what the right business on my current location.</v>
      </c>
      <c r="K12" s="227" t="str">
        <v>personal</v>
      </c>
      <c r="L12" s="225" t="str">
        <v>calendly</v>
      </c>
      <c r="M12" s="225" t="str">
        <v>demo</v>
      </c>
      <c r="N12" s="228" t="str">
        <v>mau diskusi dulu antara personal atau umkm, nanti menghubungi lagi ke mas zhafran cenah</v>
      </c>
      <c r="O12" s="133"/>
      <c r="P12" s="133"/>
      <c r="Q12" s="133"/>
      <c r="R12" s="133"/>
    </row>
    <row r="13">
      <c r="A13" s="226">
        <v>8</v>
      </c>
      <c r="B13" s="229"/>
      <c r="C13" s="235"/>
      <c r="D13" s="234">
        <v>46057</v>
      </c>
      <c r="E13" s="227">
        <f>WEEKNUM(D13)</f>
      </c>
      <c r="F13" s="227" t="str">
        <v>Aksa</v>
      </c>
      <c r="G13" s="227"/>
      <c r="H13" s="227" t="str">
        <v>Kopi Calf</v>
      </c>
      <c r="I13" s="227"/>
      <c r="J13" s="227" t="str">
        <v>Ingin membuka toko kopi baru</v>
      </c>
      <c r="K13" s="227" t="str">
        <v>umkm</v>
      </c>
      <c r="L13" s="225" t="str">
        <v>wa bisnis</v>
      </c>
      <c r="M13" s="225" t="str">
        <v>proposal</v>
      </c>
      <c r="N13" s="228" t="str">
        <v>Diskusi dengan manajemen</v>
      </c>
      <c r="O13" s="230">
        <v>46064</v>
      </c>
      <c r="P13" s="133"/>
      <c r="Q13" s="133"/>
      <c r="R13" s="133" t="str">
        <v>FU 1 : Masih diskusi manajemen</v>
      </c>
    </row>
    <row r="14">
      <c r="A14" s="226">
        <v>9</v>
      </c>
      <c r="B14" s="229"/>
      <c r="C14" s="235"/>
      <c r="D14" s="234">
        <v>46057</v>
      </c>
      <c r="E14" s="227">
        <f>WEEKNUM(D14)</f>
      </c>
      <c r="F14" s="227" t="str">
        <v>Ryan Darmawansyah</v>
      </c>
      <c r="G14" s="227"/>
      <c r="H14" s="227" t="str">
        <v>Toko Baju</v>
      </c>
      <c r="I14" s="227"/>
      <c r="J14" s="227"/>
      <c r="K14" s="227" t="str">
        <v>umkm</v>
      </c>
      <c r="L14" s="225" t="str">
        <v>calendly</v>
      </c>
      <c r="M14" s="225" t="str">
        <v>demo</v>
      </c>
      <c r="N14" s="228"/>
      <c r="O14" s="133"/>
      <c r="P14" s="133"/>
      <c r="Q14" s="133"/>
      <c r="R14" s="133"/>
    </row>
    <row r="15">
      <c r="A15" s="226">
        <v>10</v>
      </c>
      <c r="B15" s="229"/>
      <c r="C15" s="235"/>
      <c r="D15" s="234"/>
      <c r="E15" s="227"/>
      <c r="F15" s="227" t="str">
        <v>Fahmi</v>
      </c>
      <c r="G15" s="227"/>
      <c r="H15" s="227"/>
      <c r="I15" s="227"/>
      <c r="J15" s="227"/>
      <c r="K15" s="227" t="str">
        <v>personal</v>
      </c>
      <c r="L15" s="225" t="str">
        <v>calendly</v>
      </c>
      <c r="M15" s="225" t="str">
        <v>contacted</v>
      </c>
      <c r="N15" s="228" t="str">
        <v>+62 813-5022-5818</v>
      </c>
      <c r="O15" s="133"/>
      <c r="P15" s="133"/>
      <c r="Q15" s="133"/>
      <c r="R15" s="133"/>
    </row>
    <row r="16">
      <c r="A16" s="226">
        <v>11</v>
      </c>
      <c r="B16" s="229"/>
      <c r="C16" s="235"/>
      <c r="D16" s="234"/>
      <c r="E16" s="227"/>
      <c r="F16" s="227" t="str">
        <v>Arief Fadhilah</v>
      </c>
      <c r="G16" s="227"/>
      <c r="H16" s="227"/>
      <c r="I16" s="227"/>
      <c r="J16" s="227"/>
      <c r="K16" s="227" t="str">
        <v>personal</v>
      </c>
      <c r="L16" s="225" t="str">
        <v>calendly</v>
      </c>
      <c r="M16" s="225" t="str">
        <v>contacted</v>
      </c>
      <c r="N16" s="228" t="str">
        <v>+62 851-7162-1033</v>
      </c>
      <c r="O16" s="133"/>
      <c r="P16" s="133"/>
      <c r="Q16" s="133"/>
      <c r="R16" s="133"/>
    </row>
    <row r="17">
      <c r="A17" s="226">
        <v>12</v>
      </c>
      <c r="B17" s="229"/>
      <c r="C17" s="235"/>
      <c r="D17" s="234"/>
      <c r="E17" s="227"/>
      <c r="F17" s="227" t="str">
        <v>Blue Power</v>
      </c>
      <c r="G17" s="227"/>
      <c r="H17" s="227"/>
      <c r="I17" s="227"/>
      <c r="J17" s="227"/>
      <c r="K17" s="227" t="str">
        <v>enterprise</v>
      </c>
      <c r="L17" s="225" t="str">
        <v>wa bisnis</v>
      </c>
      <c r="M17" s="225" t="str">
        <v>handover sales</v>
      </c>
      <c r="N17" s="228"/>
      <c r="O17" s="133"/>
      <c r="P17" s="133"/>
      <c r="Q17" s="133"/>
      <c r="R17" s="133"/>
    </row>
    <row r="18">
      <c r="A18" s="226">
        <v>13</v>
      </c>
      <c r="B18" s="229">
        <v>46063</v>
      </c>
      <c r="C18" s="225">
        <f>WEEKNUM(B18)</f>
      </c>
      <c r="D18" s="260">
        <v>46069</v>
      </c>
      <c r="E18" s="227">
        <f>WEEKNUM(D18)</f>
      </c>
      <c r="F18" s="227" t="str">
        <v>Novian Ardhiansyah Yusuf (reschedule - Mendampingi jamaah haji)</v>
      </c>
      <c r="G18" s="227" t="str">
        <v>Founder</v>
      </c>
      <c r="H18" s="227" t="str">
        <v>Bengkel Fit Motor</v>
      </c>
      <c r="I18" s="227"/>
      <c r="J18" s="227" t="str">
        <v>Pingin buka cabang baru tapi ingin mencoba platform sendiri terlebih dahulu</v>
      </c>
      <c r="K18" s="227" t="str">
        <v>personal</v>
      </c>
      <c r="L18" s="225" t="str">
        <v>form landing page</v>
      </c>
      <c r="M18" s="225" t="str">
        <v>contacted</v>
      </c>
      <c r="N18" s="228"/>
      <c r="O18" s="133"/>
      <c r="P18" s="133"/>
      <c r="Q18" s="133"/>
      <c r="R18" s="133"/>
    </row>
    <row r="19">
      <c r="A19" s="226">
        <v>14</v>
      </c>
      <c r="B19" s="229">
        <v>46064</v>
      </c>
      <c r="C19" s="225">
        <f>WEEKNUM(B19)</f>
      </c>
      <c r="D19" s="234">
        <v>46069</v>
      </c>
      <c r="E19" s="227">
        <f>WEEKNUM(D19)</f>
      </c>
      <c r="F19" s="227" t="str">
        <v>Ayu Ahmat</v>
      </c>
      <c r="G19" s="227" t="str">
        <v>Owner</v>
      </c>
      <c r="H19" s="227" t="str">
        <v>CV Hatta Putra Borneo</v>
      </c>
      <c r="I19" s="227"/>
      <c r="J19" s="227" t="str">
        <v>Pingin membuka cabang FnB baru</v>
      </c>
      <c r="K19" s="227" t="str">
        <v>umkm</v>
      </c>
      <c r="L19" s="225" t="str">
        <v>form landing page</v>
      </c>
      <c r="M19" s="225" t="str">
        <v>proposal</v>
      </c>
      <c r="N19" s="228"/>
      <c r="O19" s="230">
        <v>46078</v>
      </c>
      <c r="P19" s="133"/>
      <c r="Q19" s="133"/>
      <c r="R19" s="227" t="str">
        <v>FU 1 : Ingin mencoba personal dan bakal meng upgrade</v>
      </c>
    </row>
    <row r="20">
      <c r="A20" s="226">
        <v>15</v>
      </c>
      <c r="B20" s="229">
        <v>46064</v>
      </c>
      <c r="C20" s="225">
        <f>WEEKNUM(B20)</f>
      </c>
      <c r="D20" s="234">
        <v>46066</v>
      </c>
      <c r="E20" s="227">
        <f>WEEKNUM(D20)</f>
      </c>
      <c r="F20" s="227" t="str">
        <v>Fazrian S</v>
      </c>
      <c r="G20" s="227"/>
      <c r="H20" s="227" t="str">
        <v>PT Subaga Survei</v>
      </c>
      <c r="I20" s="227"/>
      <c r="J20" s="227" t="str">
        <v>mau partneran jual mapid ke client government</v>
      </c>
      <c r="K20" s="227" t="str">
        <v>enterprise</v>
      </c>
      <c r="L20" s="225" t="str">
        <v>calendly</v>
      </c>
      <c r="M20" s="225" t="str">
        <v>handover sales</v>
      </c>
      <c r="N20" s="228"/>
      <c r="O20" s="133"/>
      <c r="P20" s="133"/>
      <c r="Q20" s="133"/>
      <c r="R20" s="133"/>
    </row>
    <row r="21">
      <c r="A21" s="226">
        <v>16</v>
      </c>
      <c r="B21" s="229">
        <v>46065</v>
      </c>
      <c r="C21" s="225">
        <f>WEEKNUM(B21)</f>
      </c>
      <c r="D21" s="234">
        <v>46066</v>
      </c>
      <c r="E21" s="227">
        <f>WEEKNUM(D21)</f>
      </c>
      <c r="F21" s="227" t="str">
        <v>Bayu</v>
      </c>
      <c r="G21" s="227"/>
      <c r="H21" s="227" t="str">
        <v>PT Bagi Kopi Indonesia</v>
      </c>
      <c r="I21" s="227"/>
      <c r="J21" s="227" t="str">
        <v>Kebutuhan untuk analisa lokasi pengembangan cabang baru</v>
      </c>
      <c r="K21" s="227" t="str">
        <v>umkm</v>
      </c>
      <c r="L21" s="225" t="str">
        <v>wa bisnis</v>
      </c>
      <c r="M21" s="225" t="str">
        <v>proposal</v>
      </c>
      <c r="N21" s="228" t="str">
        <v>otw dikirimkan proposal dan comprof</v>
      </c>
      <c r="O21" s="133"/>
      <c r="P21" s="133"/>
      <c r="Q21" s="133"/>
      <c r="R21" s="133"/>
    </row>
    <row r="22">
      <c r="A22" s="226">
        <v>17</v>
      </c>
      <c r="B22" s="229">
        <v>46066</v>
      </c>
      <c r="C22" s="225">
        <f>WEEKNUM(B22)</f>
      </c>
      <c r="D22" s="235"/>
      <c r="E22" s="227"/>
      <c r="F22" s="227" t="str">
        <v>Joe Saputro</v>
      </c>
      <c r="G22" s="227"/>
      <c r="H22" s="227" t="str">
        <v>Cafe Sukka</v>
      </c>
      <c r="I22" s="227"/>
      <c r="J22" s="227"/>
      <c r="K22" s="227" t="str">
        <v>umkm</v>
      </c>
      <c r="L22" s="225" t="str">
        <v>form landing page</v>
      </c>
      <c r="M22" s="225" t="str">
        <v>contacted</v>
      </c>
      <c r="N22" s="228"/>
      <c r="O22" s="133"/>
      <c r="P22" s="133"/>
      <c r="Q22" s="133"/>
      <c r="R22" s="133"/>
    </row>
    <row r="23">
      <c r="A23" s="226">
        <v>18</v>
      </c>
      <c r="B23" s="229">
        <v>46066</v>
      </c>
      <c r="C23" s="225">
        <f>WEEKNUM(B23)</f>
      </c>
      <c r="D23" s="235"/>
      <c r="E23" s="227"/>
      <c r="F23" s="227" t="str">
        <v>Galih Indra</v>
      </c>
      <c r="G23" s="227" t="str">
        <v>Owner</v>
      </c>
      <c r="H23" s="227" t="str">
        <v>Ndoro Reflexology</v>
      </c>
      <c r="I23" s="227"/>
      <c r="J23" s="227"/>
      <c r="K23" s="227" t="str">
        <v>umkm</v>
      </c>
      <c r="L23" s="225" t="str">
        <v>form landing page</v>
      </c>
      <c r="M23" s="225" t="str">
        <v>contacted</v>
      </c>
      <c r="N23" s="228"/>
      <c r="O23" s="133"/>
      <c r="P23" s="133"/>
      <c r="Q23" s="133"/>
      <c r="R23" s="133"/>
    </row>
    <row r="24">
      <c r="A24" s="226">
        <v>19</v>
      </c>
      <c r="B24" s="229">
        <v>46065</v>
      </c>
      <c r="C24" s="225">
        <f>WEEKNUM(B24)</f>
      </c>
      <c r="D24" s="234">
        <v>46066</v>
      </c>
      <c r="E24" s="227">
        <f>WEEKNUM(D24)</f>
      </c>
      <c r="F24" s="227" t="str">
        <v>Nathania</v>
      </c>
      <c r="G24" s="227"/>
      <c r="H24" s="227" t="str">
        <v>Toko Aksesoris Padel (Raket)</v>
      </c>
      <c r="I24" s="227"/>
      <c r="J24" s="227" t="str">
        <v>Kebutuhan untuk analisa lokasi pengembangan cabang baru</v>
      </c>
      <c r="K24" s="227" t="str">
        <v>umkm</v>
      </c>
      <c r="L24" s="225" t="str">
        <v>calendly</v>
      </c>
      <c r="M24" s="225" t="str">
        <v>contacted</v>
      </c>
      <c r="N24" s="228"/>
      <c r="O24" s="133"/>
      <c r="P24" s="133"/>
      <c r="Q24" s="133"/>
      <c r="R24" s="133"/>
    </row>
    <row r="25">
      <c r="A25" s="226">
        <v>20</v>
      </c>
      <c r="B25" s="229">
        <v>46067</v>
      </c>
      <c r="C25" s="225">
        <f>WEEKNUM(B25)</f>
      </c>
      <c r="D25" s="235"/>
      <c r="E25" s="227"/>
      <c r="F25" s="227" t="str">
        <v>Prahadi Saputar</v>
      </c>
      <c r="G25" s="227" t="str">
        <v>Owner</v>
      </c>
      <c r="H25" s="227" t="str">
        <v>PT Alkhoir</v>
      </c>
      <c r="I25" s="227"/>
      <c r="J25" s="227"/>
      <c r="K25" s="227" t="str">
        <v>umkm</v>
      </c>
      <c r="L25" s="225" t="str">
        <v>form landing page</v>
      </c>
      <c r="M25" s="225" t="str">
        <v>contacted</v>
      </c>
      <c r="N25" s="228" t="str">
        <v>Sudah di contact tapi belum membalas</v>
      </c>
      <c r="O25" s="133"/>
      <c r="P25" s="133"/>
      <c r="Q25" s="133"/>
      <c r="R25" s="133"/>
    </row>
    <row r="26">
      <c r="A26" s="226">
        <v>21</v>
      </c>
      <c r="B26" s="229">
        <v>46068</v>
      </c>
      <c r="C26" s="225">
        <f>WEEKNUM(B26)</f>
      </c>
      <c r="D26" s="229">
        <v>46073</v>
      </c>
      <c r="E26" s="227">
        <f>WEEKNUM(D26)</f>
      </c>
      <c r="F26" s="227" t="str">
        <v>Reo Rafienza</v>
      </c>
      <c r="G26" s="227" t="str">
        <v>Business Development Officer
</v>
      </c>
      <c r="H26" s="227" t="str">
        <v>Senikersku</v>
      </c>
      <c r="I26" s="227"/>
      <c r="J26" s="227" t="str">
        <v>As a Business Development Officer in a retail company, I am responsible for driving business growth through expansion. To ensure data-driven decision making in site selection, I require a Location Intelligence tool to conduct market analysis, area mapping, and site potential assessment. This tool will provide objective insights to strengthen the business case and reduce risks in choosing new locations.</v>
      </c>
      <c r="K26" s="227" t="str">
        <v>umkm</v>
      </c>
      <c r="L26" s="225" t="str">
        <v>form landing page</v>
      </c>
      <c r="M26" s="225" t="str">
        <v>proposal</v>
      </c>
      <c r="N26" s="228" t="s">
        <v>380</v>
      </c>
      <c r="O26" s="230">
        <v>46078</v>
      </c>
      <c r="P26" s="133"/>
      <c r="Q26" s="133"/>
      <c r="R26" s="133" t="str">
        <v>FU 1 : Tidak ada respon</v>
      </c>
    </row>
    <row r="27">
      <c r="A27" s="226">
        <v>22</v>
      </c>
      <c r="B27" s="229">
        <v>46069</v>
      </c>
      <c r="C27" s="225">
        <f>WEEKNUM(B27)</f>
      </c>
      <c r="D27" s="235"/>
      <c r="E27" s="227"/>
      <c r="F27" s="227" t="str">
        <v>Handri Kurniawan</v>
      </c>
      <c r="G27" s="227" t="str">
        <v>Business Development Officer
</v>
      </c>
      <c r="H27" s="227" t="str">
        <v>PT SBP</v>
      </c>
      <c r="I27" s="227"/>
      <c r="J27" s="227" t="str">
        <v>Ekspansi bisnis FnB</v>
      </c>
      <c r="K27" s="227"/>
      <c r="L27" s="225" t="str">
        <v>form landing page</v>
      </c>
      <c r="M27" s="225" t="str">
        <v>contacted</v>
      </c>
      <c r="N27" s="228" t="str">
        <v>Sudah di contact tapi belum membalas</v>
      </c>
      <c r="O27" s="133"/>
      <c r="P27" s="133"/>
      <c r="Q27" s="133"/>
      <c r="R27" s="133"/>
    </row>
    <row r="28">
      <c r="A28" s="226">
        <v>23</v>
      </c>
      <c r="B28" s="229">
        <v>46070</v>
      </c>
      <c r="C28" s="225">
        <f>WEEKNUM(B28)</f>
      </c>
      <c r="D28" s="235"/>
      <c r="E28" s="227"/>
      <c r="F28" s="227" t="str">
        <v>Yazed sururi</v>
      </c>
      <c r="G28" s="227" t="str">
        <v>Enterpreneure</v>
      </c>
      <c r="H28" s="227" t="str">
        <v>Padma</v>
      </c>
      <c r="I28" s="227"/>
      <c r="J28" s="227" t="str">
        <v>Saya ingin membeli sebuah apartement di daerah bintaro untuk kebutuhan investasi skema airbnb saya ingin ngetracking siapa target market yang pas dan apakah prospek</v>
      </c>
      <c r="K28" s="227"/>
      <c r="L28" s="225" t="str">
        <v>form landing page</v>
      </c>
      <c r="M28" s="225" t="str">
        <v>contacted</v>
      </c>
      <c r="N28" s="228"/>
      <c r="O28" s="133"/>
      <c r="P28" s="133"/>
      <c r="Q28" s="133"/>
      <c r="R28" s="133"/>
    </row>
    <row r="29">
      <c r="A29" s="226">
        <v>24</v>
      </c>
      <c r="B29" s="229">
        <v>46070</v>
      </c>
      <c r="C29" s="225">
        <f>WEEKNUM(B29)</f>
      </c>
      <c r="D29" s="235"/>
      <c r="E29" s="227"/>
      <c r="F29" s="227" t="str">
        <v>Irfan</v>
      </c>
      <c r="G29" s="227" t="str">
        <v>Owner</v>
      </c>
      <c r="H29" s="227" t="str">
        <v>HyperFire Arena</v>
      </c>
      <c r="I29" s="227"/>
      <c r="J29" s="227" t="str">
        <v>Saya mau mencoba bisnis baru, sudah ada lokasi apakah di lokasi tersebut akan baik buat calon bisnis tersebut</v>
      </c>
      <c r="K29" s="227"/>
      <c r="L29" s="225" t="str">
        <v>form landing page</v>
      </c>
      <c r="M29" s="225" t="str">
        <v>contacted</v>
      </c>
      <c r="N29" s="228"/>
      <c r="O29" s="133"/>
      <c r="P29" s="133"/>
      <c r="Q29" s="133"/>
      <c r="R29" s="133"/>
    </row>
    <row r="30">
      <c r="A30" s="226">
        <v>25</v>
      </c>
      <c r="B30" s="229">
        <v>46070</v>
      </c>
      <c r="C30" s="225">
        <f>WEEKNUM(B30)</f>
      </c>
      <c r="D30" s="229">
        <v>46071</v>
      </c>
      <c r="E30" s="227">
        <f>WEEKNUM(D30)</f>
      </c>
      <c r="F30" s="227" t="str">
        <v>Aji</v>
      </c>
      <c r="G30" s="227"/>
      <c r="H30" s="227"/>
      <c r="I30" s="227"/>
      <c r="J30" s="227"/>
      <c r="K30" s="227" t="str">
        <v>personal</v>
      </c>
      <c r="L30" s="225" t="str">
        <v>calendly</v>
      </c>
      <c r="M30" s="225" t="str">
        <v>contacted</v>
      </c>
      <c r="N30" s="228"/>
      <c r="O30" s="133"/>
      <c r="P30" s="133"/>
      <c r="Q30" s="133"/>
      <c r="R30" s="133"/>
    </row>
    <row r="31">
      <c r="A31" s="226">
        <v>26</v>
      </c>
      <c r="B31" s="229">
        <v>46070</v>
      </c>
      <c r="C31" s="225">
        <f>WEEKNUM(B31)</f>
      </c>
      <c r="D31" s="229">
        <v>46072</v>
      </c>
      <c r="E31" s="227">
        <f>WEEKNUM(D31)</f>
      </c>
      <c r="F31" s="227" t="str">
        <v>Monopana (Tidak join zoom 15 menit)</v>
      </c>
      <c r="G31" s="227"/>
      <c r="H31" s="227" t="str">
        <v>Monopana soft sourdough</v>
      </c>
      <c r="I31" s="227"/>
      <c r="J31" s="227" t="str">
        <v>Kami sedang mencari lokasi yang tepat untuk pembukaan cabang outlet bakery kami di Surabaya</v>
      </c>
      <c r="K31" s="227"/>
      <c r="L31" s="225" t="str">
        <v>calendly</v>
      </c>
      <c r="M31" s="225" t="str">
        <v>contacted</v>
      </c>
      <c r="N31" s="228"/>
      <c r="O31" s="133"/>
      <c r="P31" s="133"/>
      <c r="Q31" s="133"/>
      <c r="R31" s="133"/>
    </row>
    <row r="32">
      <c r="A32" s="226">
        <v>26</v>
      </c>
      <c r="B32" s="229">
        <v>46071</v>
      </c>
      <c r="C32" s="225">
        <f>WEEKNUM(B32)</f>
      </c>
      <c r="D32" s="235"/>
      <c r="E32" s="227"/>
      <c r="F32" s="227" t="str">
        <v>Anton Agusta</v>
      </c>
      <c r="G32" s="227"/>
      <c r="H32" s="227" t="str">
        <v>Laundry</v>
      </c>
      <c r="I32" s="227"/>
      <c r="J32" s="227" t="str">
        <v>Mencari lokasi utk laundry</v>
      </c>
      <c r="K32" s="227"/>
      <c r="L32" s="225" t="str">
        <v>form landing page</v>
      </c>
      <c r="M32" s="225" t="str">
        <v>contacted</v>
      </c>
      <c r="N32" s="228"/>
      <c r="O32" s="133"/>
      <c r="P32" s="133"/>
      <c r="Q32" s="133"/>
      <c r="R32" s="133"/>
    </row>
    <row r="33">
      <c r="A33" s="226">
        <v>27</v>
      </c>
      <c r="B33" s="238">
        <v>46071</v>
      </c>
      <c r="C33" s="225">
        <f>WEEKNUM(B33)</f>
      </c>
      <c r="D33" s="238">
        <v>46072</v>
      </c>
      <c r="E33" s="237">
        <f>WEEKNUM(D33)</f>
      </c>
      <c r="F33" s="237" t="str">
        <v>Ardhito Nurhadyansah
</v>
      </c>
      <c r="G33" s="237"/>
      <c r="H33" s="237"/>
      <c r="I33" s="237"/>
      <c r="J33" s="237" t="str">
        <v>We are interested in understanding the availability, freshness, and integration options for Zona Nilai Tanah (ZNT) data within MAPID. Specifically, we would like to learn:
1. How frequently the ZNT dataset is updated and the coverage across Indonesia,
2. Whether there is an official API or for programmatic access.</v>
      </c>
      <c r="K33" s="237" t="str">
        <v>personal</v>
      </c>
      <c r="L33" s="236" t="str">
        <v>calendly</v>
      </c>
      <c r="M33" s="236" t="str">
        <v>contacted</v>
      </c>
      <c r="N33" s="239" t="str">
        <v>Jadi untuk saat ini, kami sedang ada problem terkait mispriced listings. Kami ingin membuat sistem untuk bisa memperkirakan harga dan/atau range harga yang masuk akal. Dan kami melihat data ZNT ini bisa menjadi salah satu komponen yang mendukung hal tersebut. 
Dari segi timeline, kami sedang di masa eksplorasi terkait opsi2 yang bisa kami pakai, kurang lebih sampai besok</v>
      </c>
      <c r="O33" s="133"/>
      <c r="P33" s="133"/>
      <c r="Q33" s="133"/>
      <c r="R33" s="133"/>
    </row>
    <row r="34">
      <c r="A34" s="226">
        <v>28</v>
      </c>
      <c r="B34" s="229">
        <v>46073</v>
      </c>
      <c r="C34" s="225">
        <f>WEEKNUM(B34)</f>
      </c>
      <c r="D34" s="248"/>
      <c r="E34" s="237"/>
      <c r="F34" s="237" t="str">
        <v>Zulhiyar Zunnurain</v>
      </c>
      <c r="G34" s="237" t="str">
        <v>Owner</v>
      </c>
      <c r="H34" s="237" t="str">
        <v>Es Teler Tapooji</v>
      </c>
      <c r="I34" s="237"/>
      <c r="J34" s="237" t="str">
        <v>Butuh data demografi calon customer potensial utk pengembangan outlet</v>
      </c>
      <c r="K34" s="237"/>
      <c r="L34" s="236" t="str">
        <v>form landing page</v>
      </c>
      <c r="M34" s="236" t="str">
        <v>contacted</v>
      </c>
      <c r="N34" s="239"/>
      <c r="O34" s="133"/>
      <c r="P34" s="133"/>
      <c r="Q34" s="133"/>
      <c r="R34" s="133"/>
    </row>
    <row r="35">
      <c r="A35" s="226">
        <v>29</v>
      </c>
      <c r="B35" s="229">
        <v>46073</v>
      </c>
      <c r="C35" s="225">
        <f>WEEKNUM(B35)</f>
      </c>
      <c r="D35" s="235"/>
      <c r="E35" s="227"/>
      <c r="F35" s="227" t="str">
        <v>Deratna Putra
</v>
      </c>
      <c r="G35" s="227"/>
      <c r="H35" s="227" t="str">
        <v>Kuliner</v>
      </c>
      <c r="I35" s="227"/>
      <c r="J35" s="227" t="str">
        <v>Mau ekspansi mencari tempat yang strategis berdasarkan data</v>
      </c>
      <c r="K35" s="227"/>
      <c r="L35" s="225" t="str">
        <v>form landing page</v>
      </c>
      <c r="M35" s="225" t="str">
        <v>contacted</v>
      </c>
      <c r="N35" s="228"/>
      <c r="O35" s="133"/>
      <c r="P35" s="133"/>
      <c r="Q35" s="133"/>
      <c r="R35" s="133"/>
    </row>
    <row r="36">
      <c r="A36" s="226">
        <v>30</v>
      </c>
      <c r="B36" s="229">
        <v>46073</v>
      </c>
      <c r="C36" s="225">
        <f>WEEKNUM(B36)</f>
      </c>
      <c r="D36" s="235"/>
      <c r="E36" s="227"/>
      <c r="F36" s="227" t="str" xml:space="preserve">
        <v>Pandawa </v>
      </c>
      <c r="G36" s="227" t="str">
        <v>Owner</v>
      </c>
      <c r="H36" s="227" t="str">
        <v>Catering</v>
      </c>
      <c r="I36" s="227"/>
      <c r="J36" s="227" t="str">
        <v>Saya akan expansi usaha denganenjual ikan segar yg sudah di marinasi dan berbagai olahan kue dan masakan Frozen di pinggir jalan dengan menggunakan mobil</v>
      </c>
      <c r="K36" s="227"/>
      <c r="L36" s="225" t="str">
        <v>form landing page</v>
      </c>
      <c r="M36" s="225" t="str">
        <v>contacted</v>
      </c>
      <c r="N36" s="228"/>
      <c r="O36" s="133"/>
      <c r="P36" s="133"/>
      <c r="Q36" s="133"/>
      <c r="R36" s="133"/>
    </row>
    <row r="37">
      <c r="A37" s="226">
        <v>31</v>
      </c>
      <c r="B37" s="229">
        <v>46074</v>
      </c>
      <c r="C37" s="225">
        <f>WEEKNUM(B37)</f>
      </c>
      <c r="D37" s="235"/>
      <c r="E37" s="227"/>
      <c r="F37" s="227" t="str">
        <v>Kusriyanto Agus Triyoga</v>
      </c>
      <c r="G37" s="227" t="str">
        <v>Owner</v>
      </c>
      <c r="H37" s="227" t="str">
        <v>Martabak Menuria</v>
      </c>
      <c r="I37" s="227"/>
      <c r="J37" s="227" t="str">
        <v>Penentuan lokasi usaha</v>
      </c>
      <c r="K37" s="227" t="str">
        <v>personal</v>
      </c>
      <c r="L37" s="225" t="str">
        <v>form landing page</v>
      </c>
      <c r="M37" s="225" t="str">
        <v>contacted</v>
      </c>
      <c r="N37" s="228" t="str">
        <v>Personal License</v>
      </c>
      <c r="O37" s="133"/>
      <c r="P37" s="133"/>
      <c r="Q37" s="133"/>
      <c r="R37" s="133"/>
    </row>
    <row r="38">
      <c r="A38" s="226">
        <v>32</v>
      </c>
      <c r="B38" s="229">
        <v>46075</v>
      </c>
      <c r="C38" s="225">
        <f>WEEKNUM(B38)</f>
      </c>
      <c r="D38" s="235"/>
      <c r="E38" s="227"/>
      <c r="F38" s="227" t="str">
        <v>Bayu Prayogi</v>
      </c>
      <c r="G38" s="227"/>
      <c r="H38" s="227" t="str">
        <v>The dimsum in</v>
      </c>
      <c r="I38" s="227"/>
      <c r="J38" s="227" t="str">
        <v>Segmentasi market</v>
      </c>
      <c r="K38" s="227"/>
      <c r="L38" s="225" t="str">
        <v>form landing page</v>
      </c>
      <c r="M38" s="225" t="str">
        <v>contacted</v>
      </c>
      <c r="N38" s="228"/>
      <c r="O38" s="133"/>
      <c r="P38" s="133"/>
      <c r="Q38" s="133"/>
      <c r="R38" s="133"/>
    </row>
    <row r="39">
      <c r="A39" s="226">
        <v>33</v>
      </c>
      <c r="B39" s="238">
        <v>46076</v>
      </c>
      <c r="C39" s="236">
        <f>WEEKNUM(B39)</f>
      </c>
      <c r="D39" s="248"/>
      <c r="E39" s="237"/>
      <c r="F39" s="237" t="str">
        <v>Sella Marsella</v>
      </c>
      <c r="G39" s="237" t="str">
        <v>Owner</v>
      </c>
      <c r="H39" s="237" t="str">
        <v>Kunuku Sumber Rejeki</v>
      </c>
      <c r="I39" s="237"/>
      <c r="J39" s="237" t="str">
        <v>Mau open branch tapi bingung area mana</v>
      </c>
      <c r="K39" s="237"/>
      <c r="L39" s="236" t="str">
        <v>form landing page</v>
      </c>
      <c r="M39" s="236" t="str">
        <v>contacted</v>
      </c>
      <c r="N39" s="239"/>
      <c r="O39" s="133"/>
      <c r="P39" s="133"/>
      <c r="Q39" s="133"/>
      <c r="R39" s="133"/>
    </row>
    <row r="40">
      <c r="A40" s="226">
        <v>34</v>
      </c>
      <c r="B40" s="238">
        <v>46077</v>
      </c>
      <c r="C40" s="236">
        <f>WEEKNUM(B40)</f>
      </c>
      <c r="D40" s="240">
        <v>46077</v>
      </c>
      <c r="E40" s="236">
        <f>WEEKNUM(D40)</f>
      </c>
      <c r="F40" s="237" t="str">
        <v>Apri</v>
      </c>
      <c r="G40" s="237"/>
      <c r="H40" s="237" t="str">
        <v>Martabak Amazing</v>
      </c>
      <c r="I40" s="237"/>
      <c r="J40" s="237" t="str">
        <v>Lokasi Strategis Buka Cabang</v>
      </c>
      <c r="K40" s="237" t="str">
        <v>umkm</v>
      </c>
      <c r="L40" s="236" t="str">
        <v>form landing page</v>
      </c>
      <c r="M40" s="236" t="str">
        <v>proposal</v>
      </c>
      <c r="N40" s="239"/>
      <c r="O40" s="238">
        <v>46083</v>
      </c>
      <c r="P40" s="133"/>
      <c r="Q40" s="133"/>
      <c r="R40" s="133"/>
    </row>
    <row r="41">
      <c r="A41" s="226">
        <v>35</v>
      </c>
      <c r="B41" s="229">
        <v>46077</v>
      </c>
      <c r="C41" s="225">
        <f>WEEKNUM(B41)</f>
      </c>
      <c r="D41" s="230"/>
      <c r="E41" s="225">
        <f>WEEKNUM(D41)</f>
      </c>
      <c r="F41" s="227" t="str">
        <v>Dori</v>
      </c>
      <c r="G41" s="227" t="str">
        <v>Management</v>
      </c>
      <c r="H41" s="227" t="str">
        <v>Mie Ayam Bangka Tua Tjo</v>
      </c>
      <c r="I41" s="227"/>
      <c r="J41" s="227" t="str">
        <v>Membuka cabang baru di 4 kota (Jakarta, Bekasi, Depok, Bogor)</v>
      </c>
      <c r="K41" s="227"/>
      <c r="L41" s="225" t="str">
        <v>wa bisnis</v>
      </c>
      <c r="M41" s="225" t="str">
        <v>contacted</v>
      </c>
      <c r="N41" s="228"/>
      <c r="O41" s="133"/>
      <c r="P41" s="133"/>
      <c r="Q41" s="133"/>
      <c r="R41" s="133"/>
    </row>
    <row r="42">
      <c r="A42" s="226">
        <v>36</v>
      </c>
      <c r="B42" s="229">
        <v>46077</v>
      </c>
      <c r="C42" s="235"/>
      <c r="D42" s="235"/>
      <c r="E42" s="227"/>
      <c r="F42" s="227" t="str">
        <v>Arnia Gusti</v>
      </c>
      <c r="G42" s="227" t="str">
        <v>Direktur</v>
      </c>
      <c r="H42" s="227" t="str">
        <v>Zhopper International Indonesia</v>
      </c>
      <c r="I42" s="227"/>
      <c r="J42" s="227" t="str">
        <v>Butuh info Strategy untuk lokasi pengembangan bisnis MLM</v>
      </c>
      <c r="K42" s="227"/>
      <c r="L42" s="225" t="str">
        <v>form landing page</v>
      </c>
      <c r="M42" s="225" t="str">
        <v>contacted</v>
      </c>
      <c r="N42" s="228"/>
      <c r="O42" s="133"/>
      <c r="P42" s="133"/>
      <c r="Q42" s="133"/>
      <c r="R42" s="133"/>
    </row>
    <row r="43">
      <c r="A43" s="226">
        <v>37</v>
      </c>
      <c r="B43" s="229">
        <v>46078</v>
      </c>
      <c r="C43" s="235"/>
      <c r="D43" s="248"/>
      <c r="E43" s="237"/>
      <c r="F43" s="237" t="str">
        <v>Syahrul hady</v>
      </c>
      <c r="G43" s="237" t="str">
        <v>Owner</v>
      </c>
      <c r="H43" s="237" t="str">
        <v>Maota vape</v>
      </c>
      <c r="I43" s="237"/>
      <c r="J43" s="237" t="str">
        <v>Cari tempat strategis untu vapestore saya di bogor</v>
      </c>
      <c r="K43" s="237"/>
      <c r="L43" s="236" t="str">
        <v>form landing page</v>
      </c>
      <c r="M43" s="236" t="str">
        <v>contacted</v>
      </c>
      <c r="N43" s="239"/>
      <c r="O43" s="259"/>
      <c r="P43" s="259"/>
      <c r="Q43" s="259"/>
      <c r="R43" s="259"/>
    </row>
    <row r="44">
      <c r="A44" s="226">
        <v>38</v>
      </c>
      <c r="B44" s="229">
        <v>46079</v>
      </c>
      <c r="C44" s="231"/>
      <c r="D44" s="248"/>
      <c r="E44" s="237"/>
      <c r="F44" s="237" t="str">
        <v>Bruri Rahmat</v>
      </c>
      <c r="G44" s="237"/>
      <c r="H44" s="237" t="str">
        <v>Abrarland</v>
      </c>
      <c r="I44" s="237"/>
      <c r="J44" s="237" t="str">
        <v>Developer property pingin bisa targeting pasar secara jelas dan menghasilkan lead yg jelas</v>
      </c>
      <c r="K44" s="237"/>
      <c r="L44" s="236" t="str">
        <v>form landing page</v>
      </c>
      <c r="M44" s="236" t="str">
        <v>contacted</v>
      </c>
      <c r="N44" s="237"/>
      <c r="O44" s="259"/>
      <c r="P44" s="259"/>
      <c r="Q44" s="259"/>
      <c r="R44" s="259"/>
    </row>
    <row r="45">
      <c r="A45" s="226"/>
      <c r="B45" s="229">
        <v>46080</v>
      </c>
      <c r="C45" s="231"/>
      <c r="D45" s="235"/>
      <c r="E45" s="227"/>
      <c r="F45" s="227" t="str">
        <v>Fery Marendra</v>
      </c>
      <c r="G45" s="227" t="str">
        <v>Manager Marketing
</v>
      </c>
      <c r="H45" s="227" t="str">
        <v>PT Mozaik Universe Indonesia
</v>
      </c>
      <c r="I45" s="227"/>
      <c r="J45" s="227" t="str">
        <v>Saya ingin tau lebih jauh tentang mapid.</v>
      </c>
      <c r="K45" s="227"/>
      <c r="L45" s="225" t="str">
        <v>form landing page</v>
      </c>
      <c r="M45" s="225" t="str">
        <v>contacted</v>
      </c>
      <c r="N45" s="227"/>
      <c r="O45" s="133"/>
      <c r="P45" s="133"/>
      <c r="Q45" s="133"/>
      <c r="R45" s="133"/>
    </row>
    <row r="46">
      <c r="A46" s="226"/>
      <c r="B46" s="229">
        <v>46080</v>
      </c>
      <c r="C46" s="231"/>
      <c r="D46" s="230">
        <v>46086</v>
      </c>
      <c r="E46" s="227"/>
      <c r="F46" s="227" t="str">
        <v>Muhammad Fadli Rahmat</v>
      </c>
      <c r="G46" s="227" t="str">
        <v>Owner</v>
      </c>
      <c r="H46" s="227" t="str">
        <v>Warung Sangu Alun Alun</v>
      </c>
      <c r="I46" s="227"/>
      <c r="J46" s="227" t="str">
        <v>Membuka cabang baru</v>
      </c>
      <c r="K46" s="227"/>
      <c r="L46" s="225" t="str">
        <v>form landing page</v>
      </c>
      <c r="M46" s="225" t="str">
        <v>contacted</v>
      </c>
      <c r="N46" s="227"/>
      <c r="O46" s="133"/>
      <c r="P46" s="133"/>
      <c r="Q46" s="133"/>
      <c r="R46" s="133"/>
    </row>
    <row r="47">
      <c r="A47" s="226"/>
      <c r="B47" s="229">
        <v>46080</v>
      </c>
      <c r="C47" s="231"/>
      <c r="D47" s="235"/>
      <c r="E47" s="227"/>
      <c r="F47" s="227" t="str">
        <v>Wanury Nur</v>
      </c>
      <c r="G47" s="227" t="str">
        <v>Owner</v>
      </c>
      <c r="H47" s="227" t="str">
        <v>Kopi</v>
      </c>
      <c r="I47" s="227"/>
      <c r="J47" s="227" t="str">
        <v>Mau buka cafe di kabupaten pekalongan</v>
      </c>
      <c r="K47" s="227"/>
      <c r="L47" s="225" t="str">
        <v>form landing page</v>
      </c>
      <c r="M47" s="225" t="str">
        <v>contacted</v>
      </c>
      <c r="N47" s="227"/>
      <c r="O47" s="133"/>
      <c r="P47" s="133"/>
      <c r="Q47" s="133"/>
      <c r="R47" s="133"/>
    </row>
    <row r="48">
      <c r="A48" s="226"/>
      <c r="B48" s="229">
        <v>46081</v>
      </c>
      <c r="C48" s="231"/>
      <c r="D48" s="230">
        <v>46085</v>
      </c>
      <c r="E48" s="227"/>
      <c r="F48" s="227" t="str">
        <v>Fachmi</v>
      </c>
      <c r="G48" s="227"/>
      <c r="H48" s="227" t="str">
        <v>ICRP</v>
      </c>
      <c r="I48" s="227"/>
      <c r="J48" s="227" t="str">
        <v>Saya ingin mengetahui lokasi potensial untuk bisnis ayam goreng crispy, di wilayah jabodetabek dan bandung</v>
      </c>
      <c r="K48" s="227"/>
      <c r="L48" s="225" t="str">
        <v>calendly</v>
      </c>
      <c r="M48" s="225" t="str">
        <v>proposal</v>
      </c>
      <c r="N48" s="227"/>
      <c r="O48" s="133"/>
      <c r="P48" s="133"/>
      <c r="Q48" s="133"/>
      <c r="R48" s="133"/>
    </row>
    <row r="49">
      <c r="A49" s="226"/>
      <c r="B49" s="229">
        <v>46081</v>
      </c>
      <c r="C49" s="231"/>
      <c r="D49" s="235"/>
      <c r="E49" s="227"/>
      <c r="F49" s="227" t="str">
        <v>Eriz Pratama</v>
      </c>
      <c r="G49" s="227"/>
      <c r="H49" s="227" t="str">
        <v>Cafe dan space</v>
      </c>
      <c r="I49" s="227"/>
      <c r="J49" s="227" t="str">
        <v>Saya butuh data customer agar target market saya bisa pas</v>
      </c>
      <c r="K49" s="227"/>
      <c r="L49" s="225" t="str">
        <v>form landing page</v>
      </c>
      <c r="M49" s="225" t="str">
        <v>contacted</v>
      </c>
      <c r="N49" s="227"/>
      <c r="O49" s="133"/>
      <c r="P49" s="133"/>
      <c r="Q49" s="133"/>
      <c r="R49" s="133"/>
    </row>
    <row r="50">
      <c r="A50" s="226"/>
      <c r="B50" s="229">
        <v>46081</v>
      </c>
      <c r="C50" s="231"/>
      <c r="D50" s="235"/>
      <c r="E50" s="227"/>
      <c r="F50" s="227" t="str">
        <v>Damai Sihite</v>
      </c>
      <c r="G50" s="227"/>
      <c r="H50" s="227" t="str">
        <v>Vegemart papa</v>
      </c>
      <c r="I50" s="227"/>
      <c r="J50" s="227" t="str">
        <v>Untuk penjangkauan distribusi dan penjualan</v>
      </c>
      <c r="K50" s="227"/>
      <c r="L50" s="225" t="str">
        <v>form landing page</v>
      </c>
      <c r="M50" s="225" t="str">
        <v>contacted</v>
      </c>
      <c r="N50" s="227"/>
      <c r="O50" s="133"/>
      <c r="P50" s="133"/>
      <c r="Q50" s="133"/>
      <c r="R50" s="133"/>
    </row>
    <row r="51">
      <c r="A51" s="226"/>
      <c r="B51" s="229">
        <v>46082</v>
      </c>
      <c r="C51" s="231"/>
      <c r="D51" s="235"/>
      <c r="E51" s="227"/>
      <c r="F51" s="227" t="str">
        <v>NOULDY ALBERT NESA</v>
      </c>
      <c r="G51" s="227"/>
      <c r="H51" s="227" t="str">
        <v>PT MCS</v>
      </c>
      <c r="I51" s="227"/>
      <c r="J51" s="227" t="str">
        <v>Expansi area jakarta dan surabaya</v>
      </c>
      <c r="K51" s="227"/>
      <c r="L51" s="225" t="str">
        <v>form landing page</v>
      </c>
      <c r="M51" s="225" t="str">
        <v>contacted</v>
      </c>
      <c r="N51" s="227"/>
      <c r="O51" s="133"/>
      <c r="P51" s="133"/>
      <c r="Q51" s="133"/>
      <c r="R51" s="133"/>
    </row>
    <row r="52">
      <c r="A52" s="226"/>
      <c r="B52" s="238">
        <v>46083</v>
      </c>
      <c r="C52" s="231"/>
      <c r="D52" s="248"/>
      <c r="E52" s="237"/>
      <c r="F52" s="237" t="str">
        <v>Agus</v>
      </c>
      <c r="G52" s="237"/>
      <c r="H52" s="237" t="str">
        <v>Railingku</v>
      </c>
      <c r="I52" s="237"/>
      <c r="J52" s="237" t="str">
        <v>Melihat potensi cabang2</v>
      </c>
      <c r="K52" s="237"/>
      <c r="L52" s="236" t="str">
        <v>form landing page</v>
      </c>
      <c r="M52" s="236" t="str">
        <v>contacted</v>
      </c>
      <c r="N52" s="237"/>
      <c r="O52" s="259"/>
      <c r="P52" s="259"/>
      <c r="Q52" s="259"/>
      <c r="R52" s="259"/>
    </row>
    <row r="53">
      <c r="A53" s="258"/>
      <c r="B53" s="230">
        <v>46083</v>
      </c>
      <c r="C53" s="235"/>
      <c r="D53" s="235"/>
      <c r="E53" s="227"/>
      <c r="F53" s="227" t="str">
        <v>Reza Nevizond</v>
      </c>
      <c r="G53" s="227" t="str">
        <v>CEO</v>
      </c>
      <c r="H53" s="227" t="str">
        <v>Pt Inti Labada Integrasi</v>
      </c>
      <c r="I53" s="227"/>
      <c r="J53" s="227" t="str">
        <v>Untuk analisis lokasi laundry</v>
      </c>
      <c r="K53" s="227"/>
      <c r="L53" s="225" t="str">
        <v>form landing page</v>
      </c>
      <c r="M53" s="225" t="str">
        <v>contacted</v>
      </c>
      <c r="N53" s="227"/>
      <c r="O53" s="133"/>
      <c r="P53" s="133"/>
      <c r="Q53" s="133"/>
      <c r="R53" s="133"/>
    </row>
    <row r="54">
      <c r="A54" s="226"/>
      <c r="B54" s="230">
        <v>46090</v>
      </c>
      <c r="C54" s="231"/>
      <c r="D54" s="230">
        <v>46091</v>
      </c>
      <c r="E54" s="232"/>
      <c r="F54" s="232" t="str">
        <v>Rea Qinthara Dikatio</v>
      </c>
      <c r="G54" s="232"/>
      <c r="H54" s="232" t="str">
        <v>StickEarn</v>
      </c>
      <c r="I54" s="232"/>
      <c r="J54" s="232" t="str">
        <v>Ekspansi ke sektor consumer business, mencari lokasi yang tepat untuk membuka Enrichment Center (konsep 3 in 1: Gym Anak + Daycare + Kursus STEM)</v>
      </c>
      <c r="K54" s="232"/>
      <c r="L54" s="233" t="str">
        <v>calendly</v>
      </c>
      <c r="M54" s="233" t="str">
        <v>demo</v>
      </c>
      <c r="N54" s="232"/>
    </row>
    <row r="55">
      <c r="A55" s="226"/>
      <c r="B55" s="230">
        <v>46104</v>
      </c>
      <c r="C55" s="231"/>
      <c r="D55" s="230">
        <v>46107</v>
      </c>
      <c r="E55" s="232"/>
      <c r="F55" s="232" t="str">
        <v>Thomas</v>
      </c>
      <c r="G55" s="232"/>
      <c r="I55" s="232"/>
      <c r="J55" s="232" t="str">
        <v>I would like to know how Mapid can help me to get started for my business</v>
      </c>
      <c r="K55" s="232"/>
      <c r="L55" s="233" t="str">
        <v>calendly</v>
      </c>
      <c r="M55" s="233" t="str">
        <v>demo</v>
      </c>
      <c r="N55" s="232"/>
    </row>
    <row r="56">
      <c r="A56" s="226"/>
      <c r="B56" s="230">
        <v>46107</v>
      </c>
      <c r="C56" s="231"/>
      <c r="D56" s="230">
        <v>46111</v>
      </c>
      <c r="E56" s="232"/>
      <c r="F56" s="232" t="str">
        <v>Hazman</v>
      </c>
      <c r="G56" s="232" t="str">
        <v>Manager</v>
      </c>
      <c r="H56" s="232" t="str">
        <v>BNI</v>
      </c>
      <c r="I56" s="232"/>
      <c r="J56" s="232" t="str">
        <v>saya membutuhkan bantuan terkait dengan heatmap pdrb per kapita untuk penempatan outlet atau atm ataupun analisa geospasial lainnya</v>
      </c>
      <c r="K56" s="232"/>
      <c r="L56" s="233" t="str">
        <v>form landing page</v>
      </c>
      <c r="M56" s="233"/>
      <c r="N56" s="232"/>
    </row>
    <row r="57">
      <c r="A57" s="226"/>
      <c r="B57" s="231"/>
      <c r="C57" s="231"/>
      <c r="D57" s="230"/>
      <c r="E57" s="232"/>
      <c r="F57" s="232"/>
      <c r="G57" s="232"/>
      <c r="H57" s="232"/>
      <c r="I57" s="232"/>
      <c r="J57" s="232"/>
      <c r="K57" s="232"/>
      <c r="L57" s="233"/>
      <c r="M57" s="233"/>
      <c r="N57" s="232"/>
    </row>
    <row r="58">
      <c r="A58" s="226"/>
      <c r="B58" s="231"/>
      <c r="C58" s="231"/>
      <c r="D58" s="231"/>
      <c r="E58" s="232"/>
      <c r="F58" s="232"/>
      <c r="G58" s="232"/>
      <c r="H58" s="232"/>
      <c r="I58" s="232"/>
      <c r="J58" s="232"/>
      <c r="K58" s="232"/>
      <c r="L58" s="233"/>
      <c r="M58" s="233"/>
      <c r="N58" s="232"/>
    </row>
    <row r="59">
      <c r="A59" s="226"/>
      <c r="B59" s="231"/>
      <c r="C59" s="231"/>
      <c r="D59" s="231"/>
      <c r="E59" s="232"/>
      <c r="F59" s="232"/>
      <c r="G59" s="232"/>
      <c r="H59" s="232"/>
      <c r="I59" s="232"/>
      <c r="J59" s="232"/>
      <c r="K59" s="232"/>
      <c r="L59" s="233"/>
      <c r="M59" s="233"/>
      <c r="N59" s="232"/>
    </row>
    <row r="60">
      <c r="A60" s="226"/>
      <c r="B60" s="231"/>
      <c r="C60" s="231"/>
      <c r="D60" s="231"/>
      <c r="E60" s="232"/>
      <c r="F60" s="232"/>
      <c r="G60" s="232"/>
      <c r="H60" s="232"/>
      <c r="I60" s="232"/>
      <c r="J60" s="232"/>
      <c r="K60" s="232"/>
      <c r="L60" s="233"/>
      <c r="M60" s="233"/>
      <c r="N60" s="232"/>
    </row>
    <row r="61">
      <c r="A61" s="226"/>
      <c r="B61" s="231"/>
      <c r="C61" s="231"/>
      <c r="D61" s="231"/>
      <c r="E61" s="232"/>
      <c r="F61" s="232"/>
      <c r="G61" s="232"/>
      <c r="H61" s="232"/>
      <c r="I61" s="232"/>
      <c r="J61" s="232"/>
      <c r="K61" s="232"/>
      <c r="L61" s="233"/>
      <c r="M61" s="233"/>
      <c r="N61" s="232"/>
    </row>
    <row r="62">
      <c r="A62" s="226"/>
      <c r="B62" s="231"/>
      <c r="C62" s="231"/>
      <c r="D62" s="231"/>
      <c r="E62" s="232"/>
      <c r="F62" s="232"/>
      <c r="G62" s="232"/>
      <c r="H62" s="232"/>
      <c r="I62" s="232"/>
      <c r="J62" s="232"/>
      <c r="K62" s="232"/>
      <c r="L62" s="233"/>
      <c r="M62" s="233"/>
      <c r="N62" s="232"/>
    </row>
    <row r="63">
      <c r="A63" s="226"/>
      <c r="B63" s="231"/>
      <c r="C63" s="231"/>
      <c r="D63" s="231"/>
      <c r="E63" s="232"/>
      <c r="F63" s="232"/>
      <c r="G63" s="232"/>
      <c r="H63" s="232"/>
      <c r="I63" s="232"/>
      <c r="J63" s="232"/>
      <c r="K63" s="232"/>
      <c r="L63" s="233"/>
      <c r="M63" s="233"/>
      <c r="N63" s="232"/>
    </row>
    <row r="64">
      <c r="A64" s="226"/>
      <c r="B64" s="231"/>
      <c r="C64" s="231"/>
      <c r="D64" s="231"/>
      <c r="E64" s="232"/>
      <c r="F64" s="232"/>
      <c r="G64" s="232"/>
      <c r="H64" s="232"/>
      <c r="I64" s="232"/>
      <c r="J64" s="232"/>
      <c r="K64" s="232"/>
      <c r="L64" s="233"/>
      <c r="M64" s="233"/>
      <c r="N64" s="232"/>
    </row>
    <row r="65">
      <c r="A65" s="226"/>
      <c r="B65" s="231"/>
      <c r="C65" s="231"/>
      <c r="D65" s="231"/>
      <c r="E65" s="232"/>
      <c r="F65" s="232"/>
      <c r="G65" s="232"/>
      <c r="H65" s="232"/>
      <c r="I65" s="232"/>
      <c r="J65" s="232"/>
      <c r="K65" s="232"/>
      <c r="L65" s="233"/>
      <c r="M65" s="233"/>
      <c r="N65" s="232"/>
    </row>
    <row r="66">
      <c r="A66" s="226"/>
      <c r="B66" s="231"/>
      <c r="C66" s="231"/>
      <c r="D66" s="231"/>
      <c r="E66" s="232"/>
      <c r="F66" s="232"/>
      <c r="G66" s="232"/>
      <c r="H66" s="232"/>
      <c r="I66" s="232"/>
      <c r="J66" s="232"/>
      <c r="K66" s="232"/>
      <c r="L66" s="233"/>
      <c r="M66" s="233"/>
      <c r="N66" s="232"/>
    </row>
    <row r="67">
      <c r="A67" s="226"/>
      <c r="B67" s="231"/>
      <c r="C67" s="231"/>
      <c r="D67" s="231"/>
      <c r="E67" s="232"/>
      <c r="F67" s="232"/>
      <c r="G67" s="232"/>
      <c r="H67" s="232"/>
      <c r="I67" s="232"/>
      <c r="J67" s="232"/>
      <c r="K67" s="232"/>
      <c r="L67" s="233"/>
      <c r="M67" s="233"/>
      <c r="N67" s="232"/>
    </row>
    <row r="68">
      <c r="A68" s="226"/>
      <c r="B68" s="231"/>
      <c r="C68" s="231"/>
      <c r="D68" s="231"/>
      <c r="E68" s="232"/>
      <c r="F68" s="232"/>
      <c r="G68" s="232"/>
      <c r="H68" s="232"/>
      <c r="I68" s="232"/>
      <c r="J68" s="232"/>
      <c r="K68" s="232"/>
      <c r="L68" s="233"/>
      <c r="M68" s="233"/>
      <c r="N68" s="232"/>
    </row>
    <row r="69">
      <c r="A69" s="226"/>
      <c r="B69" s="231"/>
      <c r="C69" s="231"/>
      <c r="D69" s="231"/>
      <c r="E69" s="232"/>
      <c r="F69" s="232"/>
      <c r="G69" s="232"/>
      <c r="H69" s="232"/>
      <c r="I69" s="232"/>
      <c r="J69" s="232"/>
      <c r="K69" s="232"/>
      <c r="L69" s="233"/>
      <c r="M69" s="233"/>
      <c r="N69" s="232"/>
    </row>
    <row r="70">
      <c r="A70" s="226"/>
      <c r="B70" s="231"/>
      <c r="C70" s="231"/>
      <c r="D70" s="231"/>
      <c r="E70" s="232"/>
      <c r="F70" s="232"/>
      <c r="G70" s="232"/>
      <c r="H70" s="232"/>
      <c r="I70" s="232"/>
      <c r="J70" s="232"/>
      <c r="K70" s="232"/>
      <c r="L70" s="233"/>
      <c r="M70" s="233"/>
      <c r="N70" s="232"/>
    </row>
    <row r="71">
      <c r="A71" s="226"/>
      <c r="B71" s="231"/>
      <c r="C71" s="231"/>
      <c r="D71" s="231"/>
      <c r="E71" s="232"/>
      <c r="F71" s="232"/>
      <c r="G71" s="232"/>
      <c r="H71" s="232"/>
      <c r="I71" s="232"/>
      <c r="J71" s="232"/>
      <c r="K71" s="232"/>
      <c r="L71" s="233"/>
      <c r="M71" s="233"/>
      <c r="N71" s="232"/>
    </row>
    <row r="72">
      <c r="A72" s="226"/>
      <c r="B72" s="231"/>
      <c r="C72" s="231"/>
      <c r="D72" s="231"/>
      <c r="E72" s="232"/>
      <c r="F72" s="232"/>
      <c r="G72" s="232"/>
      <c r="H72" s="232"/>
      <c r="I72" s="232"/>
      <c r="J72" s="232"/>
      <c r="K72" s="232"/>
      <c r="L72" s="233"/>
      <c r="M72" s="233"/>
      <c r="N72" s="232"/>
    </row>
    <row r="73">
      <c r="A73" s="226"/>
      <c r="B73" s="231"/>
      <c r="C73" s="231"/>
      <c r="D73" s="231"/>
      <c r="E73" s="232"/>
      <c r="F73" s="232"/>
      <c r="G73" s="232"/>
      <c r="H73" s="232"/>
      <c r="I73" s="232"/>
      <c r="J73" s="232"/>
      <c r="K73" s="232"/>
      <c r="L73" s="233"/>
      <c r="M73" s="233"/>
      <c r="N73" s="232"/>
    </row>
    <row r="74">
      <c r="A74" s="226"/>
      <c r="B74" s="231"/>
      <c r="C74" s="231"/>
      <c r="D74" s="231"/>
      <c r="E74" s="232"/>
      <c r="F74" s="232"/>
      <c r="G74" s="232"/>
      <c r="H74" s="232"/>
      <c r="I74" s="232"/>
      <c r="J74" s="232"/>
      <c r="K74" s="232"/>
      <c r="L74" s="233"/>
      <c r="M74" s="233"/>
      <c r="N74" s="232"/>
    </row>
    <row r="75">
      <c r="A75" s="226"/>
      <c r="B75" s="231"/>
      <c r="C75" s="231"/>
      <c r="D75" s="231"/>
      <c r="E75" s="232"/>
      <c r="F75" s="232"/>
      <c r="G75" s="232"/>
      <c r="H75" s="232"/>
      <c r="I75" s="232"/>
      <c r="J75" s="232"/>
      <c r="K75" s="232"/>
      <c r="L75" s="233"/>
      <c r="M75" s="233"/>
      <c r="N75" s="232"/>
    </row>
    <row r="76">
      <c r="A76" s="226"/>
      <c r="B76" s="231"/>
      <c r="C76" s="231"/>
      <c r="D76" s="231"/>
      <c r="E76" s="232"/>
      <c r="F76" s="232"/>
      <c r="G76" s="232"/>
      <c r="H76" s="232"/>
      <c r="I76" s="232"/>
      <c r="J76" s="232"/>
      <c r="K76" s="232"/>
      <c r="L76" s="233"/>
      <c r="M76" s="233"/>
      <c r="N76" s="232"/>
    </row>
    <row r="77">
      <c r="A77" s="226"/>
      <c r="B77" s="231"/>
      <c r="C77" s="231"/>
      <c r="D77" s="231"/>
      <c r="E77" s="232"/>
      <c r="F77" s="232"/>
      <c r="G77" s="232"/>
      <c r="H77" s="232"/>
      <c r="I77" s="232"/>
      <c r="J77" s="232"/>
      <c r="K77" s="232"/>
      <c r="L77" s="233"/>
      <c r="M77" s="233"/>
      <c r="N77" s="232"/>
    </row>
    <row r="78">
      <c r="A78" s="226"/>
      <c r="B78" s="231"/>
      <c r="C78" s="231"/>
      <c r="D78" s="231"/>
      <c r="E78" s="232"/>
      <c r="F78" s="232"/>
      <c r="G78" s="232"/>
      <c r="H78" s="232"/>
      <c r="I78" s="232"/>
      <c r="J78" s="232"/>
      <c r="K78" s="232"/>
      <c r="L78" s="233"/>
      <c r="M78" s="233"/>
      <c r="N78" s="232"/>
    </row>
    <row r="79">
      <c r="A79" s="226"/>
      <c r="B79" s="231"/>
      <c r="C79" s="231"/>
      <c r="D79" s="231"/>
      <c r="E79" s="232"/>
      <c r="F79" s="232"/>
      <c r="G79" s="232"/>
      <c r="H79" s="232"/>
      <c r="I79" s="232"/>
      <c r="J79" s="232"/>
      <c r="K79" s="232"/>
      <c r="L79" s="233"/>
      <c r="M79" s="233"/>
      <c r="N79" s="232"/>
    </row>
    <row r="80">
      <c r="A80" s="226"/>
      <c r="B80" s="231"/>
      <c r="C80" s="231"/>
      <c r="D80" s="231"/>
      <c r="E80" s="232"/>
      <c r="F80" s="232"/>
      <c r="G80" s="232"/>
      <c r="H80" s="232"/>
      <c r="I80" s="232"/>
      <c r="J80" s="232"/>
      <c r="K80" s="232"/>
      <c r="L80" s="233"/>
      <c r="M80" s="233"/>
      <c r="N80" s="232"/>
    </row>
    <row r="81">
      <c r="A81" s="226"/>
      <c r="B81" s="231"/>
      <c r="C81" s="231"/>
      <c r="D81" s="231"/>
      <c r="E81" s="232"/>
      <c r="F81" s="232"/>
      <c r="G81" s="232"/>
      <c r="H81" s="232"/>
      <c r="I81" s="232"/>
      <c r="J81" s="232"/>
      <c r="K81" s="232"/>
      <c r="L81" s="233"/>
      <c r="M81" s="233"/>
      <c r="N81" s="232"/>
    </row>
    <row r="82">
      <c r="A82" s="226"/>
      <c r="B82" s="231"/>
      <c r="C82" s="231"/>
      <c r="D82" s="231"/>
      <c r="E82" s="232"/>
      <c r="F82" s="232"/>
      <c r="G82" s="232"/>
      <c r="H82" s="232"/>
      <c r="I82" s="232"/>
      <c r="J82" s="232"/>
      <c r="K82" s="232"/>
      <c r="L82" s="233"/>
      <c r="M82" s="233"/>
      <c r="N82" s="232"/>
    </row>
    <row r="83">
      <c r="A83" s="226"/>
      <c r="B83" s="231"/>
      <c r="C83" s="231"/>
      <c r="D83" s="231"/>
      <c r="E83" s="232"/>
      <c r="F83" s="232"/>
      <c r="G83" s="232"/>
      <c r="H83" s="232"/>
      <c r="I83" s="232"/>
      <c r="J83" s="232"/>
      <c r="K83" s="232"/>
      <c r="L83" s="233"/>
      <c r="M83" s="233"/>
      <c r="N83" s="232"/>
    </row>
    <row r="84">
      <c r="A84" s="226"/>
      <c r="B84" s="231"/>
      <c r="C84" s="231"/>
      <c r="D84" s="231"/>
      <c r="E84" s="232"/>
      <c r="F84" s="232"/>
      <c r="G84" s="232"/>
      <c r="H84" s="232"/>
      <c r="I84" s="232"/>
      <c r="J84" s="232"/>
      <c r="K84" s="232"/>
      <c r="L84" s="233"/>
      <c r="M84" s="233"/>
      <c r="N84" s="232"/>
    </row>
    <row r="85">
      <c r="A85" s="226"/>
      <c r="B85" s="231"/>
      <c r="C85" s="231"/>
      <c r="D85" s="231"/>
      <c r="E85" s="232"/>
      <c r="F85" s="232"/>
      <c r="G85" s="232"/>
      <c r="H85" s="232"/>
      <c r="I85" s="232"/>
      <c r="J85" s="232"/>
      <c r="K85" s="232"/>
      <c r="L85" s="233"/>
      <c r="M85" s="233"/>
      <c r="N85" s="232"/>
    </row>
    <row r="86">
      <c r="A86" s="226"/>
      <c r="B86" s="231"/>
      <c r="C86" s="231"/>
      <c r="D86" s="231"/>
      <c r="E86" s="232"/>
      <c r="F86" s="232"/>
      <c r="G86" s="232"/>
      <c r="H86" s="232"/>
      <c r="I86" s="232"/>
      <c r="J86" s="232"/>
      <c r="K86" s="232"/>
      <c r="L86" s="233"/>
      <c r="M86" s="233"/>
      <c r="N86" s="232"/>
    </row>
    <row r="87">
      <c r="A87" s="226"/>
      <c r="B87" s="231"/>
      <c r="C87" s="231"/>
      <c r="D87" s="231"/>
      <c r="E87" s="232"/>
      <c r="F87" s="232"/>
      <c r="G87" s="232"/>
      <c r="H87" s="232"/>
      <c r="I87" s="232"/>
      <c r="J87" s="232"/>
      <c r="K87" s="232"/>
      <c r="L87" s="233"/>
      <c r="M87" s="233"/>
      <c r="N87" s="232"/>
    </row>
    <row r="88">
      <c r="A88" s="226"/>
      <c r="B88" s="231"/>
      <c r="C88" s="231"/>
      <c r="D88" s="231"/>
      <c r="E88" s="232"/>
      <c r="F88" s="232"/>
      <c r="G88" s="232"/>
      <c r="H88" s="232"/>
      <c r="I88" s="232"/>
      <c r="J88" s="232"/>
      <c r="K88" s="232"/>
      <c r="L88" s="233"/>
      <c r="M88" s="233"/>
      <c r="N88" s="232"/>
    </row>
    <row r="89">
      <c r="A89" s="226"/>
      <c r="B89" s="231"/>
      <c r="C89" s="231"/>
      <c r="D89" s="231"/>
      <c r="E89" s="232"/>
      <c r="F89" s="232"/>
      <c r="G89" s="232"/>
      <c r="H89" s="232"/>
      <c r="I89" s="232"/>
      <c r="J89" s="232"/>
      <c r="K89" s="232"/>
      <c r="L89" s="233"/>
      <c r="M89" s="233"/>
      <c r="N89" s="232"/>
    </row>
    <row r="90">
      <c r="A90" s="226"/>
      <c r="B90" s="231"/>
      <c r="C90" s="231"/>
      <c r="D90" s="231"/>
      <c r="E90" s="232"/>
      <c r="F90" s="232"/>
      <c r="G90" s="232"/>
      <c r="H90" s="232"/>
      <c r="I90" s="232"/>
      <c r="J90" s="232"/>
      <c r="K90" s="232"/>
      <c r="L90" s="233"/>
      <c r="M90" s="233"/>
      <c r="N90" s="232"/>
    </row>
    <row r="91">
      <c r="A91" s="226"/>
      <c r="B91" s="231"/>
      <c r="C91" s="231"/>
      <c r="D91" s="231"/>
      <c r="E91" s="232"/>
      <c r="F91" s="232"/>
      <c r="G91" s="232"/>
      <c r="H91" s="232"/>
      <c r="I91" s="232"/>
      <c r="J91" s="232"/>
      <c r="K91" s="232"/>
      <c r="L91" s="233"/>
      <c r="M91" s="233"/>
      <c r="N91" s="232"/>
    </row>
    <row r="92">
      <c r="A92" s="226"/>
      <c r="B92" s="231"/>
      <c r="C92" s="231"/>
      <c r="D92" s="231"/>
      <c r="E92" s="232"/>
      <c r="F92" s="232"/>
      <c r="G92" s="232"/>
      <c r="H92" s="232"/>
      <c r="I92" s="232"/>
      <c r="J92" s="232"/>
      <c r="K92" s="232"/>
      <c r="L92" s="233"/>
      <c r="M92" s="233"/>
      <c r="N92" s="232"/>
    </row>
    <row r="93">
      <c r="A93" s="226"/>
      <c r="B93" s="231"/>
      <c r="C93" s="231"/>
      <c r="D93" s="231"/>
      <c r="E93" s="232"/>
      <c r="F93" s="232"/>
      <c r="G93" s="232"/>
      <c r="H93" s="232"/>
      <c r="I93" s="232"/>
      <c r="J93" s="232"/>
      <c r="K93" s="232"/>
      <c r="L93" s="233"/>
      <c r="M93" s="233"/>
      <c r="N93" s="232"/>
    </row>
    <row r="94">
      <c r="A94" s="226"/>
      <c r="B94" s="231"/>
      <c r="C94" s="231"/>
      <c r="D94" s="231"/>
      <c r="E94" s="232"/>
      <c r="F94" s="232"/>
      <c r="G94" s="232"/>
      <c r="H94" s="232"/>
      <c r="I94" s="232"/>
      <c r="J94" s="232"/>
      <c r="K94" s="232"/>
      <c r="L94" s="233"/>
      <c r="M94" s="233"/>
      <c r="N94" s="232"/>
    </row>
    <row r="95">
      <c r="A95" s="226"/>
      <c r="B95" s="231"/>
      <c r="C95" s="231"/>
      <c r="D95" s="231"/>
      <c r="E95" s="232"/>
      <c r="F95" s="232"/>
      <c r="G95" s="232"/>
      <c r="H95" s="232"/>
      <c r="I95" s="232"/>
      <c r="J95" s="232"/>
      <c r="K95" s="232"/>
      <c r="L95" s="232"/>
      <c r="M95" s="232"/>
      <c r="N95" s="232"/>
    </row>
    <row r="96">
      <c r="A96" s="226"/>
      <c r="B96" s="231"/>
      <c r="C96" s="231"/>
      <c r="D96" s="231"/>
      <c r="E96" s="232"/>
      <c r="F96" s="232"/>
      <c r="G96" s="232"/>
      <c r="H96" s="232"/>
      <c r="I96" s="232"/>
      <c r="J96" s="232"/>
      <c r="K96" s="232"/>
      <c r="L96" s="232"/>
      <c r="M96" s="232"/>
      <c r="N96" s="232"/>
    </row>
    <row r="97">
      <c r="A97" s="226"/>
      <c r="B97" s="231"/>
      <c r="C97" s="231"/>
      <c r="D97" s="231"/>
      <c r="E97" s="232"/>
      <c r="F97" s="232"/>
      <c r="G97" s="232"/>
      <c r="H97" s="232"/>
      <c r="I97" s="232"/>
      <c r="J97" s="232"/>
      <c r="K97" s="232"/>
      <c r="L97" s="232"/>
      <c r="M97" s="232"/>
      <c r="N97" s="232"/>
    </row>
    <row r="98">
      <c r="A98" s="226"/>
      <c r="B98" s="231"/>
      <c r="C98" s="231"/>
      <c r="D98" s="231"/>
      <c r="E98" s="232"/>
      <c r="F98" s="232"/>
      <c r="G98" s="232"/>
      <c r="H98" s="232"/>
      <c r="I98" s="232"/>
      <c r="J98" s="232"/>
      <c r="K98" s="232"/>
      <c r="L98" s="232"/>
      <c r="M98" s="232"/>
      <c r="N98" s="232"/>
    </row>
    <row r="99">
      <c r="A99" s="226"/>
      <c r="B99" s="231"/>
      <c r="C99" s="231"/>
      <c r="D99" s="231"/>
      <c r="E99" s="232"/>
      <c r="F99" s="232"/>
      <c r="G99" s="232"/>
      <c r="H99" s="232"/>
      <c r="I99" s="232"/>
      <c r="J99" s="232"/>
      <c r="K99" s="232"/>
      <c r="L99" s="232"/>
      <c r="M99" s="232"/>
      <c r="N99" s="232"/>
    </row>
    <row r="100">
      <c r="A100" s="226"/>
      <c r="B100" s="231"/>
      <c r="C100" s="231"/>
      <c r="D100" s="231"/>
      <c r="E100" s="232"/>
      <c r="F100" s="232"/>
      <c r="G100" s="232"/>
      <c r="H100" s="232"/>
      <c r="I100" s="232"/>
      <c r="J100" s="232"/>
      <c r="K100" s="232"/>
      <c r="L100" s="232"/>
      <c r="M100" s="232"/>
      <c r="N100" s="232"/>
    </row>
    <row r="101">
      <c r="A101" s="226"/>
      <c r="B101" s="231"/>
      <c r="C101" s="231"/>
      <c r="D101" s="231"/>
      <c r="E101" s="232"/>
      <c r="F101" s="232"/>
      <c r="G101" s="232"/>
      <c r="H101" s="232"/>
      <c r="I101" s="232"/>
      <c r="J101" s="232"/>
      <c r="K101" s="232"/>
      <c r="L101" s="232"/>
      <c r="M101" s="232"/>
      <c r="N101" s="232"/>
    </row>
    <row r="102">
      <c r="A102" s="226"/>
      <c r="B102" s="231"/>
      <c r="C102" s="231"/>
      <c r="D102" s="231"/>
      <c r="E102" s="232"/>
      <c r="F102" s="232"/>
      <c r="G102" s="232"/>
      <c r="H102" s="232"/>
      <c r="I102" s="232"/>
      <c r="J102" s="232"/>
      <c r="K102" s="232"/>
      <c r="L102" s="232"/>
      <c r="M102" s="232"/>
      <c r="N102" s="232"/>
    </row>
    <row r="103">
      <c r="A103" s="226"/>
      <c r="B103" s="231"/>
      <c r="C103" s="231"/>
      <c r="D103" s="231"/>
      <c r="E103" s="232"/>
      <c r="F103" s="232"/>
      <c r="G103" s="232"/>
      <c r="H103" s="232"/>
      <c r="I103" s="232"/>
      <c r="J103" s="232"/>
      <c r="K103" s="232"/>
      <c r="L103" s="232"/>
      <c r="M103" s="232"/>
      <c r="N103" s="232"/>
    </row>
    <row r="104">
      <c r="A104" s="226"/>
      <c r="B104" s="231"/>
      <c r="C104" s="231"/>
      <c r="D104" s="231"/>
      <c r="E104" s="232"/>
      <c r="F104" s="232"/>
      <c r="G104" s="232"/>
      <c r="H104" s="232"/>
      <c r="I104" s="232"/>
      <c r="J104" s="232"/>
      <c r="K104" s="232"/>
      <c r="L104" s="232"/>
      <c r="M104" s="232"/>
      <c r="N104" s="232"/>
    </row>
    <row r="105">
      <c r="A105" s="226"/>
      <c r="B105" s="231"/>
      <c r="C105" s="231"/>
      <c r="D105" s="231"/>
      <c r="E105" s="232"/>
      <c r="F105" s="232"/>
      <c r="G105" s="232"/>
      <c r="H105" s="232"/>
      <c r="I105" s="232"/>
      <c r="J105" s="232"/>
      <c r="K105" s="232"/>
      <c r="L105" s="232"/>
      <c r="M105" s="232"/>
      <c r="N105" s="232"/>
    </row>
    <row r="106">
      <c r="A106" s="226"/>
      <c r="B106" s="231"/>
      <c r="C106" s="231"/>
      <c r="D106" s="231"/>
      <c r="E106" s="232"/>
      <c r="F106" s="232"/>
      <c r="G106" s="232"/>
      <c r="H106" s="232"/>
      <c r="I106" s="232"/>
      <c r="J106" s="232"/>
      <c r="K106" s="232"/>
      <c r="L106" s="232"/>
      <c r="M106" s="232"/>
      <c r="N106" s="232"/>
    </row>
    <row r="107">
      <c r="A107" s="226"/>
      <c r="B107" s="231"/>
      <c r="C107" s="231"/>
      <c r="D107" s="231"/>
      <c r="E107" s="232"/>
      <c r="F107" s="232"/>
      <c r="G107" s="232"/>
      <c r="H107" s="232"/>
      <c r="I107" s="232"/>
      <c r="J107" s="232"/>
      <c r="K107" s="232"/>
      <c r="L107" s="232"/>
      <c r="M107" s="232"/>
      <c r="N107" s="232"/>
    </row>
    <row r="108">
      <c r="A108" s="226"/>
      <c r="B108" s="231"/>
      <c r="C108" s="231"/>
      <c r="D108" s="231"/>
      <c r="E108" s="232"/>
      <c r="F108" s="232"/>
      <c r="G108" s="232"/>
      <c r="H108" s="232"/>
      <c r="I108" s="232"/>
      <c r="J108" s="232"/>
      <c r="K108" s="232"/>
      <c r="L108" s="232"/>
      <c r="M108" s="232"/>
      <c r="N108" s="232"/>
    </row>
    <row r="109">
      <c r="A109" s="226"/>
      <c r="B109" s="231"/>
      <c r="C109" s="231"/>
      <c r="D109" s="231"/>
      <c r="E109" s="232"/>
      <c r="F109" s="232"/>
      <c r="G109" s="232"/>
      <c r="H109" s="232"/>
      <c r="I109" s="232"/>
      <c r="J109" s="232"/>
      <c r="K109" s="232"/>
      <c r="L109" s="232"/>
      <c r="M109" s="232"/>
      <c r="N109" s="232"/>
    </row>
    <row r="110">
      <c r="A110" s="226"/>
      <c r="B110" s="231"/>
      <c r="C110" s="231"/>
      <c r="D110" s="231"/>
      <c r="E110" s="232"/>
      <c r="F110" s="232"/>
      <c r="G110" s="232"/>
      <c r="H110" s="232"/>
      <c r="I110" s="232"/>
      <c r="J110" s="232"/>
      <c r="K110" s="232"/>
      <c r="L110" s="232"/>
      <c r="M110" s="232"/>
      <c r="N110" s="232"/>
    </row>
    <row r="111">
      <c r="A111" s="226"/>
      <c r="B111" s="231"/>
      <c r="C111" s="231"/>
      <c r="D111" s="231"/>
      <c r="E111" s="232"/>
      <c r="F111" s="232"/>
      <c r="G111" s="232"/>
      <c r="H111" s="232"/>
      <c r="I111" s="232"/>
      <c r="J111" s="232"/>
      <c r="K111" s="232"/>
      <c r="L111" s="232"/>
      <c r="M111" s="232"/>
      <c r="N111" s="232"/>
    </row>
    <row r="112">
      <c r="A112" s="226"/>
      <c r="B112" s="231"/>
      <c r="C112" s="231"/>
      <c r="D112" s="231"/>
      <c r="E112" s="232"/>
      <c r="F112" s="232"/>
      <c r="G112" s="232"/>
      <c r="H112" s="232"/>
      <c r="I112" s="232"/>
      <c r="J112" s="232"/>
      <c r="K112" s="232"/>
      <c r="L112" s="232"/>
      <c r="M112" s="232"/>
      <c r="N112" s="232"/>
    </row>
    <row r="113">
      <c r="A113" s="226"/>
      <c r="B113" s="231"/>
      <c r="C113" s="231"/>
      <c r="D113" s="231"/>
      <c r="E113" s="232"/>
      <c r="F113" s="232"/>
      <c r="G113" s="232"/>
      <c r="H113" s="232"/>
      <c r="I113" s="232"/>
      <c r="J113" s="232"/>
      <c r="K113" s="232"/>
      <c r="L113" s="232"/>
      <c r="M113" s="232"/>
      <c r="N113" s="232"/>
    </row>
    <row r="114">
      <c r="A114" s="226"/>
      <c r="B114" s="231"/>
      <c r="C114" s="231"/>
      <c r="D114" s="231"/>
      <c r="E114" s="232"/>
      <c r="F114" s="232"/>
      <c r="G114" s="232"/>
      <c r="H114" s="232"/>
      <c r="I114" s="232"/>
      <c r="J114" s="232"/>
      <c r="K114" s="232"/>
      <c r="L114" s="232"/>
      <c r="M114" s="232"/>
      <c r="N114" s="232"/>
    </row>
    <row r="115">
      <c r="A115" s="226"/>
      <c r="B115" s="231"/>
      <c r="C115" s="231"/>
      <c r="D115" s="231"/>
      <c r="E115" s="232"/>
      <c r="F115" s="232"/>
      <c r="G115" s="232"/>
      <c r="H115" s="232"/>
      <c r="I115" s="232"/>
      <c r="J115" s="232"/>
      <c r="K115" s="232"/>
      <c r="L115" s="232"/>
      <c r="M115" s="232"/>
      <c r="N115" s="232"/>
    </row>
    <row r="116">
      <c r="A116" s="226"/>
      <c r="B116" s="231"/>
      <c r="C116" s="231"/>
      <c r="D116" s="231"/>
      <c r="E116" s="232"/>
      <c r="F116" s="232"/>
      <c r="G116" s="232"/>
      <c r="H116" s="232"/>
      <c r="I116" s="232"/>
      <c r="J116" s="232"/>
      <c r="K116" s="232"/>
      <c r="L116" s="232"/>
      <c r="M116" s="232"/>
      <c r="N116" s="232"/>
    </row>
    <row r="117">
      <c r="A117" s="226"/>
      <c r="B117" s="231"/>
      <c r="C117" s="231"/>
      <c r="D117" s="231"/>
      <c r="E117" s="232"/>
      <c r="F117" s="232"/>
      <c r="G117" s="232"/>
      <c r="H117" s="232"/>
      <c r="I117" s="232"/>
      <c r="J117" s="232"/>
      <c r="K117" s="232"/>
      <c r="L117" s="232"/>
      <c r="M117" s="232"/>
      <c r="N117" s="232"/>
    </row>
    <row r="118">
      <c r="A118" s="226"/>
      <c r="B118" s="231"/>
      <c r="C118" s="231"/>
      <c r="D118" s="231"/>
      <c r="E118" s="232"/>
      <c r="F118" s="232"/>
      <c r="G118" s="232"/>
      <c r="H118" s="232"/>
      <c r="I118" s="232"/>
      <c r="J118" s="232"/>
      <c r="K118" s="232"/>
      <c r="L118" s="232"/>
      <c r="M118" s="232"/>
      <c r="N118" s="232"/>
    </row>
    <row r="119">
      <c r="A119" s="226"/>
      <c r="B119" s="231"/>
      <c r="C119" s="231"/>
      <c r="D119" s="231"/>
      <c r="E119" s="232"/>
      <c r="F119" s="232"/>
      <c r="G119" s="232"/>
      <c r="H119" s="232"/>
      <c r="I119" s="232"/>
      <c r="J119" s="232"/>
      <c r="K119" s="232"/>
      <c r="L119" s="232"/>
      <c r="M119" s="232"/>
      <c r="N119" s="232"/>
    </row>
    <row r="120">
      <c r="A120" s="226"/>
      <c r="B120" s="231"/>
      <c r="C120" s="231"/>
      <c r="D120" s="231"/>
      <c r="E120" s="232"/>
      <c r="F120" s="232"/>
      <c r="G120" s="232"/>
      <c r="H120" s="232"/>
      <c r="I120" s="232"/>
      <c r="J120" s="232"/>
      <c r="K120" s="232"/>
      <c r="L120" s="232"/>
      <c r="M120" s="232"/>
      <c r="N120" s="232"/>
    </row>
    <row r="121">
      <c r="A121" s="226"/>
      <c r="B121" s="231"/>
      <c r="C121" s="231"/>
      <c r="D121" s="231"/>
      <c r="E121" s="232"/>
      <c r="F121" s="232"/>
      <c r="G121" s="232"/>
      <c r="H121" s="232"/>
      <c r="I121" s="232"/>
      <c r="J121" s="232"/>
      <c r="K121" s="232"/>
      <c r="L121" s="232"/>
      <c r="M121" s="232"/>
      <c r="N121" s="232"/>
    </row>
    <row r="122">
      <c r="A122" s="226"/>
      <c r="B122" s="231"/>
      <c r="C122" s="231"/>
      <c r="D122" s="231"/>
      <c r="E122" s="232"/>
      <c r="F122" s="232"/>
      <c r="G122" s="232"/>
      <c r="H122" s="232"/>
      <c r="I122" s="232"/>
      <c r="J122" s="232"/>
      <c r="K122" s="232"/>
      <c r="L122" s="232"/>
      <c r="M122" s="232"/>
      <c r="N122" s="232"/>
    </row>
    <row r="123">
      <c r="A123" s="226"/>
      <c r="B123" s="231"/>
      <c r="C123" s="231"/>
      <c r="D123" s="231"/>
      <c r="E123" s="232"/>
      <c r="F123" s="232"/>
      <c r="G123" s="232"/>
      <c r="H123" s="232"/>
      <c r="I123" s="232"/>
      <c r="J123" s="232"/>
      <c r="K123" s="232"/>
      <c r="L123" s="232"/>
      <c r="M123" s="232"/>
      <c r="N123" s="232"/>
    </row>
    <row r="124">
      <c r="A124" s="226"/>
      <c r="B124" s="231"/>
      <c r="C124" s="231"/>
      <c r="D124" s="231"/>
      <c r="E124" s="232"/>
      <c r="F124" s="232"/>
      <c r="G124" s="232"/>
      <c r="H124" s="232"/>
      <c r="I124" s="232"/>
      <c r="J124" s="232"/>
      <c r="K124" s="232"/>
      <c r="L124" s="232"/>
      <c r="M124" s="232"/>
      <c r="N124" s="232"/>
    </row>
    <row r="125">
      <c r="A125" s="226"/>
      <c r="B125" s="231"/>
      <c r="C125" s="231"/>
      <c r="D125" s="231"/>
      <c r="E125" s="232"/>
      <c r="F125" s="232"/>
      <c r="G125" s="232"/>
      <c r="H125" s="232"/>
      <c r="I125" s="232"/>
      <c r="J125" s="232"/>
      <c r="K125" s="232"/>
      <c r="L125" s="232"/>
      <c r="M125" s="232"/>
      <c r="N125" s="232"/>
    </row>
    <row r="126">
      <c r="A126" s="226"/>
      <c r="B126" s="231"/>
      <c r="C126" s="231"/>
      <c r="D126" s="231"/>
      <c r="E126" s="232"/>
      <c r="F126" s="232"/>
      <c r="G126" s="232"/>
      <c r="H126" s="232"/>
      <c r="I126" s="232"/>
      <c r="J126" s="232"/>
      <c r="K126" s="232"/>
      <c r="L126" s="232"/>
      <c r="M126" s="232"/>
      <c r="N126" s="232"/>
    </row>
    <row r="127">
      <c r="A127" s="226"/>
      <c r="B127" s="231"/>
      <c r="C127" s="231"/>
      <c r="D127" s="231"/>
      <c r="E127" s="232"/>
      <c r="F127" s="232"/>
      <c r="G127" s="232"/>
      <c r="H127" s="232"/>
      <c r="I127" s="232"/>
      <c r="J127" s="232"/>
      <c r="K127" s="232"/>
      <c r="L127" s="232"/>
      <c r="M127" s="232"/>
      <c r="N127" s="232"/>
    </row>
    <row r="128">
      <c r="A128" s="226"/>
      <c r="B128" s="231"/>
      <c r="C128" s="231"/>
      <c r="D128" s="231"/>
      <c r="E128" s="232"/>
      <c r="F128" s="232"/>
      <c r="G128" s="232"/>
      <c r="H128" s="232"/>
      <c r="I128" s="232"/>
      <c r="J128" s="232"/>
      <c r="K128" s="232"/>
      <c r="L128" s="232"/>
      <c r="M128" s="232"/>
      <c r="N128" s="232"/>
    </row>
    <row r="129">
      <c r="A129" s="226"/>
      <c r="B129" s="231"/>
      <c r="C129" s="231"/>
      <c r="D129" s="231"/>
      <c r="E129" s="232"/>
      <c r="F129" s="232"/>
      <c r="G129" s="232"/>
      <c r="H129" s="232"/>
      <c r="I129" s="232"/>
      <c r="J129" s="232"/>
      <c r="K129" s="232"/>
      <c r="L129" s="232"/>
      <c r="M129" s="232"/>
      <c r="N129" s="232"/>
    </row>
    <row r="130">
      <c r="A130" s="226"/>
      <c r="B130" s="231"/>
      <c r="C130" s="231"/>
      <c r="D130" s="231"/>
      <c r="E130" s="232"/>
      <c r="F130" s="232"/>
      <c r="G130" s="232"/>
      <c r="H130" s="232"/>
      <c r="I130" s="232"/>
      <c r="J130" s="232"/>
      <c r="K130" s="232"/>
      <c r="L130" s="232"/>
      <c r="M130" s="232"/>
      <c r="N130" s="232"/>
    </row>
    <row r="131">
      <c r="A131" s="226"/>
      <c r="B131" s="231"/>
      <c r="C131" s="231"/>
      <c r="D131" s="231"/>
      <c r="E131" s="232"/>
      <c r="F131" s="232"/>
      <c r="G131" s="232"/>
      <c r="H131" s="232"/>
      <c r="I131" s="232"/>
      <c r="J131" s="232"/>
      <c r="K131" s="232"/>
      <c r="L131" s="232"/>
      <c r="M131" s="232"/>
      <c r="N131" s="232"/>
    </row>
    <row r="132">
      <c r="A132" s="226"/>
      <c r="B132" s="231"/>
      <c r="C132" s="231"/>
      <c r="D132" s="231"/>
      <c r="E132" s="232"/>
      <c r="F132" s="232"/>
      <c r="G132" s="232"/>
      <c r="H132" s="232"/>
      <c r="I132" s="232"/>
      <c r="J132" s="232"/>
      <c r="K132" s="232"/>
      <c r="L132" s="232"/>
      <c r="M132" s="232"/>
      <c r="N132" s="232"/>
    </row>
    <row r="133">
      <c r="A133" s="226"/>
      <c r="B133" s="231"/>
      <c r="C133" s="231"/>
      <c r="D133" s="231"/>
      <c r="E133" s="232"/>
      <c r="F133" s="232"/>
      <c r="G133" s="232"/>
      <c r="H133" s="232"/>
      <c r="I133" s="232"/>
      <c r="J133" s="232"/>
      <c r="K133" s="232"/>
      <c r="L133" s="232"/>
      <c r="M133" s="232"/>
      <c r="N133" s="232"/>
    </row>
    <row r="134">
      <c r="A134" s="226"/>
      <c r="B134" s="231"/>
      <c r="C134" s="231"/>
      <c r="D134" s="231"/>
      <c r="E134" s="232"/>
      <c r="F134" s="232"/>
      <c r="G134" s="232"/>
      <c r="H134" s="232"/>
      <c r="I134" s="232"/>
      <c r="J134" s="232"/>
      <c r="K134" s="232"/>
      <c r="L134" s="232"/>
      <c r="M134" s="232"/>
      <c r="N134" s="232"/>
    </row>
    <row r="135">
      <c r="A135" s="226"/>
      <c r="B135" s="231"/>
      <c r="C135" s="231"/>
      <c r="D135" s="231"/>
      <c r="E135" s="232"/>
      <c r="F135" s="232"/>
      <c r="G135" s="232"/>
      <c r="H135" s="232"/>
      <c r="I135" s="232"/>
      <c r="J135" s="232"/>
      <c r="K135" s="232"/>
      <c r="L135" s="232"/>
      <c r="M135" s="232"/>
      <c r="N135" s="232"/>
    </row>
    <row r="136">
      <c r="A136" s="226"/>
      <c r="B136" s="231"/>
      <c r="C136" s="231"/>
      <c r="D136" s="231"/>
      <c r="E136" s="232"/>
      <c r="F136" s="232"/>
      <c r="G136" s="232"/>
      <c r="H136" s="232"/>
      <c r="I136" s="232"/>
      <c r="J136" s="232"/>
      <c r="K136" s="232"/>
      <c r="L136" s="232"/>
      <c r="M136" s="232"/>
      <c r="N136" s="232"/>
    </row>
    <row r="137">
      <c r="A137" s="226"/>
      <c r="B137" s="231"/>
      <c r="C137" s="231"/>
      <c r="D137" s="231"/>
      <c r="E137" s="232"/>
      <c r="F137" s="232"/>
      <c r="G137" s="232"/>
      <c r="H137" s="232"/>
      <c r="I137" s="232"/>
      <c r="J137" s="232"/>
      <c r="K137" s="232"/>
      <c r="L137" s="232"/>
      <c r="M137" s="232"/>
      <c r="N137" s="232"/>
    </row>
    <row r="138">
      <c r="A138" s="226"/>
      <c r="B138" s="231"/>
      <c r="C138" s="231"/>
      <c r="D138" s="231"/>
      <c r="E138" s="232"/>
      <c r="F138" s="232"/>
      <c r="G138" s="232"/>
      <c r="H138" s="232"/>
      <c r="I138" s="232"/>
      <c r="J138" s="232"/>
      <c r="K138" s="232"/>
      <c r="L138" s="232"/>
      <c r="M138" s="232"/>
      <c r="N138" s="232"/>
    </row>
    <row r="139">
      <c r="A139" s="226"/>
      <c r="B139" s="231"/>
      <c r="C139" s="231"/>
      <c r="D139" s="231"/>
      <c r="E139" s="232"/>
      <c r="F139" s="232"/>
      <c r="G139" s="232"/>
      <c r="H139" s="232"/>
      <c r="I139" s="232"/>
      <c r="J139" s="232"/>
      <c r="K139" s="232"/>
      <c r="L139" s="232"/>
      <c r="M139" s="232"/>
      <c r="N139" s="232"/>
    </row>
    <row r="140">
      <c r="A140" s="226"/>
      <c r="B140" s="231"/>
      <c r="C140" s="231"/>
      <c r="D140" s="231"/>
      <c r="E140" s="232"/>
      <c r="F140" s="232"/>
      <c r="G140" s="232"/>
      <c r="H140" s="232"/>
      <c r="I140" s="232"/>
      <c r="J140" s="232"/>
      <c r="K140" s="232"/>
      <c r="L140" s="232"/>
      <c r="M140" s="232"/>
      <c r="N140" s="232"/>
    </row>
    <row r="141">
      <c r="A141" s="226"/>
      <c r="B141" s="231"/>
      <c r="C141" s="231"/>
      <c r="D141" s="231"/>
      <c r="E141" s="232"/>
      <c r="F141" s="232"/>
      <c r="G141" s="232"/>
      <c r="H141" s="232"/>
      <c r="I141" s="232"/>
      <c r="J141" s="232"/>
      <c r="K141" s="232"/>
      <c r="L141" s="232"/>
      <c r="M141" s="232"/>
      <c r="N141" s="232"/>
    </row>
    <row r="142">
      <c r="A142" s="226"/>
      <c r="B142" s="231"/>
      <c r="C142" s="231"/>
      <c r="D142" s="231"/>
      <c r="E142" s="232"/>
      <c r="F142" s="232"/>
      <c r="G142" s="232"/>
      <c r="H142" s="232"/>
      <c r="I142" s="232"/>
      <c r="J142" s="232"/>
      <c r="K142" s="232"/>
      <c r="L142" s="232"/>
      <c r="M142" s="232"/>
      <c r="N142" s="232"/>
    </row>
    <row r="143">
      <c r="A143" s="226"/>
      <c r="B143" s="231"/>
      <c r="C143" s="231"/>
      <c r="D143" s="231"/>
      <c r="E143" s="232"/>
      <c r="F143" s="232"/>
      <c r="G143" s="232"/>
      <c r="H143" s="232"/>
      <c r="I143" s="232"/>
      <c r="J143" s="232"/>
      <c r="K143" s="232"/>
      <c r="L143" s="232"/>
      <c r="M143" s="232"/>
      <c r="N143" s="232"/>
    </row>
    <row r="144">
      <c r="A144" s="226"/>
      <c r="B144" s="231"/>
      <c r="C144" s="231"/>
      <c r="D144" s="231"/>
      <c r="E144" s="232"/>
      <c r="F144" s="232"/>
      <c r="G144" s="232"/>
      <c r="H144" s="232"/>
      <c r="I144" s="232"/>
      <c r="J144" s="232"/>
      <c r="K144" s="232"/>
      <c r="L144" s="232"/>
      <c r="M144" s="232"/>
      <c r="N144" s="232"/>
    </row>
    <row r="145">
      <c r="A145" s="226"/>
      <c r="B145" s="231"/>
      <c r="C145" s="231"/>
      <c r="D145" s="231"/>
      <c r="E145" s="232"/>
      <c r="F145" s="232"/>
      <c r="G145" s="232"/>
      <c r="H145" s="232"/>
      <c r="I145" s="232"/>
      <c r="J145" s="232"/>
      <c r="K145" s="232"/>
      <c r="L145" s="232"/>
      <c r="M145" s="232"/>
      <c r="N145" s="232"/>
    </row>
    <row r="146">
      <c r="A146" s="226"/>
      <c r="B146" s="231"/>
      <c r="C146" s="231"/>
      <c r="D146" s="231"/>
      <c r="E146" s="232"/>
      <c r="F146" s="232"/>
      <c r="G146" s="232"/>
      <c r="H146" s="232"/>
      <c r="I146" s="232"/>
      <c r="J146" s="232"/>
      <c r="K146" s="232"/>
      <c r="L146" s="232"/>
      <c r="M146" s="232"/>
      <c r="N146" s="232"/>
    </row>
    <row r="147">
      <c r="A147" s="226"/>
      <c r="B147" s="231"/>
      <c r="C147" s="231"/>
      <c r="D147" s="231"/>
      <c r="E147" s="232"/>
      <c r="F147" s="232"/>
      <c r="G147" s="232"/>
      <c r="H147" s="232"/>
      <c r="I147" s="232"/>
      <c r="J147" s="232"/>
      <c r="K147" s="232"/>
      <c r="L147" s="232"/>
      <c r="M147" s="232"/>
      <c r="N147" s="232"/>
    </row>
    <row r="148">
      <c r="A148" s="226"/>
      <c r="B148" s="231"/>
      <c r="C148" s="231"/>
      <c r="D148" s="231"/>
      <c r="E148" s="232"/>
      <c r="F148" s="232"/>
      <c r="G148" s="232"/>
      <c r="H148" s="232"/>
      <c r="I148" s="232"/>
      <c r="J148" s="232"/>
      <c r="K148" s="232"/>
      <c r="L148" s="232"/>
      <c r="M148" s="232"/>
      <c r="N148" s="232"/>
    </row>
    <row r="149">
      <c r="A149" s="226"/>
      <c r="B149" s="231"/>
      <c r="C149" s="231"/>
      <c r="D149" s="231"/>
      <c r="E149" s="232"/>
      <c r="F149" s="232"/>
      <c r="G149" s="232"/>
      <c r="H149" s="232"/>
      <c r="I149" s="232"/>
      <c r="J149" s="232"/>
      <c r="K149" s="232"/>
      <c r="L149" s="232"/>
      <c r="M149" s="232"/>
      <c r="N149" s="232"/>
    </row>
    <row r="150">
      <c r="A150" s="226"/>
      <c r="B150" s="231"/>
      <c r="C150" s="231"/>
      <c r="D150" s="231"/>
      <c r="E150" s="232"/>
      <c r="F150" s="232"/>
      <c r="G150" s="232"/>
      <c r="H150" s="232"/>
      <c r="I150" s="232"/>
      <c r="J150" s="232"/>
      <c r="K150" s="232"/>
      <c r="L150" s="232"/>
      <c r="M150" s="232"/>
      <c r="N150" s="232"/>
    </row>
    <row r="151">
      <c r="A151" s="226"/>
      <c r="B151" s="231"/>
      <c r="C151" s="231"/>
      <c r="D151" s="231"/>
      <c r="E151" s="232"/>
      <c r="F151" s="232"/>
      <c r="G151" s="232"/>
      <c r="H151" s="232"/>
      <c r="I151" s="232"/>
      <c r="J151" s="232"/>
      <c r="K151" s="232"/>
      <c r="L151" s="232"/>
      <c r="M151" s="232"/>
      <c r="N151" s="232"/>
    </row>
    <row r="152">
      <c r="A152" s="226"/>
      <c r="B152" s="231"/>
      <c r="C152" s="231"/>
      <c r="D152" s="231"/>
      <c r="E152" s="232"/>
      <c r="F152" s="232"/>
      <c r="G152" s="232"/>
      <c r="H152" s="232"/>
      <c r="I152" s="232"/>
      <c r="J152" s="232"/>
      <c r="K152" s="232"/>
      <c r="L152" s="232"/>
      <c r="M152" s="232"/>
      <c r="N152" s="232"/>
    </row>
    <row r="153">
      <c r="A153" s="226"/>
      <c r="B153" s="231"/>
      <c r="C153" s="231"/>
      <c r="D153" s="231"/>
      <c r="E153" s="232"/>
      <c r="F153" s="232"/>
      <c r="G153" s="232"/>
      <c r="H153" s="232"/>
      <c r="I153" s="232"/>
      <c r="J153" s="232"/>
      <c r="K153" s="232"/>
      <c r="L153" s="232"/>
      <c r="M153" s="232"/>
      <c r="N153" s="232"/>
    </row>
    <row r="154">
      <c r="A154" s="226"/>
      <c r="B154" s="231"/>
      <c r="C154" s="231"/>
      <c r="D154" s="231"/>
      <c r="E154" s="232"/>
      <c r="F154" s="232"/>
      <c r="G154" s="232"/>
      <c r="H154" s="232"/>
      <c r="I154" s="232"/>
      <c r="J154" s="232"/>
      <c r="K154" s="232"/>
      <c r="L154" s="232"/>
      <c r="M154" s="232"/>
      <c r="N154" s="232"/>
    </row>
    <row r="155">
      <c r="A155" s="226"/>
      <c r="B155" s="231"/>
      <c r="C155" s="231"/>
      <c r="D155" s="231"/>
      <c r="E155" s="232"/>
      <c r="F155" s="232"/>
      <c r="G155" s="232"/>
      <c r="H155" s="232"/>
      <c r="I155" s="232"/>
      <c r="J155" s="232"/>
      <c r="K155" s="232"/>
      <c r="L155" s="232"/>
      <c r="M155" s="232"/>
      <c r="N155" s="232"/>
    </row>
    <row r="156">
      <c r="A156" s="226"/>
      <c r="B156" s="231"/>
      <c r="C156" s="231"/>
      <c r="D156" s="231"/>
      <c r="E156" s="232"/>
      <c r="F156" s="232"/>
      <c r="G156" s="232"/>
      <c r="H156" s="232"/>
      <c r="I156" s="232"/>
      <c r="J156" s="232"/>
      <c r="K156" s="232"/>
      <c r="L156" s="232"/>
      <c r="M156" s="232"/>
      <c r="N156" s="232"/>
    </row>
    <row r="157">
      <c r="A157" s="226"/>
      <c r="B157" s="231"/>
      <c r="C157" s="231"/>
      <c r="D157" s="231"/>
      <c r="E157" s="232"/>
      <c r="F157" s="232"/>
      <c r="G157" s="232"/>
      <c r="H157" s="232"/>
      <c r="I157" s="232"/>
      <c r="J157" s="232"/>
      <c r="K157" s="232"/>
      <c r="L157" s="232"/>
      <c r="M157" s="232"/>
      <c r="N157" s="232"/>
    </row>
    <row r="158">
      <c r="A158" s="226"/>
      <c r="B158" s="231"/>
      <c r="C158" s="231"/>
      <c r="D158" s="231"/>
      <c r="E158" s="232"/>
      <c r="F158" s="232"/>
      <c r="G158" s="232"/>
      <c r="H158" s="232"/>
      <c r="I158" s="232"/>
      <c r="J158" s="232"/>
      <c r="K158" s="232"/>
      <c r="L158" s="232"/>
      <c r="M158" s="232"/>
      <c r="N158" s="232"/>
    </row>
    <row r="159">
      <c r="A159" s="226"/>
      <c r="B159" s="231"/>
      <c r="C159" s="231"/>
      <c r="D159" s="231"/>
      <c r="E159" s="232"/>
      <c r="F159" s="232"/>
      <c r="G159" s="232"/>
      <c r="H159" s="232"/>
      <c r="I159" s="232"/>
      <c r="J159" s="232"/>
      <c r="K159" s="232"/>
      <c r="L159" s="232"/>
      <c r="M159" s="232"/>
      <c r="N159" s="232"/>
    </row>
    <row r="160">
      <c r="A160" s="226"/>
      <c r="B160" s="231"/>
      <c r="C160" s="231"/>
      <c r="D160" s="231"/>
      <c r="E160" s="232"/>
      <c r="F160" s="232"/>
      <c r="G160" s="232"/>
      <c r="H160" s="232"/>
      <c r="I160" s="232"/>
      <c r="J160" s="232"/>
      <c r="K160" s="232"/>
      <c r="L160" s="232"/>
      <c r="M160" s="232"/>
      <c r="N160" s="232"/>
    </row>
    <row r="161">
      <c r="A161" s="226"/>
      <c r="B161" s="231"/>
      <c r="C161" s="231"/>
      <c r="D161" s="231"/>
      <c r="E161" s="232"/>
      <c r="F161" s="232"/>
      <c r="G161" s="232"/>
      <c r="H161" s="232"/>
      <c r="I161" s="232"/>
      <c r="J161" s="232"/>
      <c r="K161" s="232"/>
      <c r="L161" s="232"/>
      <c r="M161" s="232"/>
      <c r="N161" s="232"/>
    </row>
    <row r="162">
      <c r="A162" s="226"/>
      <c r="B162" s="231"/>
      <c r="C162" s="231"/>
      <c r="D162" s="231"/>
      <c r="E162" s="232"/>
      <c r="F162" s="232"/>
      <c r="G162" s="232"/>
      <c r="H162" s="232"/>
      <c r="I162" s="232"/>
      <c r="J162" s="232"/>
      <c r="K162" s="232"/>
      <c r="L162" s="232"/>
      <c r="M162" s="232"/>
      <c r="N162" s="232"/>
    </row>
    <row r="163">
      <c r="A163" s="226"/>
      <c r="B163" s="231"/>
      <c r="C163" s="231"/>
      <c r="D163" s="231"/>
      <c r="E163" s="232"/>
      <c r="F163" s="232"/>
      <c r="G163" s="232"/>
      <c r="H163" s="232"/>
      <c r="I163" s="232"/>
      <c r="J163" s="232"/>
      <c r="K163" s="232"/>
      <c r="L163" s="232"/>
      <c r="M163" s="232"/>
      <c r="N163" s="232"/>
    </row>
    <row r="164">
      <c r="A164" s="226"/>
      <c r="B164" s="231"/>
      <c r="C164" s="231"/>
      <c r="D164" s="231"/>
      <c r="E164" s="232"/>
      <c r="F164" s="232"/>
      <c r="G164" s="232"/>
      <c r="H164" s="232"/>
      <c r="I164" s="232"/>
      <c r="J164" s="232"/>
      <c r="K164" s="232"/>
      <c r="L164" s="232"/>
      <c r="M164" s="232"/>
      <c r="N164" s="232"/>
    </row>
    <row r="165">
      <c r="A165" s="226"/>
      <c r="B165" s="231"/>
      <c r="C165" s="231"/>
      <c r="D165" s="231"/>
      <c r="E165" s="232"/>
      <c r="F165" s="232"/>
      <c r="G165" s="232"/>
      <c r="H165" s="232"/>
      <c r="I165" s="232"/>
      <c r="J165" s="232"/>
      <c r="K165" s="232"/>
      <c r="L165" s="232"/>
      <c r="M165" s="232"/>
      <c r="N165" s="232"/>
    </row>
    <row r="166">
      <c r="A166" s="226"/>
      <c r="B166" s="231"/>
      <c r="C166" s="231"/>
      <c r="D166" s="231"/>
      <c r="E166" s="232"/>
      <c r="F166" s="232"/>
      <c r="G166" s="232"/>
      <c r="H166" s="232"/>
      <c r="I166" s="232"/>
      <c r="J166" s="232"/>
      <c r="K166" s="232"/>
      <c r="L166" s="232"/>
      <c r="M166" s="232"/>
      <c r="N166" s="232"/>
    </row>
    <row r="167">
      <c r="A167" s="226"/>
      <c r="B167" s="231"/>
      <c r="C167" s="231"/>
      <c r="D167" s="231"/>
      <c r="E167" s="232"/>
      <c r="F167" s="232"/>
      <c r="G167" s="232"/>
      <c r="H167" s="232"/>
      <c r="I167" s="232"/>
      <c r="J167" s="232"/>
      <c r="K167" s="232"/>
      <c r="L167" s="232"/>
      <c r="M167" s="232"/>
      <c r="N167" s="232"/>
    </row>
    <row r="168">
      <c r="A168" s="226"/>
      <c r="B168" s="231"/>
      <c r="C168" s="231"/>
      <c r="D168" s="231"/>
      <c r="E168" s="232"/>
      <c r="F168" s="232"/>
      <c r="G168" s="232"/>
      <c r="H168" s="232"/>
      <c r="I168" s="232"/>
      <c r="J168" s="232"/>
      <c r="K168" s="232"/>
      <c r="L168" s="232"/>
      <c r="M168" s="232"/>
      <c r="N168" s="232"/>
    </row>
    <row r="169">
      <c r="A169" s="226"/>
      <c r="B169" s="231"/>
      <c r="C169" s="231"/>
      <c r="D169" s="231"/>
      <c r="E169" s="232"/>
      <c r="F169" s="232"/>
      <c r="G169" s="232"/>
      <c r="H169" s="232"/>
      <c r="I169" s="232"/>
      <c r="J169" s="232"/>
      <c r="K169" s="232"/>
      <c r="L169" s="232"/>
      <c r="M169" s="232"/>
      <c r="N169" s="232"/>
    </row>
    <row r="170">
      <c r="A170" s="226"/>
      <c r="B170" s="231"/>
      <c r="C170" s="231"/>
      <c r="D170" s="231"/>
      <c r="E170" s="232"/>
      <c r="F170" s="232"/>
      <c r="G170" s="232"/>
      <c r="H170" s="232"/>
      <c r="I170" s="232"/>
      <c r="J170" s="232"/>
      <c r="K170" s="232"/>
      <c r="L170" s="232"/>
      <c r="M170" s="232"/>
      <c r="N170" s="232"/>
    </row>
    <row r="171">
      <c r="A171" s="226"/>
      <c r="B171" s="231"/>
      <c r="C171" s="231"/>
      <c r="D171" s="231"/>
      <c r="E171" s="232"/>
      <c r="F171" s="232"/>
      <c r="G171" s="232"/>
      <c r="H171" s="232"/>
      <c r="I171" s="232"/>
      <c r="J171" s="232"/>
      <c r="K171" s="232"/>
      <c r="L171" s="232"/>
      <c r="M171" s="232"/>
      <c r="N171" s="232"/>
    </row>
    <row r="172">
      <c r="A172" s="226"/>
      <c r="B172" s="231"/>
      <c r="C172" s="231"/>
      <c r="D172" s="231"/>
      <c r="E172" s="232"/>
      <c r="F172" s="232"/>
      <c r="G172" s="232"/>
      <c r="H172" s="232"/>
      <c r="I172" s="232"/>
      <c r="J172" s="232"/>
      <c r="K172" s="232"/>
      <c r="L172" s="232"/>
      <c r="M172" s="232"/>
      <c r="N172" s="232"/>
    </row>
    <row r="173">
      <c r="A173" s="226"/>
      <c r="B173" s="231"/>
      <c r="C173" s="231"/>
      <c r="D173" s="231"/>
      <c r="E173" s="232"/>
      <c r="F173" s="232"/>
      <c r="G173" s="232"/>
      <c r="H173" s="232"/>
      <c r="I173" s="232"/>
      <c r="J173" s="232"/>
      <c r="K173" s="232"/>
      <c r="L173" s="232"/>
      <c r="M173" s="232"/>
      <c r="N173" s="232"/>
    </row>
    <row r="174">
      <c r="A174" s="226"/>
      <c r="B174" s="231"/>
      <c r="C174" s="231"/>
      <c r="D174" s="231"/>
      <c r="E174" s="232"/>
      <c r="F174" s="232"/>
      <c r="G174" s="232"/>
      <c r="H174" s="232"/>
      <c r="I174" s="232"/>
      <c r="J174" s="232"/>
      <c r="K174" s="232"/>
      <c r="L174" s="232"/>
      <c r="M174" s="232"/>
      <c r="N174" s="232"/>
    </row>
    <row r="175">
      <c r="A175" s="226"/>
      <c r="B175" s="231"/>
      <c r="C175" s="231"/>
      <c r="D175" s="231"/>
      <c r="E175" s="232"/>
      <c r="F175" s="232"/>
      <c r="G175" s="232"/>
      <c r="H175" s="232"/>
      <c r="I175" s="232"/>
      <c r="J175" s="232"/>
      <c r="K175" s="232"/>
      <c r="L175" s="232"/>
      <c r="M175" s="232"/>
      <c r="N175" s="232"/>
    </row>
    <row r="176">
      <c r="A176" s="226"/>
      <c r="B176" s="231"/>
      <c r="C176" s="231"/>
      <c r="D176" s="231"/>
      <c r="E176" s="232"/>
      <c r="F176" s="232"/>
      <c r="G176" s="232"/>
      <c r="H176" s="232"/>
      <c r="I176" s="232"/>
      <c r="J176" s="232"/>
      <c r="K176" s="232"/>
      <c r="L176" s="232"/>
      <c r="M176" s="232"/>
      <c r="N176" s="232"/>
    </row>
    <row r="177">
      <c r="A177" s="226"/>
      <c r="B177" s="231"/>
      <c r="C177" s="231"/>
      <c r="D177" s="231"/>
      <c r="E177" s="232"/>
      <c r="F177" s="232"/>
      <c r="G177" s="232"/>
      <c r="H177" s="232"/>
      <c r="I177" s="232"/>
      <c r="J177" s="232"/>
      <c r="K177" s="232"/>
      <c r="L177" s="232"/>
      <c r="M177" s="232"/>
      <c r="N177" s="232"/>
    </row>
    <row r="178">
      <c r="A178" s="226"/>
      <c r="B178" s="231"/>
      <c r="C178" s="231"/>
      <c r="D178" s="231"/>
      <c r="E178" s="232"/>
      <c r="F178" s="232"/>
      <c r="G178" s="232"/>
      <c r="H178" s="232"/>
      <c r="I178" s="232"/>
      <c r="J178" s="232"/>
      <c r="K178" s="232"/>
      <c r="L178" s="232"/>
      <c r="M178" s="232"/>
      <c r="N178" s="232"/>
    </row>
    <row r="179">
      <c r="A179" s="226"/>
      <c r="B179" s="231"/>
      <c r="C179" s="231"/>
      <c r="D179" s="231"/>
      <c r="E179" s="232"/>
      <c r="F179" s="232"/>
      <c r="G179" s="232"/>
      <c r="H179" s="232"/>
      <c r="I179" s="232"/>
      <c r="J179" s="232"/>
      <c r="K179" s="232"/>
      <c r="L179" s="232"/>
      <c r="M179" s="232"/>
      <c r="N179" s="232"/>
    </row>
    <row r="180">
      <c r="A180" s="226"/>
      <c r="B180" s="231"/>
      <c r="C180" s="231"/>
      <c r="D180" s="231"/>
      <c r="E180" s="232"/>
      <c r="F180" s="232"/>
      <c r="G180" s="232"/>
      <c r="H180" s="232"/>
      <c r="I180" s="232"/>
      <c r="J180" s="232"/>
      <c r="K180" s="232"/>
      <c r="L180" s="232"/>
      <c r="M180" s="232"/>
      <c r="N180" s="232"/>
    </row>
    <row r="181">
      <c r="A181" s="226"/>
      <c r="B181" s="231"/>
      <c r="C181" s="231"/>
      <c r="D181" s="231"/>
      <c r="E181" s="232"/>
      <c r="F181" s="232"/>
      <c r="G181" s="232"/>
      <c r="H181" s="232"/>
      <c r="I181" s="232"/>
      <c r="J181" s="232"/>
      <c r="K181" s="232"/>
      <c r="L181" s="232"/>
      <c r="M181" s="232"/>
      <c r="N181" s="232"/>
    </row>
    <row r="182">
      <c r="A182" s="226"/>
      <c r="B182" s="231"/>
      <c r="C182" s="231"/>
      <c r="D182" s="231"/>
      <c r="E182" s="232"/>
      <c r="F182" s="232"/>
      <c r="G182" s="232"/>
      <c r="H182" s="232"/>
      <c r="I182" s="232"/>
      <c r="J182" s="232"/>
      <c r="K182" s="232"/>
      <c r="L182" s="232"/>
      <c r="M182" s="232"/>
      <c r="N182" s="232"/>
    </row>
    <row r="183">
      <c r="A183" s="226"/>
      <c r="B183" s="231"/>
      <c r="C183" s="231"/>
      <c r="D183" s="231"/>
      <c r="E183" s="232"/>
      <c r="F183" s="232"/>
      <c r="G183" s="232"/>
      <c r="H183" s="232"/>
      <c r="I183" s="232"/>
      <c r="J183" s="232"/>
      <c r="K183" s="232"/>
      <c r="L183" s="232"/>
      <c r="M183" s="232"/>
      <c r="N183" s="232"/>
    </row>
    <row r="184">
      <c r="A184" s="226"/>
      <c r="B184" s="231"/>
      <c r="C184" s="231"/>
      <c r="D184" s="231"/>
      <c r="E184" s="232"/>
      <c r="F184" s="232"/>
      <c r="G184" s="232"/>
      <c r="H184" s="232"/>
      <c r="I184" s="232"/>
      <c r="J184" s="232"/>
      <c r="K184" s="232"/>
      <c r="L184" s="232"/>
      <c r="M184" s="232"/>
      <c r="N184" s="232"/>
    </row>
    <row r="185">
      <c r="A185" s="226"/>
      <c r="B185" s="231"/>
      <c r="C185" s="231"/>
      <c r="D185" s="231"/>
      <c r="E185" s="232"/>
      <c r="F185" s="232"/>
      <c r="G185" s="232"/>
      <c r="H185" s="232"/>
      <c r="I185" s="232"/>
      <c r="J185" s="232"/>
      <c r="K185" s="232"/>
      <c r="L185" s="232"/>
      <c r="M185" s="232"/>
      <c r="N185" s="232"/>
    </row>
    <row r="186">
      <c r="A186" s="226"/>
      <c r="B186" s="231"/>
      <c r="C186" s="231"/>
      <c r="D186" s="231"/>
      <c r="E186" s="232"/>
      <c r="F186" s="232"/>
      <c r="G186" s="232"/>
      <c r="H186" s="232"/>
      <c r="I186" s="232"/>
      <c r="J186" s="232"/>
      <c r="K186" s="232"/>
      <c r="L186" s="232"/>
      <c r="M186" s="232"/>
      <c r="N186" s="232"/>
    </row>
    <row r="187">
      <c r="A187" s="226"/>
      <c r="B187" s="231"/>
      <c r="C187" s="231"/>
      <c r="D187" s="231"/>
      <c r="E187" s="232"/>
      <c r="F187" s="232"/>
      <c r="G187" s="232"/>
      <c r="H187" s="232"/>
      <c r="I187" s="232"/>
      <c r="J187" s="232"/>
      <c r="K187" s="232"/>
      <c r="L187" s="232"/>
      <c r="M187" s="232"/>
      <c r="N187" s="232"/>
    </row>
    <row r="188">
      <c r="A188" s="226"/>
      <c r="B188" s="231"/>
      <c r="C188" s="231"/>
      <c r="D188" s="231"/>
      <c r="E188" s="232"/>
      <c r="F188" s="232"/>
      <c r="G188" s="232"/>
      <c r="H188" s="232"/>
      <c r="I188" s="232"/>
      <c r="J188" s="232"/>
      <c r="K188" s="232"/>
      <c r="L188" s="232"/>
      <c r="M188" s="232"/>
      <c r="N188" s="232"/>
    </row>
    <row r="189">
      <c r="A189" s="226"/>
      <c r="B189" s="231"/>
      <c r="C189" s="231"/>
      <c r="D189" s="231"/>
      <c r="E189" s="232"/>
      <c r="F189" s="232"/>
      <c r="G189" s="232"/>
      <c r="H189" s="232"/>
      <c r="I189" s="232"/>
      <c r="J189" s="232"/>
      <c r="K189" s="232"/>
      <c r="L189" s="232"/>
      <c r="M189" s="232"/>
      <c r="N189" s="232"/>
    </row>
    <row r="190">
      <c r="A190" s="226"/>
      <c r="B190" s="231"/>
      <c r="C190" s="231"/>
      <c r="D190" s="231"/>
      <c r="E190" s="232"/>
      <c r="F190" s="232"/>
      <c r="G190" s="232"/>
      <c r="H190" s="232"/>
      <c r="I190" s="232"/>
      <c r="J190" s="232"/>
      <c r="K190" s="232"/>
      <c r="L190" s="232"/>
      <c r="M190" s="232"/>
      <c r="N190" s="232"/>
    </row>
    <row r="191">
      <c r="A191" s="226"/>
      <c r="B191" s="231"/>
      <c r="C191" s="231"/>
      <c r="D191" s="231"/>
      <c r="E191" s="232"/>
      <c r="F191" s="232"/>
      <c r="G191" s="232"/>
      <c r="H191" s="232"/>
      <c r="I191" s="232"/>
      <c r="J191" s="232"/>
      <c r="K191" s="232"/>
      <c r="L191" s="232"/>
      <c r="M191" s="232"/>
      <c r="N191" s="232"/>
    </row>
    <row r="192">
      <c r="A192" s="226"/>
      <c r="B192" s="231"/>
      <c r="C192" s="231"/>
      <c r="D192" s="231"/>
      <c r="E192" s="232"/>
      <c r="F192" s="232"/>
      <c r="G192" s="232"/>
      <c r="H192" s="232"/>
      <c r="I192" s="232"/>
      <c r="J192" s="232"/>
      <c r="K192" s="232"/>
      <c r="L192" s="232"/>
      <c r="M192" s="232"/>
      <c r="N192" s="232"/>
    </row>
    <row r="193">
      <c r="A193" s="226"/>
      <c r="B193" s="231"/>
      <c r="C193" s="231"/>
      <c r="D193" s="231"/>
      <c r="E193" s="232"/>
      <c r="F193" s="232"/>
      <c r="G193" s="232"/>
      <c r="H193" s="232"/>
      <c r="I193" s="232"/>
      <c r="J193" s="232"/>
      <c r="K193" s="232"/>
      <c r="L193" s="232"/>
      <c r="M193" s="232"/>
      <c r="N193" s="232"/>
    </row>
    <row r="194">
      <c r="A194" s="226"/>
      <c r="B194" s="231"/>
      <c r="C194" s="231"/>
      <c r="D194" s="231"/>
      <c r="E194" s="232"/>
      <c r="F194" s="232"/>
      <c r="G194" s="232"/>
      <c r="H194" s="232"/>
      <c r="I194" s="232"/>
      <c r="J194" s="232"/>
      <c r="K194" s="232"/>
      <c r="L194" s="232"/>
      <c r="M194" s="232"/>
      <c r="N194" s="232"/>
    </row>
    <row r="195">
      <c r="A195" s="226"/>
      <c r="B195" s="231"/>
      <c r="C195" s="231"/>
      <c r="D195" s="231"/>
      <c r="E195" s="232"/>
      <c r="F195" s="232"/>
      <c r="G195" s="232"/>
      <c r="H195" s="232"/>
      <c r="I195" s="232"/>
      <c r="J195" s="232"/>
      <c r="K195" s="232"/>
      <c r="L195" s="232"/>
      <c r="M195" s="232"/>
      <c r="N195" s="232"/>
    </row>
    <row r="196">
      <c r="A196" s="226"/>
      <c r="B196" s="231"/>
      <c r="C196" s="231"/>
      <c r="D196" s="231"/>
      <c r="E196" s="232"/>
      <c r="F196" s="232"/>
      <c r="G196" s="232"/>
      <c r="H196" s="232"/>
      <c r="I196" s="232"/>
      <c r="J196" s="232"/>
      <c r="K196" s="232"/>
      <c r="L196" s="232"/>
      <c r="M196" s="232"/>
      <c r="N196" s="232"/>
    </row>
    <row r="197">
      <c r="A197" s="226"/>
      <c r="B197" s="231"/>
      <c r="C197" s="231"/>
      <c r="D197" s="231"/>
      <c r="E197" s="232"/>
      <c r="F197" s="232"/>
      <c r="G197" s="232"/>
      <c r="H197" s="232"/>
      <c r="I197" s="232"/>
      <c r="J197" s="232"/>
      <c r="K197" s="232"/>
      <c r="L197" s="232"/>
      <c r="M197" s="232"/>
      <c r="N197" s="232"/>
    </row>
    <row r="198">
      <c r="A198" s="226"/>
      <c r="B198" s="231"/>
      <c r="C198" s="231"/>
      <c r="D198" s="231"/>
      <c r="E198" s="232"/>
      <c r="F198" s="232"/>
      <c r="G198" s="232"/>
      <c r="H198" s="232"/>
      <c r="I198" s="232"/>
      <c r="J198" s="232"/>
      <c r="K198" s="232"/>
      <c r="L198" s="232"/>
      <c r="M198" s="232"/>
      <c r="N198" s="232"/>
    </row>
    <row r="199">
      <c r="A199" s="226"/>
      <c r="B199" s="231"/>
      <c r="C199" s="231"/>
      <c r="D199" s="231"/>
      <c r="E199" s="232"/>
      <c r="F199" s="232"/>
      <c r="G199" s="232"/>
      <c r="H199" s="232"/>
      <c r="I199" s="232"/>
      <c r="J199" s="232"/>
      <c r="K199" s="232"/>
      <c r="L199" s="232"/>
      <c r="M199" s="232"/>
      <c r="N199" s="232"/>
    </row>
    <row r="200">
      <c r="A200" s="226"/>
      <c r="B200" s="231"/>
      <c r="C200" s="231"/>
      <c r="D200" s="231"/>
      <c r="E200" s="232"/>
      <c r="F200" s="232"/>
      <c r="G200" s="232"/>
      <c r="H200" s="232"/>
      <c r="I200" s="232"/>
      <c r="J200" s="232"/>
      <c r="K200" s="232"/>
      <c r="L200" s="232"/>
      <c r="M200" s="232"/>
      <c r="N200" s="232"/>
    </row>
    <row r="201">
      <c r="A201" s="226"/>
      <c r="B201" s="231"/>
      <c r="C201" s="231"/>
      <c r="D201" s="231"/>
      <c r="E201" s="232"/>
      <c r="F201" s="232"/>
      <c r="G201" s="232"/>
      <c r="H201" s="232"/>
      <c r="I201" s="232"/>
      <c r="J201" s="232"/>
      <c r="K201" s="232"/>
      <c r="L201" s="232"/>
      <c r="M201" s="232"/>
      <c r="N201" s="232"/>
    </row>
    <row r="202">
      <c r="A202" s="226"/>
      <c r="B202" s="231"/>
      <c r="C202" s="231"/>
      <c r="D202" s="231"/>
      <c r="E202" s="232"/>
      <c r="F202" s="232"/>
      <c r="G202" s="232"/>
      <c r="H202" s="232"/>
      <c r="I202" s="232"/>
      <c r="J202" s="232"/>
      <c r="K202" s="232"/>
      <c r="L202" s="232"/>
      <c r="M202" s="232"/>
      <c r="N202" s="232"/>
    </row>
    <row r="203">
      <c r="A203" s="226"/>
      <c r="B203" s="231"/>
      <c r="C203" s="231"/>
      <c r="D203" s="231"/>
      <c r="E203" s="232"/>
      <c r="F203" s="232"/>
      <c r="G203" s="232"/>
      <c r="H203" s="232"/>
      <c r="I203" s="232"/>
      <c r="J203" s="232"/>
      <c r="K203" s="232"/>
      <c r="L203" s="232"/>
      <c r="M203" s="232"/>
      <c r="N203" s="232"/>
    </row>
  </sheetData>
  <mergeCells>
    <mergeCell ref="B1:D3"/>
    <mergeCell ref="J5:K5"/>
  </mergeCells>
  <dataValidations count="3">
    <dataValidation allowBlank="true" errorStyle="stop" showErrorMessage="true" sqref="M6:M94" type="list">
      <formula1>"contacted,demo,proposal,handover sales"</formula1>
    </dataValidation>
    <dataValidation allowBlank="true" errorStyle="stop" showErrorMessage="true" sqref="K6:K94" type="list">
      <formula1>"umkm,enterprise,personal"</formula1>
    </dataValidation>
    <dataValidation allowBlank="true" errorStyle="stop" showErrorMessage="true" sqref="L6:L94" type="list">
      <formula1>"calendly,wa bisnis,form landing page"</formula1>
    </dataValidation>
  </dataValidations>
  <hyperlinks>
    <hyperlink ref="N6" display="https://mapid25-my.sharepoint.com/:w:/g/personal/business_mapid25_onmicrosoft_com/IQC1h14fsA20Sae4Va8s6M65AbhvOhmM6b1zWjCKzU9y9RQ?e=bMpEut" r:id="rId1"/>
    <hyperlink ref="N8" display="https://mapid25-my.sharepoint.com/:w:/g/personal/business_mapid25_onmicrosoft_com/IQBYNW8sJMaBQJ5gmGIaCq18Afd08Oy4Ud5MZPro0j4rv3E?e=E4IrxY" r:id="rId2"/>
    <hyperlink ref="F7" display="joincreop@gmail.com" r:id="rId3"/>
  </hyperlinks>
  <drawing r:id="rId4"/>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6" ySplit="5"/>
    </sheetView>
  </sheetViews>
  <sheetFormatPr defaultColWidth="14" defaultRowHeight="19"/>
  <cols>
    <col collapsed="false" customWidth="true" hidden="false" max="1" min="1" style="0" width="14"/>
    <col collapsed="false" customWidth="true" hidden="false" max="2" min="2" style="0" width="19"/>
    <col collapsed="false" customWidth="true" hidden="false" max="3" min="3" style="0" width="14"/>
    <col collapsed="false" customWidth="true" hidden="false" max="4" min="4" style="0" width="30"/>
    <col collapsed="false" customWidth="true" hidden="false" max="5" min="5" style="0" width="41"/>
    <col collapsed="false" customWidth="true" hidden="false" max="6" min="6" style="0" width="41"/>
    <col collapsed="false" customWidth="true" hidden="false" max="7" min="7" style="0" width="41"/>
    <col collapsed="false" customWidth="true" hidden="false" max="8" min="8" style="0" width="43"/>
  </cols>
  <sheetData>
    <row customHeight="true" ht="19" r="1">
      <c r="A1" s="255" t="str">
        <v>Summary</v>
      </c>
      <c r="B1" s="262" t="str">
        <v>Approved</v>
      </c>
      <c r="C1" s="262">
        <f>COUNTIF(G:G,"Approved")</f>
      </c>
      <c r="D1" s="262" t="str">
        <v>Delivered</v>
      </c>
      <c r="E1" s="262">
        <f>COUNTIF(F:F,"Handover to Sales")</f>
      </c>
    </row>
    <row customHeight="true" ht="19" r="2">
      <c r="A2" s="255"/>
      <c r="B2" s="262" t="str">
        <v>Rejected</v>
      </c>
      <c r="C2" s="262">
        <f>COUNTIF(G:G,"Rejected")</f>
      </c>
      <c r="D2" s="262" t="str">
        <v>Waiting Sales</v>
      </c>
      <c r="E2" s="262">
        <f>COUNTIF(F:F,"Waiting")</f>
      </c>
    </row>
    <row customHeight="true" ht="19" r="3">
      <c r="A3" s="255"/>
      <c r="B3" s="262" t="str">
        <v>FC Conducted</v>
      </c>
      <c r="C3" s="262">
        <f>COUNTA(G6:G100)</f>
      </c>
      <c r="D3" s="262" t="str">
        <v>Waiting PSE</v>
      </c>
      <c r="E3" s="262">
        <f>COUNTIF(G:G,"Waiting")</f>
      </c>
    </row>
    <row customHeight="true" ht="19" r="4"/>
    <row r="5">
      <c r="A5" s="249" t="str">
        <v>Tanggal Req</v>
      </c>
      <c r="B5" s="249" t="str">
        <v>PSE</v>
      </c>
      <c r="C5" s="249" t="str">
        <v>Sales</v>
      </c>
      <c r="D5" s="249" t="str">
        <v>Leads</v>
      </c>
      <c r="E5" s="249" t="str">
        <v>Kebutuhan</v>
      </c>
      <c r="F5" s="249" t="str">
        <v>Status</v>
      </c>
      <c r="G5" s="249" t="str">
        <v>Status</v>
      </c>
      <c r="H5" s="249" t="str">
        <v>Notes/MoM</v>
      </c>
    </row>
    <row r="6">
      <c r="A6" s="234">
        <v>46028</v>
      </c>
      <c r="B6" s="227" t="str">
        <v>Amel</v>
      </c>
      <c r="C6" s="227" t="str">
        <v>Rani</v>
      </c>
      <c r="D6" s="227" t="str">
        <v>PT Toyota Astra Motor sustainability</v>
      </c>
      <c r="E6" s="227"/>
      <c r="F6" s="227" t="str">
        <v>Handover to Sales</v>
      </c>
      <c r="G6" s="225" t="str">
        <v>Waiting</v>
      </c>
      <c r="H6" s="227" t="str" xml:space="preserve">
        <v>Belum mengajukan proposal
Note : Perlu FU dari tim </v>
      </c>
    </row>
    <row r="7">
      <c r="A7" s="234">
        <v>46028</v>
      </c>
      <c r="B7" s="227" t="str">
        <v>Amel</v>
      </c>
      <c r="C7" s="227"/>
      <c r="D7" s="227" t="str">
        <v>PT KAI Survey</v>
      </c>
      <c r="E7" s="227"/>
      <c r="F7" s="227" t="str">
        <v>Waiting</v>
      </c>
      <c r="G7" s="225" t="str">
        <v>Waiting</v>
      </c>
      <c r="H7" s="227" t="str" xml:space="preserve">
        <v>hold </v>
      </c>
    </row>
    <row r="8">
      <c r="A8" s="234">
        <v>46031</v>
      </c>
      <c r="B8" s="227" t="str">
        <v>Amel</v>
      </c>
      <c r="C8" s="227" t="str">
        <v>Rani</v>
      </c>
      <c r="D8" s="227" t="str">
        <v>PT Nippon KoeI</v>
      </c>
      <c r="E8" s="227"/>
      <c r="F8" s="227" t="str">
        <v>Handover to Sales</v>
      </c>
      <c r="G8" s="225" t="str">
        <v>Approved</v>
      </c>
      <c r="H8" s="227"/>
    </row>
    <row r="9">
      <c r="A9" s="234">
        <v>46031</v>
      </c>
      <c r="B9" s="227" t="str">
        <v>Amel</v>
      </c>
      <c r="C9" s="227"/>
      <c r="D9" s="227" t="str">
        <v>Dinas Sumber Daya Air (DSDA)</v>
      </c>
      <c r="E9" s="227"/>
      <c r="F9" s="227" t="str">
        <v>Handover to Sales</v>
      </c>
      <c r="G9" s="225" t="str">
        <v>Approved</v>
      </c>
      <c r="H9" s="227"/>
    </row>
    <row r="10">
      <c r="A10" s="234">
        <v>46035</v>
      </c>
      <c r="B10" s="227" t="str">
        <v>Lossa</v>
      </c>
      <c r="C10" s="227" t="str">
        <v>Titan</v>
      </c>
      <c r="D10" s="227" t="str">
        <v>PSN</v>
      </c>
      <c r="E10" s="227"/>
      <c r="F10" s="227" t="str">
        <v>Handover to Sales</v>
      </c>
      <c r="G10" s="225" t="str">
        <v>Approved</v>
      </c>
      <c r="H10" s="227"/>
    </row>
    <row r="11">
      <c r="A11" s="234">
        <v>46036</v>
      </c>
      <c r="B11" s="227" t="str">
        <v>Amel</v>
      </c>
      <c r="C11" s="227" t="str">
        <v>Rani</v>
      </c>
      <c r="D11" s="227" t="str">
        <v>PT Toyota Astra Motor mobility</v>
      </c>
      <c r="E11" s="227"/>
      <c r="F11" s="227" t="str">
        <v>Waiting</v>
      </c>
      <c r="G11" s="225" t="str">
        <v>Waiting</v>
      </c>
      <c r="H11" s="227"/>
    </row>
    <row customHeight="true" ht="46" r="12">
      <c r="A12" s="234">
        <v>46036</v>
      </c>
      <c r="B12" s="227" t="str">
        <v>Lossa</v>
      </c>
      <c r="C12" s="227" t="str">
        <v>Rani</v>
      </c>
      <c r="D12" s="227" t="str">
        <v>Bluebird</v>
      </c>
      <c r="E12" s="227"/>
      <c r="F12" s="227" t="str">
        <v>Handover to Sales</v>
      </c>
      <c r="G12" s="225" t="str">
        <v>Approved</v>
      </c>
      <c r="H12" s="227" t="str">
        <v>approved with adjustment</v>
      </c>
    </row>
    <row r="13">
      <c r="A13" s="234">
        <v>46037</v>
      </c>
      <c r="B13" s="227" t="str">
        <v>Lossa</v>
      </c>
      <c r="C13" s="227" t="str">
        <v>Rani</v>
      </c>
      <c r="D13" s="227" t="str">
        <v>Pupuk Indonesia</v>
      </c>
      <c r="E13" s="227"/>
      <c r="F13" s="227" t="str">
        <v>Handover to Sales</v>
      </c>
      <c r="G13" s="225" t="str">
        <v>Approved</v>
      </c>
      <c r="H13" s="227"/>
    </row>
    <row customHeight="true" ht="19" r="14">
      <c r="A14" s="234">
        <v>46044</v>
      </c>
      <c r="B14" s="237" t="str">
        <v>Lossa</v>
      </c>
      <c r="C14" s="237" t="str">
        <v>Titan</v>
      </c>
      <c r="D14" s="237" t="str">
        <v>MR.DIY</v>
      </c>
      <c r="E14" s="237"/>
      <c r="F14" s="237" t="str">
        <v>Waiting</v>
      </c>
      <c r="G14" s="236" t="str">
        <v>Waiting</v>
      </c>
      <c r="H14" s="237"/>
    </row>
    <row r="15">
      <c r="A15" s="234">
        <v>46045</v>
      </c>
      <c r="B15" s="227" t="str">
        <v>Amel</v>
      </c>
      <c r="C15" s="227" t="str">
        <v>Titan</v>
      </c>
      <c r="D15" s="227" t="str">
        <v>Bank Mandiri</v>
      </c>
      <c r="E15" s="227"/>
      <c r="F15" s="227" t="str">
        <v>Waiting</v>
      </c>
      <c r="G15" s="225" t="str">
        <v>Approved</v>
      </c>
      <c r="H15" s="232"/>
    </row>
    <row r="16">
      <c r="A16" s="234">
        <v>46048</v>
      </c>
      <c r="B16" s="227" t="str">
        <v>Amel</v>
      </c>
      <c r="C16" s="227" t="str">
        <v>Titan</v>
      </c>
      <c r="D16" s="227" t="str">
        <v>PT Hutama Karya Indonesia</v>
      </c>
      <c r="E16" s="227"/>
      <c r="F16" s="227" t="str">
        <v>Handover to Sales</v>
      </c>
      <c r="G16" s="225" t="str">
        <v>Approved</v>
      </c>
      <c r="H16" s="227"/>
    </row>
    <row r="17">
      <c r="A17" s="234">
        <v>46048</v>
      </c>
      <c r="B17" s="227" t="str">
        <v>Amel</v>
      </c>
      <c r="C17" s="227" t="str">
        <v>Titan</v>
      </c>
      <c r="D17" s="227" t="str">
        <v>PT SNJ</v>
      </c>
      <c r="E17" s="227"/>
      <c r="F17" s="227" t="str">
        <v>Handover to Sales</v>
      </c>
      <c r="G17" s="225" t="str">
        <v>Approved</v>
      </c>
      <c r="H17" s="227" t="str">
        <v>Subscribe teams</v>
      </c>
    </row>
    <row customHeight="true" ht="19" r="18">
      <c r="A18" s="234">
        <v>46050</v>
      </c>
      <c r="B18" s="227" t="str">
        <v>Zhafran</v>
      </c>
      <c r="C18" s="227" t="str">
        <v>Rani</v>
      </c>
      <c r="D18" s="227" t="str">
        <v>PT Kattegat AI</v>
      </c>
      <c r="E18" s="227"/>
      <c r="F18" s="227" t="str">
        <v>Handover to Sales</v>
      </c>
      <c r="G18" s="225" t="str">
        <v>Waiting</v>
      </c>
      <c r="H18" s="227"/>
    </row>
    <row customHeight="true" ht="19" r="19">
      <c r="A19" s="234">
        <v>46052</v>
      </c>
      <c r="B19" s="227" t="str">
        <v>Lossa</v>
      </c>
      <c r="C19" s="227" t="str">
        <v>Rani</v>
      </c>
      <c r="D19" s="227" t="str">
        <v>SERA</v>
      </c>
      <c r="E19" s="227"/>
      <c r="F19" s="227" t="str">
        <v>Handover to Sales</v>
      </c>
      <c r="G19" s="225" t="str">
        <v>Approved</v>
      </c>
      <c r="H19" s="227" t="str">
        <v>approved with adjustment</v>
      </c>
    </row>
    <row r="20">
      <c r="A20" s="234">
        <v>46052</v>
      </c>
      <c r="B20" s="227" t="str">
        <v>Lossa</v>
      </c>
      <c r="C20" s="227" t="str">
        <v>Rani</v>
      </c>
      <c r="D20" s="227" t="str">
        <v>Cimory</v>
      </c>
      <c r="E20" s="227"/>
      <c r="F20" s="227" t="str">
        <v>Handover to Sales</v>
      </c>
      <c r="G20" s="225" t="str">
        <v>Approved</v>
      </c>
      <c r="H20" s="227" t="str">
        <v>approved with adjustment</v>
      </c>
    </row>
    <row r="21">
      <c r="A21" s="261">
        <v>46057</v>
      </c>
      <c r="B21" s="237" t="str">
        <v>Amel</v>
      </c>
      <c r="C21" s="237" t="str">
        <v>Rani</v>
      </c>
      <c r="D21" s="237" t="str">
        <v>DCKTRP</v>
      </c>
      <c r="E21" s="237"/>
      <c r="F21" s="237" t="str">
        <v>Waiting</v>
      </c>
      <c r="G21" s="236" t="str">
        <v>Waiting</v>
      </c>
      <c r="H21" s="227" t="str">
        <v>tidak ada koordinat</v>
      </c>
    </row>
    <row r="22">
      <c r="A22" s="234">
        <v>46062</v>
      </c>
      <c r="B22" s="227" t="str">
        <v>Lossa</v>
      </c>
      <c r="C22" s="227" t="str">
        <v>Rani</v>
      </c>
      <c r="D22" s="227" t="str">
        <v>Astra Infra</v>
      </c>
      <c r="E22" s="227"/>
      <c r="F22" s="237" t="str">
        <v>Handover to Sales</v>
      </c>
      <c r="G22" s="236" t="str">
        <v>Waiting</v>
      </c>
      <c r="H22" s="227"/>
    </row>
    <row r="23">
      <c r="A23" s="234">
        <v>46062</v>
      </c>
      <c r="B23" s="227" t="str">
        <v>Lossa</v>
      </c>
      <c r="C23" s="227" t="str">
        <v>Titan</v>
      </c>
      <c r="D23" s="237" t="str">
        <v>BTID</v>
      </c>
      <c r="E23" s="227"/>
      <c r="F23" s="237" t="str">
        <v>Handover to Sales</v>
      </c>
      <c r="G23" s="236" t="str">
        <v>Waiting</v>
      </c>
      <c r="H23" s="227"/>
    </row>
    <row r="24">
      <c r="A24" s="234">
        <v>46062</v>
      </c>
      <c r="B24" s="237" t="str">
        <v>Amel</v>
      </c>
      <c r="C24" s="239" t="str">
        <v>Rani</v>
      </c>
      <c r="D24" s="227" t="str">
        <v>Datascript</v>
      </c>
      <c r="E24" s="232"/>
      <c r="F24" s="228" t="str">
        <v>Waiting</v>
      </c>
      <c r="G24" s="236" t="str">
        <v>Waiting</v>
      </c>
      <c r="H24" s="232" t="str">
        <v>on process</v>
      </c>
    </row>
    <row r="25">
      <c r="A25" s="234">
        <v>46063</v>
      </c>
      <c r="B25" s="227" t="str">
        <v>Amel</v>
      </c>
      <c r="C25" s="227" t="str">
        <v>Rani</v>
      </c>
      <c r="D25" s="265" t="str">
        <v>MRT</v>
      </c>
      <c r="E25" s="227"/>
      <c r="F25" s="237" t="str">
        <v>Handover to Sales</v>
      </c>
      <c r="G25" s="264" t="str">
        <v>Approved</v>
      </c>
      <c r="H25" s="227"/>
    </row>
    <row r="26">
      <c r="A26" s="234">
        <v>46071</v>
      </c>
      <c r="B26" s="227" t="str">
        <v>Amel</v>
      </c>
      <c r="C26" s="227" t="str">
        <v>Titan</v>
      </c>
      <c r="D26" s="227" t="str">
        <v>Bank Danamon</v>
      </c>
      <c r="E26" s="227"/>
      <c r="F26" s="227" t="str">
        <v>Handover to Sales</v>
      </c>
      <c r="G26" s="225"/>
      <c r="H26" s="263" t="str">
        <v>possible</v>
      </c>
    </row>
    <row r="27">
      <c r="A27" s="234">
        <v>46093</v>
      </c>
      <c r="B27" s="227" t="str">
        <v>Amel</v>
      </c>
      <c r="C27" s="227"/>
      <c r="D27" s="232" t="str">
        <v>BPBD Jakarta</v>
      </c>
      <c r="E27" s="232"/>
      <c r="F27" s="227" t="str">
        <v>Handover to Sales</v>
      </c>
      <c r="G27" s="225"/>
      <c r="H27" s="232"/>
    </row>
    <row r="28">
      <c r="A28" s="234">
        <v>46093</v>
      </c>
      <c r="B28" s="227" t="str">
        <v>Amel</v>
      </c>
      <c r="C28" s="227"/>
      <c r="D28" s="232" t="str">
        <v>Pemkot Semarang</v>
      </c>
      <c r="E28" s="232"/>
      <c r="F28" s="227" t="str">
        <v>Handover to Sales</v>
      </c>
      <c r="G28" s="225"/>
      <c r="H28" s="232"/>
    </row>
    <row r="29">
      <c r="A29" s="234">
        <v>46093</v>
      </c>
      <c r="B29" s="227" t="str">
        <v>Zhafran</v>
      </c>
      <c r="C29" s="227" t="str">
        <v>Titan</v>
      </c>
      <c r="D29" s="232" t="str">
        <v>Comcentric</v>
      </c>
      <c r="E29" s="232"/>
      <c r="F29" s="227" t="str">
        <v>Handover to Sales</v>
      </c>
      <c r="G29" s="225"/>
      <c r="H29" s="232"/>
    </row>
    <row r="30">
      <c r="A30" s="234">
        <v>46093</v>
      </c>
      <c r="B30" s="227" t="str">
        <v>Zhafran</v>
      </c>
      <c r="C30" s="227" t="str">
        <v>Rani</v>
      </c>
      <c r="D30" s="232" t="str" xml:space="preserve">
        <v>Erela </v>
      </c>
      <c r="E30" s="232"/>
      <c r="F30" s="227" t="str">
        <v>Handover to Sales</v>
      </c>
      <c r="G30" s="225"/>
      <c r="H30" s="232"/>
    </row>
    <row r="31">
      <c r="A31" s="231"/>
      <c r="B31" s="232"/>
      <c r="C31" s="232"/>
      <c r="D31" s="232"/>
      <c r="E31" s="232"/>
      <c r="F31" s="232"/>
      <c r="G31" s="232"/>
      <c r="H31" s="232"/>
    </row>
    <row r="32">
      <c r="A32" s="231"/>
      <c r="B32" s="232"/>
      <c r="C32" s="232"/>
      <c r="D32" s="232"/>
      <c r="E32" s="232"/>
      <c r="F32" s="232"/>
      <c r="G32" s="232"/>
      <c r="H32" s="232"/>
    </row>
    <row r="33">
      <c r="A33" s="231"/>
      <c r="B33" s="232"/>
      <c r="C33" s="232"/>
      <c r="D33" s="232"/>
      <c r="E33" s="232"/>
      <c r="F33" s="232"/>
      <c r="G33" s="232"/>
      <c r="H33" s="232"/>
    </row>
    <row r="34">
      <c r="A34" s="231"/>
      <c r="B34" s="232"/>
      <c r="C34" s="232"/>
      <c r="D34" s="232"/>
      <c r="E34" s="232"/>
      <c r="F34" s="232"/>
      <c r="G34" s="232"/>
      <c r="H34" s="232"/>
    </row>
    <row r="35">
      <c r="A35" s="231"/>
      <c r="B35" s="232"/>
      <c r="C35" s="232"/>
      <c r="D35" s="232"/>
      <c r="E35" s="232"/>
      <c r="F35" s="232"/>
      <c r="G35" s="232"/>
      <c r="H35" s="232"/>
    </row>
    <row r="36">
      <c r="A36" s="231"/>
      <c r="B36" s="232"/>
      <c r="C36" s="232"/>
      <c r="D36" s="232"/>
      <c r="E36" s="232"/>
      <c r="F36" s="232"/>
      <c r="G36" s="232"/>
      <c r="H36" s="232"/>
    </row>
    <row r="37">
      <c r="A37" s="231"/>
      <c r="B37" s="232"/>
      <c r="C37" s="232"/>
      <c r="D37" s="232"/>
      <c r="E37" s="232"/>
      <c r="F37" s="232"/>
      <c r="G37" s="232"/>
      <c r="H37" s="232"/>
    </row>
    <row r="38">
      <c r="A38" s="231"/>
      <c r="B38" s="232"/>
      <c r="C38" s="232"/>
      <c r="D38" s="232"/>
      <c r="E38" s="232"/>
      <c r="F38" s="232"/>
      <c r="G38" s="232"/>
      <c r="H38" s="232"/>
    </row>
    <row r="39">
      <c r="A39" s="231"/>
      <c r="B39" s="232"/>
      <c r="C39" s="232"/>
      <c r="D39" s="232"/>
      <c r="E39" s="232"/>
      <c r="F39" s="232"/>
      <c r="G39" s="232"/>
      <c r="H39" s="232"/>
    </row>
    <row r="40">
      <c r="A40" s="231"/>
      <c r="B40" s="232"/>
      <c r="C40" s="232"/>
      <c r="D40" s="232"/>
      <c r="E40" s="232"/>
      <c r="F40" s="232"/>
      <c r="G40" s="232"/>
      <c r="H40" s="232"/>
    </row>
    <row r="41">
      <c r="A41" s="231"/>
      <c r="B41" s="232"/>
      <c r="C41" s="232"/>
      <c r="D41" s="232"/>
      <c r="E41" s="232"/>
      <c r="F41" s="232"/>
      <c r="G41" s="232"/>
      <c r="H41" s="232"/>
    </row>
    <row r="42">
      <c r="A42" s="231"/>
      <c r="B42" s="232"/>
      <c r="C42" s="232"/>
      <c r="D42" s="232"/>
      <c r="E42" s="232"/>
      <c r="F42" s="232"/>
      <c r="G42" s="232"/>
      <c r="H42" s="232"/>
    </row>
    <row r="43">
      <c r="A43" s="231"/>
      <c r="B43" s="232"/>
      <c r="C43" s="232"/>
      <c r="D43" s="232"/>
      <c r="E43" s="232"/>
      <c r="F43" s="232"/>
      <c r="G43" s="232"/>
      <c r="H43" s="232"/>
    </row>
    <row r="44">
      <c r="A44" s="231"/>
      <c r="B44" s="232"/>
      <c r="C44" s="232"/>
      <c r="D44" s="232"/>
      <c r="E44" s="232"/>
      <c r="F44" s="232"/>
      <c r="G44" s="232"/>
      <c r="H44" s="232"/>
    </row>
    <row r="45">
      <c r="A45" s="231"/>
      <c r="B45" s="232"/>
      <c r="C45" s="232"/>
      <c r="D45" s="232"/>
      <c r="E45" s="232"/>
      <c r="F45" s="232"/>
      <c r="G45" s="232"/>
      <c r="H45" s="232"/>
    </row>
    <row r="46">
      <c r="A46" s="231"/>
      <c r="B46" s="232"/>
      <c r="C46" s="232"/>
      <c r="D46" s="232"/>
      <c r="E46" s="232"/>
      <c r="F46" s="232"/>
      <c r="G46" s="232"/>
      <c r="H46" s="232"/>
    </row>
    <row r="47">
      <c r="A47" s="231"/>
      <c r="B47" s="232"/>
      <c r="C47" s="232"/>
      <c r="D47" s="232"/>
      <c r="E47" s="232"/>
      <c r="F47" s="232"/>
      <c r="G47" s="232"/>
      <c r="H47" s="232"/>
    </row>
    <row r="48">
      <c r="A48" s="231"/>
      <c r="B48" s="232"/>
      <c r="C48" s="232"/>
      <c r="D48" s="232"/>
      <c r="E48" s="232"/>
      <c r="F48" s="232"/>
      <c r="G48" s="232"/>
      <c r="H48" s="232"/>
    </row>
    <row r="49">
      <c r="A49" s="231"/>
      <c r="B49" s="232"/>
      <c r="C49" s="232"/>
      <c r="D49" s="232"/>
      <c r="E49" s="232"/>
      <c r="F49" s="232"/>
      <c r="G49" s="232"/>
      <c r="H49" s="232"/>
    </row>
    <row r="50">
      <c r="A50" s="231"/>
      <c r="B50" s="232"/>
      <c r="C50" s="232"/>
      <c r="D50" s="232"/>
      <c r="E50" s="232"/>
      <c r="F50" s="232"/>
      <c r="G50" s="232"/>
      <c r="H50" s="232"/>
    </row>
    <row r="51">
      <c r="A51" s="231"/>
      <c r="B51" s="232"/>
      <c r="C51" s="232"/>
      <c r="D51" s="232"/>
      <c r="E51" s="232"/>
      <c r="F51" s="232"/>
      <c r="G51" s="232"/>
      <c r="H51" s="232"/>
    </row>
    <row r="52">
      <c r="A52" s="231"/>
      <c r="B52" s="232"/>
      <c r="C52" s="232"/>
      <c r="D52" s="232"/>
      <c r="E52" s="232"/>
      <c r="F52" s="232"/>
      <c r="G52" s="232"/>
      <c r="H52" s="232"/>
    </row>
    <row r="53">
      <c r="A53" s="231"/>
      <c r="B53" s="232"/>
      <c r="C53" s="232"/>
      <c r="D53" s="232"/>
      <c r="E53" s="232"/>
      <c r="F53" s="232"/>
      <c r="G53" s="232"/>
      <c r="H53" s="232"/>
    </row>
    <row r="54">
      <c r="A54" s="231"/>
      <c r="B54" s="232"/>
      <c r="C54" s="232"/>
      <c r="D54" s="232"/>
      <c r="E54" s="232"/>
      <c r="F54" s="232"/>
      <c r="G54" s="232"/>
      <c r="H54" s="232"/>
    </row>
    <row r="55">
      <c r="A55" s="231"/>
      <c r="B55" s="232"/>
      <c r="C55" s="232"/>
      <c r="D55" s="232"/>
      <c r="E55" s="232"/>
      <c r="F55" s="232"/>
      <c r="G55" s="232"/>
      <c r="H55" s="232"/>
    </row>
    <row r="56">
      <c r="A56" s="231"/>
      <c r="B56" s="232"/>
      <c r="C56" s="232"/>
      <c r="D56" s="232"/>
      <c r="E56" s="232"/>
      <c r="F56" s="232"/>
      <c r="G56" s="232"/>
      <c r="H56" s="232"/>
    </row>
    <row r="57">
      <c r="A57" s="231"/>
      <c r="B57" s="232"/>
      <c r="C57" s="232"/>
      <c r="D57" s="232"/>
      <c r="E57" s="232"/>
      <c r="F57" s="232"/>
      <c r="G57" s="232"/>
      <c r="H57" s="232"/>
    </row>
    <row r="58">
      <c r="A58" s="231"/>
      <c r="B58" s="232"/>
      <c r="C58" s="232"/>
      <c r="D58" s="232"/>
      <c r="E58" s="232"/>
      <c r="F58" s="232"/>
      <c r="G58" s="232"/>
      <c r="H58" s="232"/>
    </row>
    <row r="59">
      <c r="A59" s="231"/>
      <c r="B59" s="232"/>
      <c r="C59" s="232"/>
      <c r="D59" s="232"/>
      <c r="E59" s="232"/>
      <c r="F59" s="232"/>
      <c r="G59" s="232"/>
      <c r="H59" s="232"/>
    </row>
    <row r="60">
      <c r="A60" s="231"/>
      <c r="B60" s="232"/>
      <c r="C60" s="232"/>
      <c r="D60" s="232"/>
      <c r="E60" s="232"/>
      <c r="F60" s="232"/>
      <c r="G60" s="232"/>
      <c r="H60" s="232"/>
    </row>
    <row r="61">
      <c r="A61" s="231"/>
      <c r="B61" s="232"/>
      <c r="C61" s="232"/>
      <c r="D61" s="232"/>
      <c r="E61" s="232"/>
      <c r="F61" s="232"/>
      <c r="G61" s="232"/>
      <c r="H61" s="232"/>
    </row>
    <row r="62">
      <c r="A62" s="231"/>
      <c r="B62" s="232"/>
      <c r="C62" s="232"/>
      <c r="D62" s="232"/>
      <c r="E62" s="232"/>
      <c r="F62" s="232"/>
      <c r="G62" s="232"/>
      <c r="H62" s="232"/>
    </row>
    <row r="63">
      <c r="A63" s="231"/>
      <c r="B63" s="232"/>
      <c r="C63" s="232"/>
      <c r="D63" s="232"/>
      <c r="E63" s="232"/>
      <c r="F63" s="232"/>
      <c r="G63" s="232"/>
      <c r="H63" s="232"/>
    </row>
    <row r="64">
      <c r="A64" s="231"/>
      <c r="B64" s="232"/>
      <c r="C64" s="232"/>
      <c r="D64" s="232"/>
      <c r="E64" s="232"/>
      <c r="F64" s="232"/>
      <c r="G64" s="232"/>
      <c r="H64" s="232"/>
    </row>
    <row r="65">
      <c r="A65" s="231"/>
      <c r="B65" s="232"/>
      <c r="C65" s="232"/>
      <c r="D65" s="232"/>
      <c r="E65" s="232"/>
      <c r="F65" s="232"/>
      <c r="G65" s="232"/>
      <c r="H65" s="232"/>
    </row>
    <row r="66">
      <c r="A66" s="231"/>
      <c r="B66" s="232"/>
      <c r="C66" s="232"/>
      <c r="D66" s="232"/>
      <c r="E66" s="232"/>
      <c r="F66" s="232"/>
      <c r="G66" s="232"/>
      <c r="H66" s="232"/>
    </row>
    <row r="67">
      <c r="A67" s="231"/>
      <c r="B67" s="232"/>
      <c r="C67" s="232"/>
      <c r="D67" s="232"/>
      <c r="E67" s="232"/>
      <c r="F67" s="232"/>
      <c r="G67" s="232"/>
      <c r="H67" s="232"/>
    </row>
    <row r="68">
      <c r="A68" s="231"/>
      <c r="B68" s="232"/>
      <c r="C68" s="232"/>
      <c r="D68" s="232"/>
      <c r="E68" s="232"/>
      <c r="F68" s="232"/>
      <c r="G68" s="232"/>
      <c r="H68" s="232"/>
    </row>
    <row r="69">
      <c r="A69" s="231"/>
      <c r="B69" s="232"/>
      <c r="C69" s="232"/>
      <c r="D69" s="232"/>
      <c r="E69" s="232"/>
      <c r="F69" s="232"/>
      <c r="G69" s="232"/>
      <c r="H69" s="232"/>
    </row>
    <row r="70">
      <c r="A70" s="231"/>
      <c r="B70" s="232"/>
      <c r="C70" s="232"/>
      <c r="D70" s="232"/>
      <c r="E70" s="232"/>
      <c r="F70" s="232"/>
      <c r="G70" s="232"/>
      <c r="H70" s="232"/>
    </row>
    <row r="71">
      <c r="A71" s="231"/>
      <c r="B71" s="232"/>
      <c r="C71" s="232"/>
      <c r="D71" s="232"/>
      <c r="E71" s="232"/>
      <c r="F71" s="232"/>
      <c r="G71" s="232"/>
      <c r="H71" s="232"/>
    </row>
    <row r="72">
      <c r="A72" s="231"/>
      <c r="B72" s="232"/>
      <c r="C72" s="232"/>
      <c r="D72" s="232"/>
      <c r="E72" s="232"/>
      <c r="F72" s="232"/>
      <c r="G72" s="232"/>
      <c r="H72" s="232"/>
    </row>
    <row r="73">
      <c r="A73" s="231"/>
      <c r="B73" s="232"/>
      <c r="C73" s="232"/>
      <c r="D73" s="232"/>
      <c r="E73" s="232"/>
      <c r="F73" s="232"/>
      <c r="G73" s="232"/>
      <c r="H73" s="232"/>
    </row>
    <row r="74">
      <c r="A74" s="231"/>
      <c r="B74" s="232"/>
      <c r="C74" s="232"/>
      <c r="D74" s="232"/>
      <c r="E74" s="232"/>
      <c r="F74" s="232"/>
      <c r="G74" s="232"/>
      <c r="H74" s="232"/>
    </row>
    <row r="75">
      <c r="A75" s="231"/>
      <c r="B75" s="232"/>
      <c r="C75" s="232"/>
      <c r="D75" s="232"/>
      <c r="E75" s="232"/>
      <c r="F75" s="232"/>
      <c r="G75" s="232"/>
      <c r="H75" s="232"/>
    </row>
    <row r="76">
      <c r="A76" s="231"/>
      <c r="B76" s="232"/>
      <c r="C76" s="232"/>
      <c r="D76" s="232"/>
      <c r="E76" s="232"/>
      <c r="F76" s="232"/>
      <c r="G76" s="232"/>
      <c r="H76" s="232"/>
    </row>
    <row r="77">
      <c r="A77" s="231"/>
      <c r="B77" s="232"/>
      <c r="C77" s="232"/>
      <c r="D77" s="232"/>
      <c r="E77" s="232"/>
      <c r="F77" s="232"/>
      <c r="G77" s="232"/>
      <c r="H77" s="232"/>
    </row>
    <row r="78">
      <c r="A78" s="231"/>
      <c r="B78" s="232"/>
      <c r="C78" s="232"/>
      <c r="D78" s="232"/>
      <c r="E78" s="232"/>
      <c r="F78" s="232"/>
      <c r="G78" s="232"/>
      <c r="H78" s="232"/>
    </row>
    <row r="79">
      <c r="A79" s="231"/>
      <c r="B79" s="232"/>
      <c r="C79" s="232"/>
      <c r="D79" s="232"/>
      <c r="E79" s="232"/>
      <c r="F79" s="232"/>
      <c r="G79" s="232"/>
      <c r="H79" s="232"/>
    </row>
    <row r="80">
      <c r="A80" s="231"/>
      <c r="B80" s="232"/>
      <c r="C80" s="232"/>
      <c r="D80" s="232"/>
      <c r="E80" s="232"/>
      <c r="F80" s="232"/>
      <c r="G80" s="232"/>
      <c r="H80" s="232"/>
    </row>
    <row r="81">
      <c r="A81" s="231"/>
      <c r="B81" s="232"/>
      <c r="C81" s="232"/>
      <c r="D81" s="232"/>
      <c r="E81" s="232"/>
      <c r="F81" s="232"/>
      <c r="G81" s="232"/>
      <c r="H81" s="232"/>
    </row>
    <row r="82">
      <c r="A82" s="231"/>
      <c r="B82" s="232"/>
      <c r="C82" s="232"/>
      <c r="D82" s="232"/>
      <c r="E82" s="232"/>
      <c r="F82" s="232"/>
      <c r="G82" s="232"/>
      <c r="H82" s="232"/>
    </row>
    <row r="83">
      <c r="A83" s="231"/>
      <c r="B83" s="232"/>
      <c r="C83" s="232"/>
      <c r="D83" s="232"/>
      <c r="E83" s="232"/>
      <c r="F83" s="232"/>
      <c r="G83" s="232"/>
      <c r="H83" s="232"/>
    </row>
    <row r="84">
      <c r="A84" s="231"/>
      <c r="B84" s="232"/>
      <c r="C84" s="232"/>
      <c r="D84" s="232"/>
      <c r="E84" s="232"/>
      <c r="F84" s="232"/>
      <c r="G84" s="232"/>
      <c r="H84" s="232"/>
    </row>
    <row r="85">
      <c r="A85" s="231"/>
      <c r="B85" s="232"/>
      <c r="C85" s="232"/>
      <c r="D85" s="232"/>
      <c r="E85" s="232"/>
      <c r="F85" s="232"/>
      <c r="G85" s="232"/>
      <c r="H85" s="232"/>
    </row>
    <row r="86">
      <c r="A86" s="231"/>
      <c r="B86" s="232"/>
      <c r="C86" s="232"/>
      <c r="D86" s="232"/>
      <c r="E86" s="232"/>
      <c r="F86" s="232"/>
      <c r="G86" s="232"/>
      <c r="H86" s="232"/>
    </row>
    <row r="87">
      <c r="A87" s="231"/>
      <c r="B87" s="232"/>
      <c r="C87" s="232"/>
      <c r="D87" s="232"/>
      <c r="E87" s="232"/>
      <c r="F87" s="232"/>
      <c r="G87" s="232"/>
      <c r="H87" s="232"/>
    </row>
    <row r="88">
      <c r="A88" s="231"/>
      <c r="B88" s="232"/>
      <c r="C88" s="232"/>
      <c r="D88" s="232"/>
      <c r="E88" s="232"/>
      <c r="F88" s="232"/>
      <c r="G88" s="232"/>
      <c r="H88" s="232"/>
    </row>
    <row r="89">
      <c r="A89" s="231"/>
      <c r="B89" s="232"/>
      <c r="C89" s="232"/>
      <c r="D89" s="232"/>
      <c r="E89" s="232"/>
      <c r="F89" s="232"/>
      <c r="G89" s="232"/>
      <c r="H89" s="232"/>
    </row>
    <row r="90">
      <c r="A90" s="231"/>
      <c r="B90" s="232"/>
      <c r="C90" s="232"/>
      <c r="D90" s="232"/>
      <c r="E90" s="232"/>
      <c r="F90" s="232"/>
      <c r="G90" s="232"/>
      <c r="H90" s="232"/>
    </row>
    <row r="91">
      <c r="A91" s="231"/>
      <c r="B91" s="232"/>
      <c r="C91" s="232"/>
      <c r="D91" s="232"/>
      <c r="E91" s="232"/>
      <c r="F91" s="232"/>
      <c r="G91" s="232"/>
      <c r="H91" s="232"/>
    </row>
    <row r="92">
      <c r="A92" s="231"/>
      <c r="B92" s="232"/>
      <c r="C92" s="232"/>
      <c r="D92" s="232"/>
      <c r="E92" s="232"/>
      <c r="F92" s="232"/>
      <c r="G92" s="232"/>
      <c r="H92" s="232"/>
    </row>
    <row r="93">
      <c r="A93" s="231"/>
      <c r="B93" s="232"/>
      <c r="C93" s="232"/>
      <c r="D93" s="232"/>
      <c r="E93" s="232"/>
      <c r="F93" s="232"/>
      <c r="G93" s="232"/>
      <c r="H93" s="232"/>
    </row>
    <row r="94">
      <c r="A94" s="231"/>
      <c r="B94" s="232"/>
      <c r="C94" s="232"/>
      <c r="D94" s="232"/>
      <c r="E94" s="232"/>
      <c r="F94" s="232"/>
      <c r="G94" s="232"/>
      <c r="H94" s="232"/>
    </row>
    <row r="95">
      <c r="A95" s="231"/>
      <c r="B95" s="232"/>
      <c r="C95" s="232"/>
      <c r="D95" s="232"/>
      <c r="E95" s="232"/>
      <c r="F95" s="232"/>
      <c r="G95" s="232"/>
      <c r="H95" s="232"/>
    </row>
    <row r="96">
      <c r="A96" s="231"/>
      <c r="B96" s="232"/>
      <c r="C96" s="232"/>
      <c r="D96" s="232"/>
      <c r="E96" s="232"/>
      <c r="F96" s="232"/>
      <c r="G96" s="232"/>
      <c r="H96" s="232"/>
    </row>
    <row r="97">
      <c r="A97" s="231"/>
      <c r="B97" s="232"/>
      <c r="C97" s="232"/>
      <c r="D97" s="232"/>
      <c r="E97" s="232"/>
      <c r="F97" s="232"/>
      <c r="G97" s="232"/>
      <c r="H97" s="232"/>
    </row>
    <row r="98">
      <c r="A98" s="231"/>
      <c r="B98" s="232"/>
      <c r="C98" s="232"/>
      <c r="D98" s="232"/>
      <c r="E98" s="232"/>
      <c r="F98" s="232"/>
      <c r="G98" s="232"/>
      <c r="H98" s="232"/>
    </row>
    <row r="99">
      <c r="A99" s="231"/>
      <c r="B99" s="232"/>
      <c r="C99" s="232"/>
      <c r="D99" s="232"/>
      <c r="E99" s="232"/>
      <c r="F99" s="232"/>
      <c r="G99" s="232"/>
      <c r="H99" s="232"/>
    </row>
    <row r="100">
      <c r="A100" s="231"/>
      <c r="B100" s="232"/>
      <c r="C100" s="232"/>
      <c r="D100" s="232"/>
      <c r="E100" s="232"/>
      <c r="F100" s="232"/>
      <c r="G100" s="232"/>
      <c r="H100" s="232"/>
    </row>
    <row r="101">
      <c r="A101" s="231"/>
      <c r="B101" s="232"/>
      <c r="C101" s="232"/>
      <c r="D101" s="232"/>
      <c r="E101" s="232"/>
      <c r="F101" s="232"/>
      <c r="G101" s="232"/>
      <c r="H101" s="232"/>
    </row>
    <row r="102">
      <c r="A102" s="231"/>
      <c r="B102" s="232"/>
      <c r="C102" s="232"/>
      <c r="D102" s="232"/>
      <c r="E102" s="232"/>
      <c r="F102" s="232"/>
      <c r="G102" s="232"/>
      <c r="H102" s="232"/>
    </row>
    <row r="103">
      <c r="A103" s="231"/>
      <c r="B103" s="232"/>
      <c r="C103" s="232"/>
      <c r="D103" s="232"/>
      <c r="E103" s="232"/>
      <c r="F103" s="232"/>
      <c r="G103" s="232"/>
      <c r="H103" s="232"/>
    </row>
    <row r="104">
      <c r="A104" s="231"/>
      <c r="B104" s="232"/>
      <c r="C104" s="232"/>
      <c r="D104" s="232"/>
      <c r="E104" s="232"/>
      <c r="F104" s="232"/>
      <c r="G104" s="232"/>
      <c r="H104" s="232"/>
    </row>
    <row r="105">
      <c r="A105" s="231"/>
      <c r="B105" s="232"/>
      <c r="C105" s="232"/>
      <c r="D105" s="232"/>
      <c r="E105" s="232"/>
      <c r="F105" s="232"/>
      <c r="G105" s="232"/>
      <c r="H105" s="232"/>
    </row>
    <row r="106">
      <c r="A106" s="231"/>
      <c r="B106" s="232"/>
      <c r="C106" s="232"/>
      <c r="D106" s="232"/>
      <c r="E106" s="232"/>
      <c r="F106" s="232"/>
      <c r="G106" s="232"/>
      <c r="H106" s="232"/>
    </row>
    <row r="107">
      <c r="A107" s="231"/>
      <c r="B107" s="232"/>
      <c r="C107" s="232"/>
      <c r="D107" s="232"/>
      <c r="E107" s="232"/>
      <c r="F107" s="232"/>
      <c r="G107" s="232"/>
      <c r="H107" s="232"/>
    </row>
    <row r="108">
      <c r="A108" s="231"/>
      <c r="B108" s="232"/>
      <c r="C108" s="232"/>
      <c r="D108" s="232"/>
      <c r="E108" s="232"/>
      <c r="F108" s="232"/>
      <c r="G108" s="232"/>
      <c r="H108" s="232"/>
    </row>
    <row r="109">
      <c r="A109" s="231"/>
      <c r="B109" s="232"/>
      <c r="C109" s="232"/>
      <c r="D109" s="232"/>
      <c r="E109" s="232"/>
      <c r="F109" s="232"/>
      <c r="G109" s="232"/>
      <c r="H109" s="232"/>
    </row>
    <row r="110">
      <c r="A110" s="231"/>
      <c r="B110" s="232"/>
      <c r="C110" s="232"/>
      <c r="D110" s="232"/>
      <c r="E110" s="232"/>
      <c r="F110" s="232"/>
      <c r="G110" s="232"/>
      <c r="H110" s="232"/>
    </row>
    <row r="111">
      <c r="A111" s="231"/>
      <c r="B111" s="232"/>
      <c r="C111" s="232"/>
      <c r="D111" s="232"/>
      <c r="E111" s="232"/>
      <c r="F111" s="232"/>
      <c r="G111" s="232"/>
      <c r="H111" s="232"/>
    </row>
    <row r="112">
      <c r="A112" s="231"/>
      <c r="B112" s="232"/>
      <c r="C112" s="232"/>
      <c r="D112" s="232"/>
      <c r="E112" s="232"/>
      <c r="F112" s="232"/>
      <c r="G112" s="232"/>
      <c r="H112" s="232"/>
    </row>
    <row r="113">
      <c r="A113" s="231"/>
      <c r="B113" s="232"/>
      <c r="C113" s="232"/>
      <c r="D113" s="232"/>
      <c r="E113" s="232"/>
      <c r="F113" s="232"/>
      <c r="G113" s="232"/>
      <c r="H113" s="232"/>
    </row>
    <row r="114">
      <c r="A114" s="231"/>
      <c r="B114" s="232"/>
      <c r="C114" s="232"/>
      <c r="D114" s="232"/>
      <c r="E114" s="232"/>
      <c r="F114" s="232"/>
      <c r="G114" s="232"/>
      <c r="H114" s="232"/>
    </row>
    <row r="115">
      <c r="A115" s="231"/>
      <c r="B115" s="232"/>
      <c r="C115" s="232"/>
      <c r="D115" s="232"/>
      <c r="E115" s="232"/>
      <c r="F115" s="232"/>
      <c r="G115" s="232"/>
      <c r="H115" s="232"/>
    </row>
    <row r="116">
      <c r="A116" s="231"/>
      <c r="B116" s="232"/>
      <c r="C116" s="232"/>
      <c r="D116" s="232"/>
      <c r="E116" s="232"/>
      <c r="F116" s="232"/>
      <c r="G116" s="232"/>
      <c r="H116" s="232"/>
    </row>
    <row r="117">
      <c r="A117" s="231"/>
      <c r="B117" s="232"/>
      <c r="C117" s="232"/>
      <c r="D117" s="232"/>
      <c r="E117" s="232"/>
      <c r="F117" s="232"/>
      <c r="G117" s="232"/>
      <c r="H117" s="232"/>
    </row>
    <row r="118">
      <c r="A118" s="231"/>
      <c r="B118" s="232"/>
      <c r="C118" s="232"/>
      <c r="D118" s="232"/>
      <c r="E118" s="232"/>
      <c r="F118" s="232"/>
      <c r="G118" s="232"/>
      <c r="H118" s="232"/>
    </row>
    <row r="119">
      <c r="A119" s="231"/>
      <c r="B119" s="232"/>
      <c r="C119" s="232"/>
      <c r="D119" s="232"/>
      <c r="E119" s="232"/>
      <c r="F119" s="232"/>
      <c r="G119" s="232"/>
      <c r="H119" s="232"/>
    </row>
    <row r="120">
      <c r="A120" s="231"/>
      <c r="B120" s="232"/>
      <c r="C120" s="232"/>
      <c r="D120" s="232"/>
      <c r="E120" s="232"/>
      <c r="F120" s="232"/>
      <c r="G120" s="232"/>
      <c r="H120" s="232"/>
    </row>
    <row r="121">
      <c r="A121" s="231"/>
      <c r="B121" s="232"/>
      <c r="C121" s="232"/>
      <c r="D121" s="232"/>
      <c r="E121" s="232"/>
      <c r="F121" s="232"/>
      <c r="G121" s="232"/>
      <c r="H121" s="232"/>
    </row>
    <row r="122">
      <c r="A122" s="231"/>
      <c r="B122" s="232"/>
      <c r="C122" s="232"/>
      <c r="D122" s="232"/>
      <c r="E122" s="232"/>
      <c r="F122" s="232"/>
      <c r="G122" s="232"/>
      <c r="H122" s="232"/>
    </row>
    <row r="123">
      <c r="A123" s="231"/>
      <c r="B123" s="232"/>
      <c r="C123" s="232"/>
      <c r="D123" s="232"/>
      <c r="E123" s="232"/>
      <c r="F123" s="232"/>
      <c r="G123" s="232"/>
      <c r="H123" s="232"/>
    </row>
    <row r="124">
      <c r="A124" s="231"/>
      <c r="B124" s="232"/>
      <c r="C124" s="232"/>
      <c r="D124" s="232"/>
      <c r="E124" s="232"/>
      <c r="F124" s="232"/>
      <c r="G124" s="232"/>
      <c r="H124" s="232"/>
    </row>
    <row r="125">
      <c r="A125" s="231"/>
      <c r="B125" s="232"/>
      <c r="C125" s="232"/>
      <c r="D125" s="232"/>
      <c r="E125" s="232"/>
      <c r="F125" s="232"/>
      <c r="G125" s="232"/>
      <c r="H125" s="232"/>
    </row>
    <row r="126">
      <c r="A126" s="231"/>
      <c r="B126" s="232"/>
      <c r="C126" s="232"/>
      <c r="D126" s="232"/>
      <c r="E126" s="232"/>
      <c r="F126" s="232"/>
      <c r="G126" s="232"/>
      <c r="H126" s="232"/>
    </row>
    <row r="127">
      <c r="A127" s="231"/>
      <c r="B127" s="232"/>
      <c r="C127" s="232"/>
      <c r="D127" s="232"/>
      <c r="E127" s="232"/>
      <c r="F127" s="232"/>
      <c r="G127" s="232"/>
      <c r="H127" s="232"/>
    </row>
    <row r="128">
      <c r="A128" s="231"/>
      <c r="B128" s="232"/>
      <c r="C128" s="232"/>
      <c r="D128" s="232"/>
      <c r="E128" s="232"/>
      <c r="F128" s="232"/>
      <c r="G128" s="232"/>
      <c r="H128" s="232"/>
    </row>
    <row r="129">
      <c r="A129" s="231"/>
      <c r="B129" s="232"/>
      <c r="C129" s="232"/>
      <c r="D129" s="232"/>
      <c r="E129" s="232"/>
      <c r="F129" s="232"/>
      <c r="G129" s="232"/>
      <c r="H129" s="232"/>
    </row>
    <row r="130">
      <c r="A130" s="231"/>
      <c r="B130" s="232"/>
      <c r="C130" s="232"/>
      <c r="D130" s="232"/>
      <c r="E130" s="232"/>
      <c r="F130" s="232"/>
      <c r="G130" s="232"/>
      <c r="H130" s="232"/>
    </row>
    <row r="131">
      <c r="A131" s="231"/>
      <c r="B131" s="232"/>
      <c r="C131" s="232"/>
      <c r="D131" s="232"/>
      <c r="E131" s="232"/>
      <c r="F131" s="232"/>
      <c r="G131" s="232"/>
      <c r="H131" s="232"/>
    </row>
    <row r="132">
      <c r="A132" s="231"/>
      <c r="B132" s="232"/>
      <c r="C132" s="232"/>
      <c r="D132" s="232"/>
      <c r="E132" s="232"/>
      <c r="F132" s="232"/>
      <c r="G132" s="232"/>
      <c r="H132" s="232"/>
    </row>
    <row r="133">
      <c r="A133" s="231"/>
      <c r="B133" s="232"/>
      <c r="C133" s="232"/>
      <c r="D133" s="232"/>
      <c r="E133" s="232"/>
      <c r="F133" s="232"/>
      <c r="G133" s="232"/>
      <c r="H133" s="232"/>
    </row>
    <row r="134">
      <c r="A134" s="231"/>
      <c r="B134" s="232"/>
      <c r="C134" s="232"/>
      <c r="D134" s="232"/>
      <c r="E134" s="232"/>
      <c r="F134" s="232"/>
      <c r="G134" s="232"/>
      <c r="H134" s="232"/>
    </row>
    <row r="135">
      <c r="A135" s="231"/>
      <c r="B135" s="232"/>
      <c r="C135" s="232"/>
      <c r="D135" s="232"/>
      <c r="E135" s="232"/>
      <c r="F135" s="232"/>
      <c r="G135" s="232"/>
      <c r="H135" s="232"/>
    </row>
    <row r="136">
      <c r="A136" s="231"/>
      <c r="B136" s="232"/>
      <c r="C136" s="232"/>
      <c r="D136" s="232"/>
      <c r="E136" s="232"/>
      <c r="F136" s="232"/>
      <c r="G136" s="232"/>
      <c r="H136" s="232"/>
    </row>
    <row r="137">
      <c r="A137" s="231"/>
      <c r="B137" s="232"/>
      <c r="C137" s="232"/>
      <c r="D137" s="232"/>
      <c r="E137" s="232"/>
      <c r="F137" s="232"/>
      <c r="G137" s="232"/>
      <c r="H137" s="232"/>
    </row>
    <row r="138">
      <c r="A138" s="231"/>
      <c r="B138" s="232"/>
      <c r="C138" s="232"/>
      <c r="D138" s="232"/>
      <c r="E138" s="232"/>
      <c r="F138" s="232"/>
      <c r="G138" s="232"/>
      <c r="H138" s="232"/>
    </row>
    <row r="139">
      <c r="A139" s="231"/>
      <c r="B139" s="232"/>
      <c r="C139" s="232"/>
      <c r="D139" s="232"/>
      <c r="E139" s="232"/>
      <c r="F139" s="232"/>
      <c r="G139" s="232"/>
      <c r="H139" s="232"/>
    </row>
    <row r="140">
      <c r="A140" s="231"/>
      <c r="B140" s="232"/>
      <c r="C140" s="232"/>
      <c r="D140" s="232"/>
      <c r="E140" s="232"/>
      <c r="F140" s="232"/>
      <c r="G140" s="232"/>
      <c r="H140" s="232"/>
    </row>
    <row r="141">
      <c r="A141" s="231"/>
      <c r="B141" s="232"/>
      <c r="C141" s="232"/>
      <c r="D141" s="232"/>
      <c r="E141" s="232"/>
      <c r="F141" s="232"/>
      <c r="G141" s="232"/>
      <c r="H141" s="232"/>
    </row>
    <row r="142">
      <c r="A142" s="231"/>
      <c r="B142" s="232"/>
      <c r="C142" s="232"/>
      <c r="D142" s="232"/>
      <c r="E142" s="232"/>
      <c r="F142" s="232"/>
      <c r="G142" s="232"/>
      <c r="H142" s="232"/>
    </row>
    <row r="143">
      <c r="A143" s="231"/>
      <c r="B143" s="232"/>
      <c r="C143" s="232"/>
      <c r="D143" s="232"/>
      <c r="E143" s="232"/>
      <c r="F143" s="232"/>
      <c r="G143" s="232"/>
      <c r="H143" s="232"/>
    </row>
    <row r="144">
      <c r="A144" s="231"/>
      <c r="B144" s="232"/>
      <c r="C144" s="232"/>
      <c r="D144" s="232"/>
      <c r="E144" s="232"/>
      <c r="F144" s="232"/>
      <c r="G144" s="232"/>
      <c r="H144" s="232"/>
    </row>
    <row r="145">
      <c r="A145" s="231"/>
      <c r="B145" s="232"/>
      <c r="C145" s="232"/>
      <c r="D145" s="232"/>
      <c r="E145" s="232"/>
      <c r="F145" s="232"/>
      <c r="G145" s="232"/>
      <c r="H145" s="232"/>
    </row>
    <row r="146">
      <c r="A146" s="231"/>
      <c r="B146" s="232"/>
      <c r="C146" s="232"/>
      <c r="D146" s="232"/>
      <c r="E146" s="232"/>
      <c r="F146" s="232"/>
      <c r="G146" s="232"/>
      <c r="H146" s="232"/>
    </row>
    <row r="147">
      <c r="A147" s="231"/>
      <c r="B147" s="232"/>
      <c r="C147" s="232"/>
      <c r="D147" s="232"/>
      <c r="E147" s="232"/>
      <c r="F147" s="232"/>
      <c r="G147" s="232"/>
      <c r="H147" s="232"/>
    </row>
    <row r="148">
      <c r="A148" s="231"/>
      <c r="B148" s="232"/>
      <c r="C148" s="232"/>
      <c r="D148" s="232"/>
      <c r="E148" s="232"/>
      <c r="F148" s="232"/>
      <c r="G148" s="232"/>
      <c r="H148" s="232"/>
    </row>
    <row r="149">
      <c r="A149" s="231"/>
      <c r="B149" s="232"/>
      <c r="C149" s="232"/>
      <c r="D149" s="232"/>
      <c r="E149" s="232"/>
      <c r="F149" s="232"/>
      <c r="G149" s="232"/>
      <c r="H149" s="232"/>
    </row>
    <row r="150">
      <c r="A150" s="231"/>
      <c r="B150" s="232"/>
      <c r="C150" s="232"/>
      <c r="D150" s="232"/>
      <c r="E150" s="232"/>
      <c r="F150" s="232"/>
      <c r="G150" s="232"/>
      <c r="H150" s="232"/>
    </row>
    <row r="151">
      <c r="A151" s="231"/>
      <c r="B151" s="232"/>
      <c r="C151" s="232"/>
      <c r="D151" s="232"/>
      <c r="E151" s="232"/>
      <c r="F151" s="232"/>
      <c r="G151" s="232"/>
      <c r="H151" s="232"/>
    </row>
    <row r="152">
      <c r="A152" s="231"/>
      <c r="B152" s="232"/>
      <c r="C152" s="232"/>
      <c r="D152" s="232"/>
      <c r="E152" s="232"/>
      <c r="F152" s="232"/>
      <c r="G152" s="232"/>
      <c r="H152" s="232"/>
    </row>
    <row r="153">
      <c r="A153" s="231"/>
      <c r="B153" s="232"/>
      <c r="C153" s="232"/>
      <c r="D153" s="232"/>
      <c r="E153" s="232"/>
      <c r="F153" s="232"/>
      <c r="G153" s="232"/>
      <c r="H153" s="232"/>
    </row>
    <row r="154">
      <c r="A154" s="231"/>
      <c r="B154" s="232"/>
      <c r="C154" s="232"/>
      <c r="D154" s="232"/>
      <c r="E154" s="232"/>
      <c r="F154" s="232"/>
      <c r="G154" s="232"/>
      <c r="H154" s="232"/>
    </row>
    <row r="155">
      <c r="A155" s="231"/>
      <c r="B155" s="232"/>
      <c r="C155" s="232"/>
      <c r="D155" s="232"/>
      <c r="E155" s="232"/>
      <c r="F155" s="232"/>
      <c r="G155" s="232"/>
      <c r="H155" s="232"/>
    </row>
    <row r="156">
      <c r="A156" s="231"/>
      <c r="B156" s="232"/>
      <c r="C156" s="232"/>
      <c r="D156" s="232"/>
      <c r="E156" s="232"/>
      <c r="F156" s="232"/>
      <c r="G156" s="232"/>
      <c r="H156" s="232"/>
    </row>
    <row r="157">
      <c r="A157" s="231"/>
      <c r="B157" s="232"/>
      <c r="C157" s="232"/>
      <c r="D157" s="232"/>
      <c r="E157" s="232"/>
      <c r="F157" s="232"/>
      <c r="G157" s="232"/>
      <c r="H157" s="232"/>
    </row>
    <row r="158">
      <c r="A158" s="231"/>
      <c r="B158" s="232"/>
      <c r="C158" s="232"/>
      <c r="D158" s="232"/>
      <c r="E158" s="232"/>
      <c r="F158" s="232"/>
      <c r="G158" s="232"/>
      <c r="H158" s="232"/>
    </row>
    <row r="159">
      <c r="A159" s="231"/>
      <c r="B159" s="232"/>
      <c r="C159" s="232"/>
      <c r="D159" s="232"/>
      <c r="E159" s="232"/>
      <c r="F159" s="232"/>
      <c r="G159" s="232"/>
      <c r="H159" s="232"/>
    </row>
    <row r="160">
      <c r="A160" s="231"/>
      <c r="B160" s="232"/>
      <c r="C160" s="232"/>
      <c r="D160" s="232"/>
      <c r="E160" s="232"/>
      <c r="F160" s="232"/>
      <c r="G160" s="232"/>
      <c r="H160" s="232"/>
    </row>
    <row r="161">
      <c r="A161" s="231"/>
      <c r="B161" s="232"/>
      <c r="C161" s="232"/>
      <c r="D161" s="232"/>
      <c r="E161" s="232"/>
      <c r="F161" s="232"/>
      <c r="G161" s="232"/>
      <c r="H161" s="232"/>
    </row>
    <row r="162">
      <c r="A162" s="231"/>
      <c r="B162" s="232"/>
      <c r="C162" s="232"/>
      <c r="D162" s="232"/>
      <c r="E162" s="232"/>
      <c r="F162" s="232"/>
      <c r="G162" s="232"/>
      <c r="H162" s="232"/>
    </row>
    <row r="163">
      <c r="A163" s="231"/>
      <c r="B163" s="232"/>
      <c r="C163" s="232"/>
      <c r="D163" s="232"/>
      <c r="E163" s="232"/>
      <c r="F163" s="232"/>
      <c r="G163" s="232"/>
      <c r="H163" s="232"/>
    </row>
    <row r="164">
      <c r="A164" s="231"/>
      <c r="B164" s="232"/>
      <c r="C164" s="232"/>
      <c r="D164" s="232"/>
      <c r="E164" s="232"/>
      <c r="F164" s="232"/>
      <c r="G164" s="232"/>
      <c r="H164" s="232"/>
    </row>
    <row r="165">
      <c r="A165" s="231"/>
      <c r="B165" s="232"/>
      <c r="C165" s="232"/>
      <c r="D165" s="232"/>
      <c r="E165" s="232"/>
      <c r="F165" s="232"/>
      <c r="G165" s="232"/>
      <c r="H165" s="232"/>
    </row>
    <row r="166">
      <c r="A166" s="231"/>
      <c r="B166" s="232"/>
      <c r="C166" s="232"/>
      <c r="D166" s="232"/>
      <c r="E166" s="232"/>
      <c r="F166" s="232"/>
      <c r="G166" s="232"/>
      <c r="H166" s="232"/>
    </row>
    <row r="167">
      <c r="A167" s="231"/>
      <c r="B167" s="232"/>
      <c r="C167" s="232"/>
      <c r="D167" s="232"/>
      <c r="E167" s="232"/>
      <c r="F167" s="232"/>
      <c r="G167" s="232"/>
      <c r="H167" s="232"/>
    </row>
    <row r="168">
      <c r="A168" s="231"/>
      <c r="B168" s="232"/>
      <c r="C168" s="232"/>
      <c r="D168" s="232"/>
      <c r="E168" s="232"/>
      <c r="F168" s="232"/>
      <c r="G168" s="232"/>
      <c r="H168" s="232"/>
    </row>
    <row r="169">
      <c r="A169" s="231"/>
      <c r="B169" s="232"/>
      <c r="C169" s="232"/>
      <c r="D169" s="232"/>
      <c r="E169" s="232"/>
      <c r="F169" s="232"/>
      <c r="G169" s="232"/>
      <c r="H169" s="232"/>
    </row>
    <row r="170">
      <c r="A170" s="231"/>
      <c r="B170" s="232"/>
      <c r="C170" s="232"/>
      <c r="D170" s="232"/>
      <c r="E170" s="232"/>
      <c r="F170" s="232"/>
      <c r="G170" s="232"/>
      <c r="H170" s="232"/>
    </row>
    <row r="171">
      <c r="A171" s="231"/>
      <c r="B171" s="232"/>
      <c r="C171" s="232"/>
      <c r="D171" s="232"/>
      <c r="E171" s="232"/>
      <c r="F171" s="232"/>
      <c r="G171" s="232"/>
      <c r="H171" s="232"/>
    </row>
    <row r="172">
      <c r="A172" s="231"/>
      <c r="B172" s="232"/>
      <c r="C172" s="232"/>
      <c r="D172" s="232"/>
      <c r="E172" s="232"/>
      <c r="F172" s="232"/>
      <c r="G172" s="232"/>
      <c r="H172" s="232"/>
    </row>
    <row r="173">
      <c r="A173" s="231"/>
      <c r="B173" s="232"/>
      <c r="C173" s="232"/>
      <c r="D173" s="232"/>
      <c r="E173" s="232"/>
      <c r="F173" s="232"/>
      <c r="G173" s="232"/>
      <c r="H173" s="232"/>
    </row>
    <row r="174">
      <c r="A174" s="231"/>
      <c r="B174" s="232"/>
      <c r="C174" s="232"/>
      <c r="D174" s="232"/>
      <c r="E174" s="232"/>
      <c r="F174" s="232"/>
      <c r="G174" s="232"/>
      <c r="H174" s="232"/>
    </row>
    <row r="175">
      <c r="A175" s="231"/>
      <c r="B175" s="232"/>
      <c r="C175" s="232"/>
      <c r="D175" s="232"/>
      <c r="E175" s="232"/>
      <c r="F175" s="232"/>
      <c r="G175" s="232"/>
      <c r="H175" s="232"/>
    </row>
    <row r="176">
      <c r="A176" s="231"/>
      <c r="B176" s="232"/>
      <c r="C176" s="232"/>
      <c r="D176" s="232"/>
      <c r="E176" s="232"/>
      <c r="F176" s="232"/>
      <c r="G176" s="232"/>
      <c r="H176" s="232"/>
    </row>
    <row r="177">
      <c r="A177" s="231"/>
      <c r="B177" s="232"/>
      <c r="C177" s="232"/>
      <c r="D177" s="232"/>
      <c r="E177" s="232"/>
      <c r="F177" s="232"/>
      <c r="G177" s="232"/>
      <c r="H177" s="232"/>
    </row>
    <row r="178">
      <c r="A178" s="231"/>
      <c r="B178" s="232"/>
      <c r="C178" s="232"/>
      <c r="D178" s="232"/>
      <c r="E178" s="232"/>
      <c r="F178" s="232"/>
      <c r="G178" s="232"/>
      <c r="H178" s="232"/>
    </row>
    <row r="179">
      <c r="A179" s="231"/>
      <c r="B179" s="232"/>
      <c r="C179" s="232"/>
      <c r="D179" s="232"/>
      <c r="E179" s="232"/>
      <c r="F179" s="232"/>
      <c r="G179" s="232"/>
      <c r="H179" s="232"/>
    </row>
    <row r="180">
      <c r="A180" s="231"/>
      <c r="B180" s="232"/>
      <c r="C180" s="232"/>
      <c r="D180" s="232"/>
      <c r="E180" s="232"/>
      <c r="F180" s="232"/>
      <c r="G180" s="232"/>
      <c r="H180" s="232"/>
    </row>
    <row r="181">
      <c r="A181" s="231"/>
      <c r="B181" s="232"/>
      <c r="C181" s="232"/>
      <c r="D181" s="232"/>
      <c r="E181" s="232"/>
      <c r="F181" s="232"/>
      <c r="G181" s="232"/>
      <c r="H181" s="232"/>
    </row>
    <row r="182">
      <c r="A182" s="231"/>
      <c r="B182" s="232"/>
      <c r="C182" s="232"/>
      <c r="D182" s="232"/>
      <c r="E182" s="232"/>
      <c r="F182" s="232"/>
      <c r="G182" s="232"/>
      <c r="H182" s="232"/>
    </row>
    <row r="183">
      <c r="A183" s="231"/>
      <c r="B183" s="232"/>
      <c r="C183" s="232"/>
      <c r="D183" s="232"/>
      <c r="E183" s="232"/>
      <c r="F183" s="232"/>
      <c r="G183" s="232"/>
      <c r="H183" s="232"/>
    </row>
    <row r="184">
      <c r="A184" s="231"/>
      <c r="B184" s="232"/>
      <c r="C184" s="232"/>
      <c r="D184" s="232"/>
      <c r="E184" s="232"/>
      <c r="F184" s="232"/>
      <c r="G184" s="232"/>
      <c r="H184" s="232"/>
    </row>
    <row r="185">
      <c r="A185" s="231"/>
      <c r="B185" s="232"/>
      <c r="C185" s="232"/>
      <c r="D185" s="232"/>
      <c r="E185" s="232"/>
      <c r="F185" s="232"/>
      <c r="G185" s="232"/>
      <c r="H185" s="232"/>
    </row>
    <row r="186">
      <c r="A186" s="231"/>
      <c r="B186" s="232"/>
      <c r="C186" s="232"/>
      <c r="D186" s="232"/>
      <c r="E186" s="232"/>
      <c r="F186" s="232"/>
      <c r="G186" s="232"/>
      <c r="H186" s="232"/>
    </row>
    <row r="187">
      <c r="A187" s="231"/>
      <c r="B187" s="232"/>
      <c r="C187" s="232"/>
      <c r="D187" s="232"/>
      <c r="E187" s="232"/>
      <c r="F187" s="232"/>
      <c r="G187" s="232"/>
      <c r="H187" s="232"/>
    </row>
    <row r="188">
      <c r="A188" s="231"/>
      <c r="B188" s="232"/>
      <c r="C188" s="232"/>
      <c r="D188" s="232"/>
      <c r="E188" s="232"/>
      <c r="F188" s="232"/>
      <c r="G188" s="232"/>
      <c r="H188" s="232"/>
    </row>
    <row r="189">
      <c r="A189" s="231"/>
      <c r="B189" s="232"/>
      <c r="C189" s="232"/>
      <c r="D189" s="232"/>
      <c r="E189" s="232"/>
      <c r="F189" s="232"/>
      <c r="G189" s="232"/>
      <c r="H189" s="232"/>
    </row>
    <row r="190">
      <c r="A190" s="231"/>
      <c r="B190" s="232"/>
      <c r="C190" s="232"/>
      <c r="D190" s="232"/>
      <c r="E190" s="232"/>
      <c r="F190" s="232"/>
      <c r="G190" s="232"/>
      <c r="H190" s="232"/>
    </row>
    <row r="191">
      <c r="A191" s="231"/>
      <c r="B191" s="232"/>
      <c r="C191" s="232"/>
      <c r="D191" s="232"/>
      <c r="E191" s="232"/>
      <c r="F191" s="232"/>
      <c r="G191" s="232"/>
      <c r="H191" s="232"/>
    </row>
    <row r="192">
      <c r="A192" s="231"/>
      <c r="B192" s="232"/>
      <c r="C192" s="232"/>
      <c r="D192" s="232"/>
      <c r="E192" s="232"/>
      <c r="F192" s="232"/>
      <c r="G192" s="232"/>
      <c r="H192" s="232"/>
    </row>
    <row r="193">
      <c r="A193" s="231"/>
      <c r="B193" s="232"/>
      <c r="C193" s="232"/>
      <c r="D193" s="232"/>
      <c r="E193" s="232"/>
      <c r="F193" s="232"/>
      <c r="G193" s="232"/>
      <c r="H193" s="232"/>
    </row>
    <row r="194">
      <c r="A194" s="231"/>
      <c r="B194" s="232"/>
      <c r="C194" s="232"/>
      <c r="D194" s="232"/>
      <c r="E194" s="232"/>
      <c r="F194" s="232"/>
      <c r="G194" s="232"/>
      <c r="H194" s="232"/>
    </row>
    <row r="195">
      <c r="A195" s="231"/>
      <c r="B195" s="232"/>
      <c r="C195" s="232"/>
      <c r="D195" s="232"/>
      <c r="E195" s="232"/>
      <c r="F195" s="232"/>
      <c r="G195" s="232"/>
      <c r="H195" s="232"/>
    </row>
    <row r="196">
      <c r="A196" s="231"/>
      <c r="B196" s="232"/>
      <c r="C196" s="232"/>
      <c r="D196" s="232"/>
      <c r="E196" s="232"/>
      <c r="F196" s="232"/>
      <c r="G196" s="232"/>
      <c r="H196" s="232"/>
    </row>
    <row r="197">
      <c r="A197" s="231"/>
      <c r="B197" s="232"/>
      <c r="C197" s="232"/>
      <c r="D197" s="232"/>
      <c r="E197" s="232"/>
      <c r="F197" s="232"/>
      <c r="G197" s="232"/>
      <c r="H197" s="232"/>
    </row>
    <row r="198">
      <c r="A198" s="231"/>
      <c r="B198" s="232"/>
      <c r="C198" s="232"/>
      <c r="D198" s="232"/>
      <c r="E198" s="232"/>
      <c r="F198" s="232"/>
      <c r="G198" s="232"/>
      <c r="H198" s="232"/>
    </row>
    <row r="199">
      <c r="A199" s="231"/>
      <c r="B199" s="232"/>
      <c r="C199" s="232"/>
      <c r="D199" s="232"/>
      <c r="E199" s="232"/>
      <c r="F199" s="232"/>
      <c r="G199" s="232"/>
      <c r="H199" s="232"/>
    </row>
    <row r="200">
      <c r="A200" s="231"/>
      <c r="B200" s="232"/>
      <c r="C200" s="232"/>
      <c r="D200" s="232"/>
      <c r="E200" s="232"/>
      <c r="F200" s="232"/>
      <c r="G200" s="232"/>
      <c r="H200" s="232"/>
    </row>
    <row r="201">
      <c r="A201" s="231"/>
      <c r="B201" s="232"/>
      <c r="C201" s="232"/>
      <c r="D201" s="232"/>
      <c r="E201" s="232"/>
      <c r="F201" s="232"/>
      <c r="G201" s="232"/>
      <c r="H201" s="232"/>
    </row>
    <row r="202">
      <c r="A202" s="231"/>
      <c r="B202" s="232"/>
      <c r="C202" s="232"/>
      <c r="D202" s="232"/>
      <c r="E202" s="232"/>
      <c r="F202" s="232"/>
      <c r="G202" s="232"/>
      <c r="H202" s="232"/>
    </row>
    <row r="203">
      <c r="A203" s="231"/>
      <c r="B203" s="232"/>
      <c r="C203" s="232"/>
      <c r="D203" s="232"/>
      <c r="E203" s="232"/>
      <c r="F203" s="232"/>
      <c r="G203" s="232"/>
      <c r="H203" s="232"/>
    </row>
    <row r="204">
      <c r="A204" s="231"/>
      <c r="B204" s="232"/>
      <c r="C204" s="232"/>
      <c r="D204" s="232"/>
      <c r="E204" s="232"/>
      <c r="F204" s="232"/>
      <c r="G204" s="232"/>
      <c r="H204" s="232"/>
    </row>
    <row r="205">
      <c r="A205" s="231"/>
      <c r="B205" s="232"/>
      <c r="C205" s="232"/>
      <c r="D205" s="232"/>
      <c r="E205" s="232"/>
      <c r="F205" s="232"/>
      <c r="G205" s="232"/>
      <c r="H205" s="232"/>
    </row>
    <row r="206">
      <c r="A206" s="231"/>
      <c r="B206" s="232"/>
      <c r="C206" s="232"/>
      <c r="D206" s="232"/>
      <c r="E206" s="232"/>
      <c r="F206" s="232"/>
      <c r="G206" s="232"/>
      <c r="H206" s="232"/>
    </row>
  </sheetData>
  <mergeCells>
    <mergeCell ref="A1:A3"/>
  </mergeCells>
  <dataValidations count="4">
    <dataValidation allowBlank="true" errorStyle="stop" showErrorMessage="true" sqref="C6:C30" type="list">
      <formula1>"Rani,Titan"</formula1>
    </dataValidation>
    <dataValidation allowBlank="true" errorStyle="stop" showErrorMessage="true" sqref="G6:G30" type="list">
      <formula1>"Approved,Rejected,Waiting"</formula1>
    </dataValidation>
    <dataValidation allowBlank="true" errorStyle="stop" showErrorMessage="true" sqref="F6:F30" type="list">
      <formula1>"Handover to Sales,Waiting"</formula1>
    </dataValidation>
    <dataValidation allowBlank="true" errorStyle="stop" showErrorMessage="true" sqref="B6:B30" type="list">
      <formula1>"Zhafran,Amel,Lossa"</formula1>
    </dataValidation>
  </dataValidations>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4"/>
  </cols>
  <sheetData>
    <row r="1">
      <c r="A1" s="277"/>
      <c r="B1" s="277"/>
      <c r="C1" s="310"/>
      <c r="D1" s="277"/>
      <c r="E1" s="314"/>
      <c r="F1" s="315" t="str">
        <v>MAPID Sales Funnel</v>
      </c>
      <c r="G1" s="277"/>
      <c r="H1" s="277"/>
      <c r="I1" s="277"/>
      <c r="J1" s="277"/>
      <c r="K1" s="277"/>
      <c r="L1" s="277"/>
      <c r="M1" s="277"/>
      <c r="N1" s="277"/>
      <c r="O1" s="313"/>
    </row>
    <row r="2">
      <c r="A2" s="312">
        <v>2026</v>
      </c>
      <c r="B2" s="311"/>
      <c r="C2" s="310"/>
      <c r="D2" s="277"/>
      <c r="E2" s="277"/>
      <c r="F2" s="278"/>
      <c r="G2" s="277"/>
      <c r="H2" s="277"/>
      <c r="I2" s="277"/>
      <c r="J2" s="277"/>
      <c r="K2" s="277"/>
      <c r="L2" s="277"/>
      <c r="M2" s="277"/>
      <c r="N2" s="277"/>
      <c r="O2" s="84"/>
    </row>
    <row r="3">
      <c r="A3" s="306" t="str">
        <v>Company Name</v>
      </c>
      <c r="B3" s="303" t="str">
        <v>Contact Name</v>
      </c>
      <c r="C3" s="307" t="str">
        <v>Contact Email</v>
      </c>
      <c r="D3" s="303" t="str">
        <v>Contact Number</v>
      </c>
      <c r="E3" s="303" t="str">
        <v>Status</v>
      </c>
      <c r="F3" s="304" t="str">
        <v>Forecasted Value</v>
      </c>
      <c r="G3" s="309" t="str">
        <v>Probability</v>
      </c>
      <c r="H3" s="307" t="str">
        <v>Demo Date</v>
      </c>
      <c r="I3" s="307" t="str">
        <v>Expected 
 Close Date</v>
      </c>
      <c r="J3" s="303" t="str">
        <v>PIC Sales</v>
      </c>
      <c r="K3" s="303" t="str">
        <v>PIC PSE</v>
      </c>
      <c r="L3" s="307" t="str">
        <v>Progress to Won</v>
      </c>
      <c r="M3" s="308" t="str">
        <v>Last interacted on</v>
      </c>
      <c r="N3" s="305" t="str">
        <v>Next Step</v>
      </c>
      <c r="O3" s="305" t="str">
        <v>Proposal Link</v>
      </c>
    </row>
    <row r="4">
      <c r="A4" s="266" t="str">
        <v>Erajaya</v>
      </c>
      <c r="B4" s="266" t="str">
        <v>Johan</v>
      </c>
      <c r="C4" s="302" t="s">
        <v>395</v>
      </c>
      <c r="D4" s="272" t="str">
        <v>+62 878-7718-6576</v>
      </c>
      <c r="E4" s="294" t="str">
        <v>Lost</v>
      </c>
      <c r="F4" s="300"/>
      <c r="G4" s="270">
        <v>0</v>
      </c>
      <c r="H4" s="273">
        <v>45938</v>
      </c>
      <c r="I4" s="273">
        <v>46037</v>
      </c>
      <c r="J4" s="266" t="str">
        <v>Andrew</v>
      </c>
      <c r="K4" s="266" t="str">
        <v>Lossa</v>
      </c>
      <c r="L4" s="274">
        <v>0</v>
      </c>
      <c r="M4" s="267">
        <v>46024</v>
      </c>
      <c r="N4" s="266" t="str">
        <v>Dikabarin lagi 2026</v>
      </c>
      <c r="O4" s="295" t="s">
        <v>396</v>
      </c>
    </row>
    <row r="5">
      <c r="A5" s="279" t="str">
        <v>PLN</v>
      </c>
      <c r="B5" s="279" t="str">
        <v>Nurkholis Ari</v>
      </c>
      <c r="C5" s="289" t="s">
        <v>400</v>
      </c>
      <c r="D5" s="317">
        <f>+628553000044</f>
      </c>
      <c r="E5" s="279" t="str">
        <v>Proposal made</v>
      </c>
      <c r="F5" s="288"/>
      <c r="G5" s="282">
        <v>0.5</v>
      </c>
      <c r="H5" s="293">
        <v>45947</v>
      </c>
      <c r="I5" s="293"/>
      <c r="J5" s="279" t="str">
        <v>Titan</v>
      </c>
      <c r="K5" s="279" t="str">
        <v>Amel</v>
      </c>
      <c r="L5" s="280">
        <v>0.5</v>
      </c>
      <c r="M5" s="291">
        <v>46059</v>
      </c>
      <c r="N5" s="279" t="str">
        <v>Proposal sedang di review</v>
      </c>
      <c r="O5" s="292" t="s">
        <v>401</v>
      </c>
    </row>
    <row r="6">
      <c r="A6" s="279" t="str">
        <v>OCBC</v>
      </c>
      <c r="B6" s="279" t="str">
        <v>Sylvia</v>
      </c>
      <c r="C6" s="289" t="s">
        <v>399</v>
      </c>
      <c r="D6" s="317" t="str">
        <v>+62 811-1631-127</v>
      </c>
      <c r="E6" s="294" t="str">
        <v>Lost</v>
      </c>
      <c r="F6" s="299"/>
      <c r="G6" s="282">
        <v>0</v>
      </c>
      <c r="H6" s="293">
        <v>45945</v>
      </c>
      <c r="I6" s="293"/>
      <c r="J6" s="279" t="str">
        <v>Andrew</v>
      </c>
      <c r="K6" s="279" t="str">
        <v>Amel</v>
      </c>
      <c r="L6" s="280">
        <v>0</v>
      </c>
      <c r="M6" s="267">
        <v>46013</v>
      </c>
      <c r="N6" s="279" t="str">
        <v>Nunggu Pengumuman tanggal 16/12/2025</v>
      </c>
      <c r="O6" s="292" t="s">
        <v>398</v>
      </c>
    </row>
    <row r="7">
      <c r="A7" s="266" t="str">
        <v>Hutama Karya Indonesia</v>
      </c>
      <c r="B7" s="266" t="str">
        <v>Nova</v>
      </c>
      <c r="C7" s="269"/>
      <c r="D7" s="266" t="str">
        <v>+62 822-4295-1332</v>
      </c>
      <c r="E7" s="266" t="str">
        <v>Negotiation</v>
      </c>
      <c r="F7" s="297">
        <v>770000000</v>
      </c>
      <c r="G7" s="270">
        <v>0.75</v>
      </c>
      <c r="H7" s="293">
        <v>45952</v>
      </c>
      <c r="I7" s="266"/>
      <c r="J7" s="266" t="str">
        <v>Titan</v>
      </c>
      <c r="K7" s="266" t="str">
        <v>Amel</v>
      </c>
      <c r="L7" s="280">
        <v>0.75</v>
      </c>
      <c r="M7" s="291">
        <v>46065</v>
      </c>
      <c r="N7" s="269" t="str">
        <v>Deck Perbandingan</v>
      </c>
      <c r="O7" s="290" t="s">
        <v>389</v>
      </c>
    </row>
    <row r="8">
      <c r="A8" s="279" t="str">
        <v>English1</v>
      </c>
      <c r="B8" s="279" t="str">
        <v>Matthew</v>
      </c>
      <c r="C8" s="281" t="s">
        <v>387</v>
      </c>
      <c r="D8" s="279" t="str">
        <v>+62 852 1210 3883 (Matthew, CEO)</v>
      </c>
      <c r="E8" s="294" t="str">
        <v>Lost</v>
      </c>
      <c r="F8" s="284"/>
      <c r="G8" s="282">
        <v>0</v>
      </c>
      <c r="H8" s="293">
        <v>46024</v>
      </c>
      <c r="I8" s="279"/>
      <c r="J8" s="279" t="str">
        <v>Titan</v>
      </c>
      <c r="K8" s="279" t="str">
        <v>Amel</v>
      </c>
      <c r="L8" s="280">
        <v>0</v>
      </c>
      <c r="M8" s="267">
        <v>46057</v>
      </c>
      <c r="N8" s="279" t="str">
        <v>English1 use GapMaps</v>
      </c>
      <c r="O8" s="296" t="s">
        <v>388</v>
      </c>
    </row>
    <row r="9">
      <c r="A9" s="266" t="str">
        <v>Suryacipta</v>
      </c>
      <c r="B9" s="266"/>
      <c r="C9" s="269"/>
      <c r="D9" s="272"/>
      <c r="E9" s="294" t="str">
        <v>Lost</v>
      </c>
      <c r="F9" s="300"/>
      <c r="G9" s="270">
        <v>0</v>
      </c>
      <c r="H9" s="273"/>
      <c r="I9" s="266"/>
      <c r="J9" s="266"/>
      <c r="K9" s="266" t="str">
        <v>Amel</v>
      </c>
      <c r="L9" s="274">
        <v>0</v>
      </c>
      <c r="M9" s="287"/>
      <c r="N9" s="266"/>
      <c r="O9" s="271"/>
    </row>
    <row r="10">
      <c r="A10" s="279" t="str">
        <v>Metranet</v>
      </c>
      <c r="B10" s="279" t="str">
        <v>Radhi</v>
      </c>
      <c r="C10" s="289" t="s">
        <v>384</v>
      </c>
      <c r="D10" s="279" t="str">
        <v>+62 813-9899-6565</v>
      </c>
      <c r="E10" s="279" t="str">
        <v>Contacted</v>
      </c>
      <c r="F10" s="299"/>
      <c r="G10" s="282">
        <v>0.1</v>
      </c>
      <c r="H10" s="293">
        <v>45965</v>
      </c>
      <c r="I10" s="279"/>
      <c r="J10" s="279" t="str">
        <v>Titan</v>
      </c>
      <c r="K10" s="279" t="str">
        <v>Amel</v>
      </c>
      <c r="L10" s="280">
        <v>0.1</v>
      </c>
      <c r="M10" s="291">
        <v>46062</v>
      </c>
      <c r="N10" s="279" t="str">
        <v>Tunggu kabar dari mas radhi (Mas radhi discuss w customer), FU Senin</v>
      </c>
      <c r="O10" s="292" t="s">
        <v>383</v>
      </c>
    </row>
    <row r="11">
      <c r="A11" s="266" t="str">
        <v>Cyberjaya</v>
      </c>
      <c r="B11" s="266"/>
      <c r="C11" s="269"/>
      <c r="D11" s="272"/>
      <c r="E11" s="286" t="str">
        <v>Fridge</v>
      </c>
      <c r="F11" s="266"/>
      <c r="G11" s="270">
        <v>0</v>
      </c>
      <c r="H11" s="273"/>
      <c r="I11" s="266"/>
      <c r="J11" s="266" t="str">
        <v>Rani</v>
      </c>
      <c r="K11" s="266" t="str">
        <v>Amel</v>
      </c>
      <c r="L11" s="274">
        <v>0</v>
      </c>
      <c r="M11" s="287"/>
      <c r="N11" s="266"/>
      <c r="O11" s="295" t="s">
        <v>385</v>
      </c>
    </row>
    <row r="12">
      <c r="A12" s="279" t="str">
        <v>Kino</v>
      </c>
      <c r="B12" s="279" t="str">
        <v>Andreas (Partner)</v>
      </c>
      <c r="C12" s="281"/>
      <c r="D12" s="279" t="str">
        <v>+62 812-9989-8008</v>
      </c>
      <c r="E12" s="279" t="str">
        <v>Proposal made</v>
      </c>
      <c r="F12" s="288"/>
      <c r="G12" s="282">
        <v>0.5</v>
      </c>
      <c r="H12" s="293"/>
      <c r="I12" s="279"/>
      <c r="J12" s="298" t="str">
        <v>Andrew</v>
      </c>
      <c r="K12" s="279" t="str">
        <v>Amel</v>
      </c>
      <c r="L12" s="280">
        <v>0.5</v>
      </c>
      <c r="M12" s="267">
        <v>46013</v>
      </c>
      <c r="N12" s="279"/>
      <c r="O12" s="296" t="s">
        <v>391</v>
      </c>
    </row>
    <row r="13">
      <c r="A13" s="266" t="str">
        <v>Takeda</v>
      </c>
      <c r="B13" s="266" t="str">
        <v>Dewi Madyani</v>
      </c>
      <c r="C13" s="290" t="s">
        <v>394</v>
      </c>
      <c r="D13" s="272" t="str">
        <v>+62 817-0888-842</v>
      </c>
      <c r="E13" s="294" t="str">
        <v>Lost</v>
      </c>
      <c r="F13" s="300"/>
      <c r="G13" s="270">
        <v>0</v>
      </c>
      <c r="H13" s="273">
        <v>45979</v>
      </c>
      <c r="I13" s="266"/>
      <c r="J13" s="266"/>
      <c r="K13" s="266" t="str">
        <v>Amel</v>
      </c>
      <c r="L13" s="274">
        <v>0</v>
      </c>
      <c r="M13" s="267">
        <v>45985</v>
      </c>
      <c r="N13" s="269"/>
      <c r="O13" s="271"/>
    </row>
    <row r="14">
      <c r="A14" s="266" t="str">
        <v>Sarana Jaya</v>
      </c>
      <c r="B14" s="279" t="str">
        <v>Andreas (Partner)</v>
      </c>
      <c r="C14" s="269"/>
      <c r="D14" s="272"/>
      <c r="E14" s="266" t="str">
        <v>Contacted</v>
      </c>
      <c r="F14" s="268"/>
      <c r="G14" s="270">
        <v>0.1</v>
      </c>
      <c r="H14" s="273"/>
      <c r="I14" s="266"/>
      <c r="J14" s="298" t="str">
        <v>Andrew</v>
      </c>
      <c r="K14" s="266" t="str">
        <v>Amel</v>
      </c>
      <c r="L14" s="274">
        <v>0.1</v>
      </c>
      <c r="M14" s="287"/>
      <c r="N14" s="266"/>
      <c r="O14" s="271"/>
    </row>
    <row r="15">
      <c r="A15" s="279" t="str">
        <v>Nutech</v>
      </c>
      <c r="B15" s="279" t="str">
        <v>Isnur (Partner)</v>
      </c>
      <c r="C15" s="281"/>
      <c r="D15" s="279" t="str">
        <v>+62 812-1024-797</v>
      </c>
      <c r="E15" s="279" t="str">
        <v>Demo/Call of Interest</v>
      </c>
      <c r="F15" s="284"/>
      <c r="G15" s="282">
        <v>0.25</v>
      </c>
      <c r="H15" s="293">
        <v>45959</v>
      </c>
      <c r="I15" s="279"/>
      <c r="J15" s="298" t="str">
        <v>Andrew</v>
      </c>
      <c r="K15" s="279" t="str">
        <v>Amel</v>
      </c>
      <c r="L15" s="280">
        <v>0.25</v>
      </c>
      <c r="M15" s="267">
        <v>46009</v>
      </c>
      <c r="N15" s="279"/>
      <c r="O15" s="283"/>
    </row>
    <row r="16">
      <c r="A16" s="266" t="str">
        <v>Pelindo Excube (Pilotting Project)</v>
      </c>
      <c r="B16" s="266" t="str">
        <v>Impactto</v>
      </c>
      <c r="C16" s="269"/>
      <c r="D16" s="272"/>
      <c r="E16" s="301" t="str">
        <v>Won</v>
      </c>
      <c r="F16" s="297">
        <v>276390000</v>
      </c>
      <c r="G16" s="270">
        <v>1</v>
      </c>
      <c r="H16" s="273"/>
      <c r="I16" s="266"/>
      <c r="J16" s="266"/>
      <c r="K16" s="266" t="str">
        <v>Lossa</v>
      </c>
      <c r="L16" s="274">
        <v>1</v>
      </c>
      <c r="M16" s="287"/>
      <c r="N16" s="266" t="str">
        <v>Pitching for Pilot Project</v>
      </c>
      <c r="O16" s="295" t="s">
        <v>393</v>
      </c>
    </row>
    <row r="17">
      <c r="A17" s="279" t="str">
        <v>Stickearn</v>
      </c>
      <c r="B17" s="279" t="str">
        <v>Impactto</v>
      </c>
      <c r="C17" s="281"/>
      <c r="D17" s="279"/>
      <c r="E17" s="286" t="str">
        <v>Fridge</v>
      </c>
      <c r="F17" s="299"/>
      <c r="G17" s="282">
        <v>0</v>
      </c>
      <c r="H17" s="293"/>
      <c r="I17" s="279"/>
      <c r="J17" s="279"/>
      <c r="K17" s="279" t="str">
        <v>Lossa</v>
      </c>
      <c r="L17" s="274">
        <v>0</v>
      </c>
      <c r="M17" s="291"/>
      <c r="N17" s="279"/>
      <c r="O17" s="283"/>
    </row>
    <row r="18">
      <c r="A18" s="266" t="str">
        <v>Nestle</v>
      </c>
      <c r="B18" s="266" t="str">
        <v>Geosquare</v>
      </c>
      <c r="C18" s="269"/>
      <c r="D18" s="272"/>
      <c r="E18" s="286" t="str">
        <v>Fridge</v>
      </c>
      <c r="F18" s="266"/>
      <c r="G18" s="270">
        <v>0</v>
      </c>
      <c r="H18" s="266"/>
      <c r="I18" s="266"/>
      <c r="J18" s="266"/>
      <c r="K18" s="266" t="str">
        <v>Lossa</v>
      </c>
      <c r="L18" s="274">
        <v>0</v>
      </c>
      <c r="M18" s="287"/>
      <c r="N18" s="266"/>
      <c r="O18" s="271"/>
    </row>
    <row r="19">
      <c r="A19" s="279" t="str">
        <v>PwC</v>
      </c>
      <c r="B19" s="279" t="str">
        <v>Impactto</v>
      </c>
      <c r="C19" s="281"/>
      <c r="D19" s="279"/>
      <c r="E19" s="279" t="str">
        <v>Demo/Call of Interest</v>
      </c>
      <c r="F19" s="284"/>
      <c r="G19" s="282">
        <v>0.25</v>
      </c>
      <c r="H19" s="293"/>
      <c r="I19" s="279"/>
      <c r="J19" s="298" t="str">
        <v>Andrew</v>
      </c>
      <c r="K19" s="279" t="str">
        <v>Lossa</v>
      </c>
      <c r="L19" s="274">
        <v>0.25</v>
      </c>
      <c r="M19" s="291"/>
      <c r="N19" s="279" t="str">
        <v>ketemu hari jumat</v>
      </c>
      <c r="O19" s="283"/>
    </row>
    <row r="20">
      <c r="A20" s="266" t="str">
        <v>Mr. DIY</v>
      </c>
      <c r="B20" s="266" t="str">
        <v>Sugi (Partner)</v>
      </c>
      <c r="C20" s="269"/>
      <c r="D20" s="272" t="str">
        <v>+62 813-8327-0771</v>
      </c>
      <c r="E20" s="266" t="str">
        <v>Feasibility Check</v>
      </c>
      <c r="F20" s="300"/>
      <c r="G20" s="270">
        <v>0.4</v>
      </c>
      <c r="H20" s="273"/>
      <c r="I20" s="266"/>
      <c r="J20" s="266" t="str">
        <v>Titan</v>
      </c>
      <c r="K20" s="266" t="str">
        <v>Lossa</v>
      </c>
      <c r="L20" s="274">
        <v>0.4</v>
      </c>
      <c r="M20" s="267">
        <v>46048</v>
      </c>
      <c r="N20" s="266" t="str">
        <v>Feasibility check confrim w PSE</v>
      </c>
      <c r="O20" s="271"/>
    </row>
    <row r="21">
      <c r="A21" s="279" t="str">
        <v>PT Gisara Tantra Berkarya</v>
      </c>
      <c r="B21" s="279" t="str">
        <v>Arief</v>
      </c>
      <c r="C21" s="281"/>
      <c r="D21" s="279" t="str">
        <v>+62 853-8848-6826‬</v>
      </c>
      <c r="E21" s="294" t="str">
        <v>Lost</v>
      </c>
      <c r="F21" s="279"/>
      <c r="G21" s="282">
        <v>0</v>
      </c>
      <c r="H21" s="293">
        <v>45989</v>
      </c>
      <c r="I21" s="279"/>
      <c r="J21" s="279"/>
      <c r="K21" s="279" t="str">
        <v>Amel</v>
      </c>
      <c r="L21" s="280">
        <v>0</v>
      </c>
      <c r="M21" s="291"/>
      <c r="N21" s="279" t="str">
        <v>handover to academy</v>
      </c>
      <c r="O21" s="296" t="s">
        <v>411</v>
      </c>
    </row>
    <row r="22">
      <c r="A22" s="266" t="str">
        <v>Astra Financial (Connectinx)</v>
      </c>
      <c r="B22" s="266" t="str">
        <v>Prescilla Siregar</v>
      </c>
      <c r="C22" s="269"/>
      <c r="D22" s="272">
        <f>+6281317893023</f>
      </c>
      <c r="E22" s="266" t="str">
        <v>Feasibility Check</v>
      </c>
      <c r="F22" s="268"/>
      <c r="G22" s="270">
        <v>0.4</v>
      </c>
      <c r="H22" s="273"/>
      <c r="I22" s="266"/>
      <c r="J22" s="266" t="str">
        <v>Rani</v>
      </c>
      <c r="K22" s="266" t="str">
        <v>Lossa</v>
      </c>
      <c r="L22" s="274">
        <v>0.4</v>
      </c>
      <c r="M22" s="267">
        <v>46030</v>
      </c>
      <c r="N22" s="266" t="str">
        <v>Menunggu ketersediaan untuk Meeting dengan Tim terkait estimasi end of Januari</v>
      </c>
      <c r="O22" s="319"/>
    </row>
    <row r="23">
      <c r="A23" s="279" t="str">
        <v>Bluebird</v>
      </c>
      <c r="B23" s="279" t="str">
        <v>Tengkyu Febry</v>
      </c>
      <c r="C23" s="281"/>
      <c r="D23" s="279" t="str">
        <v>‪+62 812‑9729‑2030‬</v>
      </c>
      <c r="E23" s="279" t="str">
        <v>Demo/Call of Interest</v>
      </c>
      <c r="F23" s="284"/>
      <c r="G23" s="282">
        <v>0.25</v>
      </c>
      <c r="H23" s="279"/>
      <c r="I23" s="279"/>
      <c r="J23" s="279" t="str">
        <v>Rani</v>
      </c>
      <c r="K23" s="279" t="str">
        <v>Lossa</v>
      </c>
      <c r="L23" s="280">
        <v>0.25</v>
      </c>
      <c r="M23" s="267">
        <v>46048</v>
      </c>
      <c r="N23" s="279" t="str">
        <v>Menunggu Proposal Concept dari PSE</v>
      </c>
      <c r="O23" s="283"/>
    </row>
    <row r="24">
      <c r="A24" s="266" t="str">
        <v>Hypernet</v>
      </c>
      <c r="B24" s="266" t="str">
        <v>Simon</v>
      </c>
      <c r="C24" s="290" t="s">
        <v>409</v>
      </c>
      <c r="D24" s="272"/>
      <c r="E24" s="266" t="str">
        <v>Proposal made</v>
      </c>
      <c r="F24" s="278"/>
      <c r="G24" s="270">
        <v>0.5</v>
      </c>
      <c r="H24" s="273">
        <v>45994</v>
      </c>
      <c r="I24" s="266"/>
      <c r="J24" s="266" t="str">
        <v>Titan</v>
      </c>
      <c r="K24" s="266" t="str">
        <v>Lossa</v>
      </c>
      <c r="L24" s="274">
        <v>0.5</v>
      </c>
      <c r="M24" s="267">
        <v>46057</v>
      </c>
      <c r="N24" s="266" t="str">
        <v>Project on hold</v>
      </c>
      <c r="O24" s="295" t="s">
        <v>410</v>
      </c>
    </row>
    <row r="25">
      <c r="A25" s="279" t="str">
        <v>Shopee Express (PT. Nusantara Express Kilat)</v>
      </c>
      <c r="B25" s="279" t="str">
        <v>Luana</v>
      </c>
      <c r="C25" s="289" t="s">
        <v>404</v>
      </c>
      <c r="D25" s="279">
        <f>+6282124877058</f>
      </c>
      <c r="E25" s="294" t="str">
        <v>Lost</v>
      </c>
      <c r="F25" s="279"/>
      <c r="G25" s="282">
        <v>0</v>
      </c>
      <c r="H25" s="293">
        <v>45995</v>
      </c>
      <c r="I25" s="279"/>
      <c r="J25" s="279" t="str">
        <v>Andrew</v>
      </c>
      <c r="K25" s="279" t="str">
        <v>Lossa</v>
      </c>
      <c r="L25" s="280">
        <v>0</v>
      </c>
      <c r="M25" s="267">
        <v>46003</v>
      </c>
      <c r="N25" s="279"/>
      <c r="O25" s="296" t="s">
        <v>405</v>
      </c>
    </row>
    <row r="26">
      <c r="A26" s="266" t="str">
        <v>My Republic</v>
      </c>
      <c r="B26" s="266" t="str">
        <v>Isnur (Partner)</v>
      </c>
      <c r="C26" s="269"/>
      <c r="D26" s="272" t="str">
        <v>+62 812-1024-797</v>
      </c>
      <c r="E26" s="266" t="str">
        <v>Contacted</v>
      </c>
      <c r="F26" s="268"/>
      <c r="G26" s="270">
        <v>0.1</v>
      </c>
      <c r="H26" s="273"/>
      <c r="I26" s="266"/>
      <c r="J26" s="266" t="str">
        <v>Titan</v>
      </c>
      <c r="K26" s="266" t="str">
        <v>Amel</v>
      </c>
      <c r="L26" s="274">
        <v>0.1</v>
      </c>
      <c r="M26" s="287">
        <v>46062</v>
      </c>
      <c r="N26" s="266" t="str">
        <v>Menunggu kabar dari pak isnur, FU Senin</v>
      </c>
      <c r="O26" s="271"/>
    </row>
    <row r="27">
      <c r="A27" s="279" t="str">
        <v>Pasifik Satelit Nusantara</v>
      </c>
      <c r="B27" s="266" t="str">
        <v>Sugi (Partner)</v>
      </c>
      <c r="C27" s="318" t="s">
        <v>402</v>
      </c>
      <c r="D27" s="279"/>
      <c r="E27" s="279" t="str">
        <v>Demo/Call of Interest</v>
      </c>
      <c r="F27" s="284"/>
      <c r="G27" s="282">
        <v>0.25</v>
      </c>
      <c r="H27" s="293">
        <v>45999</v>
      </c>
      <c r="I27" s="279"/>
      <c r="J27" s="279" t="str">
        <v>Titan</v>
      </c>
      <c r="K27" s="279" t="str">
        <v>Lossa</v>
      </c>
      <c r="L27" s="280">
        <v>0.25</v>
      </c>
      <c r="M27" s="267">
        <v>46057</v>
      </c>
      <c r="N27" s="279" t="str">
        <v>Management presentation</v>
      </c>
      <c r="O27" s="283"/>
    </row>
    <row r="28">
      <c r="A28" s="266" t="str">
        <v>Erajaya</v>
      </c>
      <c r="B28" s="266" t="str">
        <v>Johan</v>
      </c>
      <c r="C28" s="302" t="s">
        <v>395</v>
      </c>
      <c r="D28" s="272" t="str">
        <v>+62 878-7718-6576</v>
      </c>
      <c r="E28" s="294" t="str">
        <v>Lost</v>
      </c>
      <c r="F28" s="300"/>
      <c r="G28" s="270">
        <v>0</v>
      </c>
      <c r="H28" s="273">
        <v>45938</v>
      </c>
      <c r="I28" s="273">
        <v>46037</v>
      </c>
      <c r="J28" s="266" t="str">
        <v>Andrew</v>
      </c>
      <c r="K28" s="266" t="str">
        <v>Lossa</v>
      </c>
      <c r="L28" s="274">
        <v>0</v>
      </c>
      <c r="M28" s="267">
        <v>46024</v>
      </c>
      <c r="N28" s="266" t="str">
        <v>Dikabarin lagi 2026</v>
      </c>
      <c r="O28" s="295" t="s">
        <v>396</v>
      </c>
    </row>
    <row r="29">
      <c r="A29" s="279" t="str">
        <v>PLN</v>
      </c>
      <c r="B29" s="279" t="str">
        <v>Nurkholis Ari</v>
      </c>
      <c r="C29" s="289" t="s">
        <v>400</v>
      </c>
      <c r="D29" s="317">
        <f>+628553000044</f>
      </c>
      <c r="E29" s="279" t="str">
        <v>Proposal made</v>
      </c>
      <c r="F29" s="288"/>
      <c r="G29" s="282">
        <v>0.5</v>
      </c>
      <c r="H29" s="293">
        <v>45947</v>
      </c>
      <c r="I29" s="279"/>
      <c r="J29" s="279" t="str">
        <v>Titan</v>
      </c>
      <c r="K29" s="279" t="str">
        <v>Amel</v>
      </c>
      <c r="L29" s="280">
        <v>0.5</v>
      </c>
      <c r="M29" s="291">
        <v>46059</v>
      </c>
      <c r="N29" s="279" t="str">
        <v>Proposal sedang di review</v>
      </c>
      <c r="O29" s="292" t="s">
        <v>401</v>
      </c>
    </row>
    <row r="30">
      <c r="A30" s="279" t="str">
        <v>OCBC</v>
      </c>
      <c r="B30" s="279" t="str">
        <v>Sylvia</v>
      </c>
      <c r="C30" s="289" t="s">
        <v>399</v>
      </c>
      <c r="D30" s="317" t="str">
        <v>+62 811-1631-127</v>
      </c>
      <c r="E30" s="294" t="str">
        <v>Lost</v>
      </c>
      <c r="F30" s="279"/>
      <c r="G30" s="282">
        <v>0</v>
      </c>
      <c r="H30" s="293">
        <v>45945</v>
      </c>
      <c r="I30" s="279"/>
      <c r="J30" s="279" t="str">
        <v>Andrew</v>
      </c>
      <c r="K30" s="279" t="str">
        <v>Amel</v>
      </c>
      <c r="L30" s="280">
        <v>0</v>
      </c>
      <c r="M30" s="267">
        <v>46013</v>
      </c>
      <c r="N30" s="279" t="str">
        <v>Nunggu Pengumuman tanggal 16/12/2025</v>
      </c>
      <c r="O30" s="292" t="s">
        <v>407</v>
      </c>
    </row>
    <row r="31">
      <c r="A31" s="279" t="str">
        <v>Shell</v>
      </c>
      <c r="B31" s="279" t="str">
        <v>Baginda Siregar</v>
      </c>
      <c r="C31" s="281"/>
      <c r="D31" s="279">
        <f>+6281110605180</f>
      </c>
      <c r="E31" s="286" t="str">
        <v>Fridge</v>
      </c>
      <c r="F31" s="288"/>
      <c r="G31" s="282">
        <v>0</v>
      </c>
      <c r="H31" s="279"/>
      <c r="I31" s="279"/>
      <c r="J31" s="279"/>
      <c r="K31" s="279"/>
      <c r="L31" s="280">
        <v>0</v>
      </c>
      <c r="M31" s="267">
        <v>46028</v>
      </c>
      <c r="N31" s="266" t="str">
        <v>Belum ada kebutuhan untuk saat ini, follow up reguler Quarterly</v>
      </c>
      <c r="O31" s="283"/>
    </row>
    <row r="32">
      <c r="A32" s="266" t="str">
        <v>Astra Infra</v>
      </c>
      <c r="B32" s="266" t="str">
        <v>Elisabeth Tambunan</v>
      </c>
      <c r="C32" s="269"/>
      <c r="D32" s="272">
        <f>+6281233269737</f>
      </c>
      <c r="E32" s="266" t="str">
        <v>Demo/Call of Interest</v>
      </c>
      <c r="F32" s="297"/>
      <c r="G32" s="270">
        <v>0.25</v>
      </c>
      <c r="H32" s="273"/>
      <c r="I32" s="266"/>
      <c r="J32" s="266" t="str">
        <v>Rani</v>
      </c>
      <c r="K32" s="266" t="str">
        <v>Lossa</v>
      </c>
      <c r="L32" s="274">
        <v>0.25</v>
      </c>
      <c r="M32" s="267">
        <v>46058</v>
      </c>
      <c r="N32" s="266" t="str">
        <v>FU 02/01</v>
      </c>
      <c r="O32" s="271"/>
    </row>
    <row r="33">
      <c r="A33" s="279" t="str">
        <v>Nippon Koei</v>
      </c>
      <c r="B33" s="279" t="str">
        <v>Kawano</v>
      </c>
      <c r="C33" s="316" t="s">
        <v>397</v>
      </c>
      <c r="D33" s="279"/>
      <c r="E33" s="279" t="str">
        <v>Proposal made</v>
      </c>
      <c r="F33" s="288">
        <v>1514000000</v>
      </c>
      <c r="G33" s="282">
        <v>0.5</v>
      </c>
      <c r="H33" s="293"/>
      <c r="I33" s="279"/>
      <c r="J33" s="279" t="str">
        <v>Rani</v>
      </c>
      <c r="K33" s="279" t="str">
        <v>Amel</v>
      </c>
      <c r="L33" s="280">
        <v>0.5</v>
      </c>
      <c r="M33" s="267">
        <v>46048</v>
      </c>
      <c r="N33" s="279" t="str">
        <v>Proposal on Review</v>
      </c>
      <c r="O33" s="283"/>
    </row>
    <row r="34">
      <c r="A34" s="266" t="str">
        <v>Toyota Astra Motor (Sustainability)</v>
      </c>
      <c r="B34" s="266" t="str">
        <v>Galuh Lukito</v>
      </c>
      <c r="C34" s="290" t="s">
        <v>406</v>
      </c>
      <c r="D34" s="272">
        <f>+62813-9932-8519</f>
      </c>
      <c r="E34" s="286" t="str">
        <v>Fridge</v>
      </c>
      <c r="F34" s="268"/>
      <c r="G34" s="270">
        <v>0</v>
      </c>
      <c r="H34" s="266"/>
      <c r="I34" s="266"/>
      <c r="J34" s="266" t="str">
        <v>Rani</v>
      </c>
      <c r="K34" s="266" t="str">
        <v>Amel</v>
      </c>
      <c r="L34" s="274">
        <v>0</v>
      </c>
      <c r="M34" s="267">
        <v>46028</v>
      </c>
      <c r="N34" s="266" t="str">
        <v>Meeting Scheduled on February</v>
      </c>
      <c r="O34" s="271"/>
    </row>
    <row r="35">
      <c r="A35" s="279" t="str">
        <v>PT Bangsawan Cyberindo</v>
      </c>
      <c r="B35" s="279" t="str">
        <v>Jismil Lathif (Partner)</v>
      </c>
      <c r="C35" s="289" t="s">
        <v>403</v>
      </c>
      <c r="D35" s="279"/>
      <c r="E35" s="279" t="str">
        <v>Demo/Call of Interest</v>
      </c>
      <c r="F35" s="284"/>
      <c r="G35" s="282">
        <v>0.25</v>
      </c>
      <c r="H35" s="293">
        <v>46001</v>
      </c>
      <c r="I35" s="279"/>
      <c r="J35" s="279" t="str">
        <v>Titan</v>
      </c>
      <c r="K35" s="279" t="str">
        <v>Lossa</v>
      </c>
      <c r="L35" s="280">
        <v>0.25</v>
      </c>
      <c r="M35" s="267">
        <v>46058</v>
      </c>
      <c r="N35" s="279" t="str">
        <v>Reschedule meeting</v>
      </c>
      <c r="O35" s="283"/>
    </row>
    <row r="36">
      <c r="A36" s="266" t="str">
        <v>PT KAI</v>
      </c>
      <c r="B36" s="266" t="str">
        <v>Angga</v>
      </c>
      <c r="C36" s="269"/>
      <c r="D36" s="272"/>
      <c r="E36" s="266" t="str">
        <v>Negotiation</v>
      </c>
      <c r="F36" s="297">
        <v>199000000</v>
      </c>
      <c r="G36" s="270">
        <v>0.75</v>
      </c>
      <c r="H36" s="273"/>
      <c r="I36" s="266"/>
      <c r="J36" s="266"/>
      <c r="K36" s="266" t="str">
        <v>Amel</v>
      </c>
      <c r="L36" s="274">
        <v>0.75</v>
      </c>
      <c r="M36" s="267">
        <v>46030</v>
      </c>
      <c r="N36" s="266"/>
      <c r="O36" s="271"/>
    </row>
    <row r="37">
      <c r="A37" s="279" t="str">
        <v>BTID</v>
      </c>
      <c r="B37" s="279" t="str">
        <v>Eggy (Partner)</v>
      </c>
      <c r="C37" s="281"/>
      <c r="D37" s="279"/>
      <c r="E37" s="279" t="str">
        <v>Negotiation</v>
      </c>
      <c r="F37" s="288">
        <v>1798866000</v>
      </c>
      <c r="G37" s="282">
        <v>0.75</v>
      </c>
      <c r="H37" s="279"/>
      <c r="I37" s="279"/>
      <c r="J37" s="279"/>
      <c r="K37" s="279" t="str">
        <v>Lossa</v>
      </c>
      <c r="L37" s="280">
        <v>0.75</v>
      </c>
      <c r="M37" s="267">
        <v>46006</v>
      </c>
      <c r="N37" s="279"/>
      <c r="O37" s="283"/>
    </row>
    <row r="38">
      <c r="A38" s="266" t="str">
        <v>Nabati</v>
      </c>
      <c r="B38" s="266" t="str">
        <v>Hoky</v>
      </c>
      <c r="C38" s="269"/>
      <c r="D38" s="272" t="str">
        <v>‪+62 896‑7457‑5720‬</v>
      </c>
      <c r="E38" s="266" t="str">
        <v>POC</v>
      </c>
      <c r="F38" s="268"/>
      <c r="G38" s="270">
        <v>0.6</v>
      </c>
      <c r="H38" s="266"/>
      <c r="I38" s="266"/>
      <c r="J38" s="266" t="str">
        <v>Rani</v>
      </c>
      <c r="K38" s="266" t="str">
        <v>Lossa</v>
      </c>
      <c r="L38" s="274">
        <v>0.6</v>
      </c>
      <c r="M38" s="267">
        <v>46045</v>
      </c>
      <c r="N38" s="266"/>
      <c r="O38" s="271"/>
    </row>
    <row r="39">
      <c r="A39" s="279" t="str">
        <v>SERA</v>
      </c>
      <c r="B39" s="279" t="str">
        <v>Agus</v>
      </c>
      <c r="C39" s="281"/>
      <c r="D39" s="279" t="str">
        <v>+62 811-972-253</v>
      </c>
      <c r="E39" s="286" t="str">
        <v>Fridge</v>
      </c>
      <c r="F39" s="284"/>
      <c r="G39" s="282">
        <v>0</v>
      </c>
      <c r="H39" s="279"/>
      <c r="I39" s="279"/>
      <c r="J39" s="279" t="str">
        <v>Rani</v>
      </c>
      <c r="K39" s="279" t="str">
        <v>Lossa</v>
      </c>
      <c r="L39" s="280">
        <v>0</v>
      </c>
      <c r="M39" s="267">
        <v>46045</v>
      </c>
      <c r="N39" s="279" t="str">
        <v>Menunggu konfirmasi jadwal meeting kedua</v>
      </c>
      <c r="O39" s="283"/>
    </row>
    <row r="40">
      <c r="A40" s="266" t="str">
        <v>PT Argo Pantes</v>
      </c>
      <c r="B40" s="266" t="str">
        <v>David Beta</v>
      </c>
      <c r="C40" s="269"/>
      <c r="D40" s="272" t="str">
        <v>+62 813-7351-6182</v>
      </c>
      <c r="E40" s="266" t="str">
        <v>Proposal made</v>
      </c>
      <c r="F40" s="268"/>
      <c r="G40" s="270">
        <v>0.5</v>
      </c>
      <c r="H40" s="273">
        <v>46009</v>
      </c>
      <c r="I40" s="266"/>
      <c r="J40" s="266" t="str">
        <v>Rani</v>
      </c>
      <c r="K40" s="266" t="str">
        <v>Amel</v>
      </c>
      <c r="L40" s="274">
        <v>0.5</v>
      </c>
      <c r="M40" s="267">
        <v>46048</v>
      </c>
      <c r="N40" s="266"/>
      <c r="O40" s="271"/>
    </row>
    <row r="41">
      <c r="A41" s="279" t="str">
        <v>Bank Mandiri - Mandiri Capital</v>
      </c>
      <c r="B41" s="279"/>
      <c r="C41" s="281"/>
      <c r="D41" s="279"/>
      <c r="E41" s="279" t="str">
        <v>Demo/Call of Interest</v>
      </c>
      <c r="F41" s="284"/>
      <c r="G41" s="282">
        <v>0.25</v>
      </c>
      <c r="H41" s="293">
        <v>46010</v>
      </c>
      <c r="I41" s="279"/>
      <c r="J41" s="279" t="str">
        <v>Titan</v>
      </c>
      <c r="K41" s="279" t="str">
        <v>Amel</v>
      </c>
      <c r="L41" s="280">
        <v>0.25</v>
      </c>
      <c r="M41" s="291">
        <v>46066</v>
      </c>
      <c r="N41" s="279" t="str">
        <v>Meeting with CRE, FU Senin</v>
      </c>
      <c r="O41" s="296" t="s">
        <v>392</v>
      </c>
    </row>
    <row r="42">
      <c r="A42" s="266" t="str">
        <v>Tigenco</v>
      </c>
      <c r="B42" s="266" t="str">
        <v>Andrianto (Partner)</v>
      </c>
      <c r="C42" s="269"/>
      <c r="D42" s="272"/>
      <c r="E42" s="266" t="str">
        <v>Demo/Call of Interest</v>
      </c>
      <c r="F42" s="268"/>
      <c r="G42" s="270">
        <v>0.25</v>
      </c>
      <c r="H42" s="273"/>
      <c r="I42" s="266"/>
      <c r="J42" s="266" t="str">
        <v>Rani</v>
      </c>
      <c r="K42" s="266" t="str">
        <v>Lossa</v>
      </c>
      <c r="L42" s="274">
        <v>0.25</v>
      </c>
      <c r="M42" s="267">
        <v>46036</v>
      </c>
      <c r="N42" s="266" t="str">
        <v>Meeting scheduled on 14/02/2025</v>
      </c>
      <c r="O42" s="271"/>
    </row>
    <row r="43">
      <c r="A43" s="279" t="str">
        <v>DCKTRP Jakarta</v>
      </c>
      <c r="B43" s="279"/>
      <c r="C43" s="281"/>
      <c r="D43" s="279"/>
      <c r="E43" s="279" t="str">
        <v>Demo/Call of Interest</v>
      </c>
      <c r="F43" s="284"/>
      <c r="G43" s="282">
        <v>0.25</v>
      </c>
      <c r="H43" s="293"/>
      <c r="I43" s="279"/>
      <c r="J43" s="279" t="str">
        <v>Rani</v>
      </c>
      <c r="K43" s="279" t="str">
        <v>Amel</v>
      </c>
      <c r="L43" s="280">
        <v>0.25</v>
      </c>
      <c r="M43" s="267">
        <v>46049</v>
      </c>
      <c r="N43" s="279" t="str">
        <v>Akan dishare data 3D untuk dicoba</v>
      </c>
      <c r="O43" s="283"/>
    </row>
    <row r="44">
      <c r="A44" s="266" t="str" xml:space="preserve">
        <v>ITDC </v>
      </c>
      <c r="B44" s="266"/>
      <c r="C44" s="269"/>
      <c r="D44" s="272"/>
      <c r="E44" s="266" t="str">
        <v>Contacted</v>
      </c>
      <c r="F44" s="268"/>
      <c r="G44" s="270">
        <v>0.1</v>
      </c>
      <c r="H44" s="266"/>
      <c r="I44" s="266"/>
      <c r="J44" s="266" t="str">
        <v>Titan</v>
      </c>
      <c r="K44" s="266" t="str">
        <v>Lossa</v>
      </c>
      <c r="L44" s="274">
        <v>0.1</v>
      </c>
      <c r="M44" s="287">
        <v>46062</v>
      </c>
      <c r="N44" s="266" t="str">
        <v>Akan dikabari next week</v>
      </c>
      <c r="O44" s="271"/>
    </row>
    <row r="45">
      <c r="A45" s="279" t="str">
        <v>Datascrip</v>
      </c>
      <c r="B45" s="279" t="str">
        <v>Raka (Partner)</v>
      </c>
      <c r="C45" s="281"/>
      <c r="D45" s="279"/>
      <c r="E45" s="279" t="str">
        <v>Demo/Call of Interest</v>
      </c>
      <c r="F45" s="284"/>
      <c r="G45" s="282">
        <v>0.25</v>
      </c>
      <c r="H45" s="279"/>
      <c r="I45" s="279"/>
      <c r="J45" s="279" t="str">
        <v>Rani</v>
      </c>
      <c r="K45" s="279" t="str">
        <v>Amel</v>
      </c>
      <c r="L45" s="280">
        <v>0.25</v>
      </c>
      <c r="M45" s="291"/>
      <c r="N45" s="279"/>
      <c r="O45" s="283"/>
    </row>
    <row r="46">
      <c r="A46" s="266" t="str">
        <v>Telkomsat</v>
      </c>
      <c r="B46" s="266" t="str">
        <v>Nugroho (Partner)</v>
      </c>
      <c r="C46" s="269"/>
      <c r="D46" s="272"/>
      <c r="E46" s="266" t="str">
        <v>Demo/Call of Interest</v>
      </c>
      <c r="F46" s="268"/>
      <c r="G46" s="270">
        <v>0.25</v>
      </c>
      <c r="H46" s="266"/>
      <c r="I46" s="266"/>
      <c r="J46" s="266" t="str">
        <v>Titan</v>
      </c>
      <c r="K46" s="266" t="str">
        <v>Lossa</v>
      </c>
      <c r="L46" s="274">
        <v>0.25</v>
      </c>
      <c r="M46" s="267">
        <v>46041</v>
      </c>
      <c r="N46" s="266"/>
      <c r="O46" s="271"/>
    </row>
    <row r="47">
      <c r="A47" s="279" t="str">
        <v>MRT Jakarta</v>
      </c>
      <c r="B47" s="279" t="str">
        <v>Zaky Irfan</v>
      </c>
      <c r="C47" s="281"/>
      <c r="D47" s="279"/>
      <c r="E47" s="279" t="str">
        <v>Demo/Call of Interest</v>
      </c>
      <c r="F47" s="284"/>
      <c r="G47" s="282">
        <v>0.25</v>
      </c>
      <c r="H47" s="279"/>
      <c r="I47" s="279"/>
      <c r="J47" s="279" t="str">
        <v>Rani</v>
      </c>
      <c r="K47" s="279" t="str">
        <v>Amel</v>
      </c>
      <c r="L47" s="280">
        <v>0.25</v>
      </c>
      <c r="M47" s="267">
        <v>46049</v>
      </c>
      <c r="N47" s="279" t="str">
        <v>FU Next Meeting</v>
      </c>
      <c r="O47" s="283"/>
    </row>
    <row r="48">
      <c r="A48" s="266" t="str">
        <v>SMART TBK</v>
      </c>
      <c r="B48" s="266" t="str">
        <v>Tito Sidi</v>
      </c>
      <c r="C48" s="269"/>
      <c r="D48" s="272"/>
      <c r="E48" s="266" t="str">
        <v>Contacted</v>
      </c>
      <c r="F48" s="268"/>
      <c r="G48" s="270">
        <v>0.1</v>
      </c>
      <c r="H48" s="266"/>
      <c r="I48" s="266"/>
      <c r="J48" s="266" t="str">
        <v>Rani</v>
      </c>
      <c r="K48" s="266" t="str">
        <v>Lossa</v>
      </c>
      <c r="L48" s="274">
        <v>0.1</v>
      </c>
      <c r="M48" s="267">
        <v>46031</v>
      </c>
      <c r="N48" s="266" t="str">
        <v>Menunggu update tanggal demo</v>
      </c>
      <c r="O48" s="271"/>
    </row>
    <row r="49">
      <c r="A49" s="279" t="str">
        <v>Pupuk Indonesia</v>
      </c>
      <c r="B49" s="279" t="str">
        <v>Dommy</v>
      </c>
      <c r="C49" s="281"/>
      <c r="D49" s="279"/>
      <c r="E49" s="279" t="str">
        <v>POC</v>
      </c>
      <c r="F49" s="284"/>
      <c r="G49" s="282">
        <v>0.6</v>
      </c>
      <c r="H49" s="279"/>
      <c r="I49" s="279"/>
      <c r="J49" s="279" t="str">
        <v>Rani</v>
      </c>
      <c r="K49" s="279" t="str">
        <v>Lossa</v>
      </c>
      <c r="L49" s="280">
        <v>0.6</v>
      </c>
      <c r="M49" s="267">
        <v>46049</v>
      </c>
      <c r="N49" s="279" t="str">
        <v>Kick off 16 Februari 2026</v>
      </c>
      <c r="O49" s="283"/>
    </row>
    <row r="50">
      <c r="A50" s="266" t="str">
        <v>Toyota Astra Motor (Mobility)</v>
      </c>
      <c r="B50" s="266" t="str">
        <v>Admal</v>
      </c>
      <c r="C50" s="269"/>
      <c r="D50" s="272"/>
      <c r="E50" s="266" t="str">
        <v>Demo/Call of Interest</v>
      </c>
      <c r="F50" s="268"/>
      <c r="G50" s="270">
        <v>0.25</v>
      </c>
      <c r="H50" s="266"/>
      <c r="I50" s="266"/>
      <c r="J50" s="266" t="str">
        <v>Rani</v>
      </c>
      <c r="K50" s="266" t="str">
        <v>Amel</v>
      </c>
      <c r="L50" s="274">
        <v>0.25</v>
      </c>
      <c r="M50" s="267">
        <v>46031</v>
      </c>
      <c r="N50" s="266" t="str">
        <v>Menunggu hasil konsep deck untuk 2nd presentation</v>
      </c>
      <c r="O50" s="271"/>
    </row>
    <row r="51">
      <c r="A51" s="279" t="str">
        <v>Sadara Teknologi</v>
      </c>
      <c r="B51" s="279" t="str">
        <v>Viky (Partner)</v>
      </c>
      <c r="C51" s="281"/>
      <c r="D51" s="279"/>
      <c r="E51" s="279" t="str">
        <v>Contacted</v>
      </c>
      <c r="F51" s="284"/>
      <c r="G51" s="282">
        <v>0.1</v>
      </c>
      <c r="H51" s="279"/>
      <c r="I51" s="279"/>
      <c r="J51" s="279" t="str">
        <v>Rani</v>
      </c>
      <c r="K51" s="279" t="str">
        <v>Lossa</v>
      </c>
      <c r="L51" s="280">
        <v>0.1</v>
      </c>
      <c r="M51" s="285"/>
      <c r="N51" s="279"/>
      <c r="O51" s="283"/>
    </row>
    <row r="52">
      <c r="A52" s="266" t="str">
        <v>Savills Indonesia</v>
      </c>
      <c r="B52" s="266" t="str">
        <v>Ambo Wela</v>
      </c>
      <c r="C52" s="269"/>
      <c r="D52" s="272"/>
      <c r="E52" s="266" t="str">
        <v>Proposal made</v>
      </c>
      <c r="F52" s="268"/>
      <c r="G52" s="270">
        <v>0.5</v>
      </c>
      <c r="H52" s="266"/>
      <c r="I52" s="266"/>
      <c r="J52" s="266" t="str">
        <v>Rani</v>
      </c>
      <c r="K52" s="266" t="str">
        <v>Amel</v>
      </c>
      <c r="L52" s="274">
        <v>0.5</v>
      </c>
      <c r="M52" s="266"/>
      <c r="N52" s="266" t="str">
        <v>Proposal on Review</v>
      </c>
      <c r="O52" s="295" t="s">
        <v>386</v>
      </c>
    </row>
    <row r="53">
      <c r="A53" s="279" t="str">
        <v>Cimory</v>
      </c>
      <c r="B53" s="279" t="str">
        <v>Ghifari</v>
      </c>
      <c r="C53" s="281"/>
      <c r="D53" s="279"/>
      <c r="E53" s="294" t="str">
        <v>Lost</v>
      </c>
      <c r="F53" s="284"/>
      <c r="G53" s="282">
        <v>0</v>
      </c>
      <c r="H53" s="279"/>
      <c r="I53" s="279"/>
      <c r="J53" s="279" t="str">
        <v>Rani</v>
      </c>
      <c r="K53" s="279" t="str">
        <v>Lossa</v>
      </c>
      <c r="L53" s="280">
        <v>0</v>
      </c>
      <c r="M53" s="267">
        <v>46048</v>
      </c>
      <c r="N53" s="279" t="str">
        <v>Proposal on Review</v>
      </c>
      <c r="O53" s="296" t="s">
        <v>390</v>
      </c>
    </row>
    <row r="54">
      <c r="A54" s="279" t="str">
        <v>CBN</v>
      </c>
      <c r="B54" s="279" t="str">
        <v>Francisca</v>
      </c>
      <c r="C54" s="281"/>
      <c r="D54" s="279"/>
      <c r="E54" s="279" t="str">
        <v>Demo/Call of Interest</v>
      </c>
      <c r="F54" s="284"/>
      <c r="G54" s="282">
        <v>0.25</v>
      </c>
      <c r="H54" s="279"/>
      <c r="I54" s="279"/>
      <c r="J54" s="279" t="str">
        <v>Rani</v>
      </c>
      <c r="K54" s="279" t="str">
        <v>Lossa</v>
      </c>
      <c r="L54" s="280">
        <v>0.25</v>
      </c>
      <c r="M54" s="285"/>
      <c r="N54" s="279" t="str">
        <v>Demo Scheduled on 27/01</v>
      </c>
      <c r="O54" s="283"/>
    </row>
    <row r="55">
      <c r="A55" s="266" t="str">
        <v>Hutama Karya Indonesia</v>
      </c>
      <c r="B55" s="266" t="str">
        <v>Nova</v>
      </c>
      <c r="C55" s="269"/>
      <c r="D55" s="266" t="str">
        <v>+62 822-4295-1332</v>
      </c>
      <c r="E55" s="266" t="str">
        <v>Negotiation</v>
      </c>
      <c r="F55" s="297">
        <v>770000000</v>
      </c>
      <c r="G55" s="270">
        <v>0.75</v>
      </c>
      <c r="H55" s="293">
        <v>45952</v>
      </c>
      <c r="I55" s="266"/>
      <c r="J55" s="266" t="str">
        <v>Titan</v>
      </c>
      <c r="K55" s="266" t="str">
        <v>Amel</v>
      </c>
      <c r="L55" s="280">
        <v>0.75</v>
      </c>
      <c r="M55" s="291">
        <v>46065</v>
      </c>
      <c r="N55" s="269" t="str">
        <v>Deck Perbandingan</v>
      </c>
      <c r="O55" s="290" t="s">
        <v>389</v>
      </c>
    </row>
    <row r="56">
      <c r="A56" s="279" t="str">
        <v>English1</v>
      </c>
      <c r="B56" s="279" t="str">
        <v>Matthew</v>
      </c>
      <c r="C56" s="281" t="s">
        <v>387</v>
      </c>
      <c r="D56" s="279" t="str">
        <v>+62 852 1210 3883 (Matthew, CEO)</v>
      </c>
      <c r="E56" s="294" t="str">
        <v>Lost</v>
      </c>
      <c r="F56" s="284"/>
      <c r="G56" s="282">
        <v>0</v>
      </c>
      <c r="H56" s="293">
        <v>46024</v>
      </c>
      <c r="I56" s="279"/>
      <c r="J56" s="279" t="str">
        <v>Titan</v>
      </c>
      <c r="K56" s="279" t="str">
        <v>Amel</v>
      </c>
      <c r="L56" s="280">
        <v>0</v>
      </c>
      <c r="M56" s="267">
        <v>46057</v>
      </c>
      <c r="N56" s="279" t="str">
        <v>English1 use GapMaps</v>
      </c>
      <c r="O56" s="296" t="s">
        <v>388</v>
      </c>
    </row>
    <row r="57">
      <c r="A57" s="266" t="str">
        <v>Suryacipta</v>
      </c>
      <c r="B57" s="266"/>
      <c r="C57" s="269"/>
      <c r="D57" s="272"/>
      <c r="E57" s="294" t="str">
        <v>Lost</v>
      </c>
      <c r="F57" s="266"/>
      <c r="G57" s="270">
        <v>0</v>
      </c>
      <c r="H57" s="266"/>
      <c r="I57" s="266"/>
      <c r="J57" s="266"/>
      <c r="K57" s="266" t="str">
        <v>Amel</v>
      </c>
      <c r="L57" s="274">
        <v>0</v>
      </c>
      <c r="M57" s="287"/>
      <c r="N57" s="266"/>
      <c r="O57" s="271"/>
    </row>
    <row r="58">
      <c r="A58" s="279" t="str">
        <v>Metranet</v>
      </c>
      <c r="B58" s="279" t="str">
        <v>Radhi</v>
      </c>
      <c r="C58" s="289" t="s">
        <v>384</v>
      </c>
      <c r="D58" s="279" t="str">
        <v>+62 813-9899-6565</v>
      </c>
      <c r="E58" s="279" t="str">
        <v>Contacted</v>
      </c>
      <c r="F58" s="279"/>
      <c r="G58" s="282">
        <v>0.1</v>
      </c>
      <c r="H58" s="293">
        <v>45965</v>
      </c>
      <c r="I58" s="279"/>
      <c r="J58" s="279" t="str">
        <v>Titan</v>
      </c>
      <c r="K58" s="279" t="str">
        <v>Amel</v>
      </c>
      <c r="L58" s="280">
        <v>0.1</v>
      </c>
      <c r="M58" s="291">
        <v>46062</v>
      </c>
      <c r="N58" s="279" t="str">
        <v>Tunggu kabar dari mas radhi (Mas radhi discuss w customer), FU Senin</v>
      </c>
      <c r="O58" s="292" t="s">
        <v>383</v>
      </c>
    </row>
    <row r="59">
      <c r="A59" s="266" t="str">
        <v>Biznet</v>
      </c>
      <c r="B59" s="266" t="str">
        <v>Antonius</v>
      </c>
      <c r="C59" s="290" t="s">
        <v>382</v>
      </c>
      <c r="D59" s="272"/>
      <c r="E59" s="266" t="str">
        <v>Lead</v>
      </c>
      <c r="F59" s="268"/>
      <c r="G59" s="270">
        <v>0.05</v>
      </c>
      <c r="H59" s="266"/>
      <c r="I59" s="266"/>
      <c r="J59" s="266" t="str">
        <v>Titan</v>
      </c>
      <c r="K59" s="266" t="str">
        <v>Lossa</v>
      </c>
      <c r="L59" s="274">
        <v>0.05</v>
      </c>
      <c r="M59" s="266"/>
      <c r="N59" s="266"/>
      <c r="O59" s="271"/>
    </row>
    <row r="60">
      <c r="A60" s="279" t="str">
        <v>NEC</v>
      </c>
      <c r="B60" s="279" t="str">
        <v>Dolat</v>
      </c>
      <c r="C60" s="289" t="s">
        <v>381</v>
      </c>
      <c r="D60" s="279"/>
      <c r="E60" s="279" t="str">
        <v>Lead</v>
      </c>
      <c r="F60" s="284"/>
      <c r="G60" s="282">
        <v>0.05</v>
      </c>
      <c r="H60" s="279"/>
      <c r="I60" s="279"/>
      <c r="J60" s="279" t="str">
        <v>Titan</v>
      </c>
      <c r="K60" s="279" t="str">
        <v>Amel</v>
      </c>
      <c r="L60" s="280">
        <v>0.05</v>
      </c>
      <c r="M60" s="267">
        <v>46058</v>
      </c>
      <c r="N60" s="279"/>
      <c r="O60" s="283"/>
    </row>
    <row r="61">
      <c r="A61" s="266" t="str">
        <v>Surge</v>
      </c>
      <c r="B61" s="266" t="str">
        <v>Isnur (Partner)</v>
      </c>
      <c r="C61" s="269"/>
      <c r="D61" s="272" t="str">
        <v>+62 812-1024-797</v>
      </c>
      <c r="E61" s="266" t="str">
        <v>Contacted</v>
      </c>
      <c r="F61" s="268"/>
      <c r="G61" s="270">
        <v>0.1</v>
      </c>
      <c r="H61" s="266"/>
      <c r="I61" s="266"/>
      <c r="J61" s="266" t="str">
        <v>Titan</v>
      </c>
      <c r="K61" s="266" t="str">
        <v>Lossa</v>
      </c>
      <c r="L61" s="274">
        <v>0.1</v>
      </c>
      <c r="M61" s="287">
        <v>46062</v>
      </c>
      <c r="N61" s="266" t="str">
        <v>Menunggu kabar dari pak isnur, FU Senin</v>
      </c>
      <c r="O61" s="271"/>
    </row>
    <row r="62">
      <c r="A62" s="279" t="str">
        <v>Bank Permata</v>
      </c>
      <c r="B62" s="279" t="str">
        <v>Impactto</v>
      </c>
      <c r="C62" s="281"/>
      <c r="D62" s="279"/>
      <c r="E62" s="279" t="str">
        <v>Demo/Call of Interest</v>
      </c>
      <c r="F62" s="284"/>
      <c r="G62" s="282">
        <v>0.25</v>
      </c>
      <c r="H62" s="279"/>
      <c r="I62" s="279"/>
      <c r="J62" s="279" t="str">
        <v>Titan</v>
      </c>
      <c r="K62" s="279" t="str">
        <v>Amel</v>
      </c>
      <c r="L62" s="280">
        <v>0.25</v>
      </c>
      <c r="M62" s="267">
        <v>46049</v>
      </c>
      <c r="N62" s="279" t="str">
        <v>Meeting lanjutan w divisi lainnya, FU Senin</v>
      </c>
      <c r="O62" s="283"/>
    </row>
    <row r="63">
      <c r="A63" s="266" t="str">
        <v>Cyberjaya</v>
      </c>
      <c r="B63" s="266"/>
      <c r="C63" s="269"/>
      <c r="D63" s="272"/>
      <c r="E63" s="286" t="str">
        <v>Fridge</v>
      </c>
      <c r="F63" s="266"/>
      <c r="G63" s="270">
        <v>0</v>
      </c>
      <c r="H63" s="266"/>
      <c r="I63" s="266"/>
      <c r="J63" s="266" t="str">
        <v>Rani</v>
      </c>
      <c r="K63" s="266" t="str">
        <v>Amel</v>
      </c>
      <c r="L63" s="274">
        <v>0</v>
      </c>
      <c r="M63" s="287"/>
      <c r="N63" s="266"/>
      <c r="O63" s="295" t="s">
        <v>385</v>
      </c>
    </row>
    <row r="64">
      <c r="A64" s="279" t="str">
        <v>BTN</v>
      </c>
      <c r="B64" s="279" t="str">
        <v>Impactto</v>
      </c>
      <c r="C64" s="281"/>
      <c r="D64" s="279"/>
      <c r="E64" s="279" t="str">
        <v>Proposal made</v>
      </c>
      <c r="F64" s="284"/>
      <c r="G64" s="282">
        <v>0.5</v>
      </c>
      <c r="H64" s="279"/>
      <c r="I64" s="279"/>
      <c r="J64" s="279" t="str">
        <v>Titan</v>
      </c>
      <c r="K64" s="279" t="str">
        <v>Amel</v>
      </c>
      <c r="L64" s="280">
        <v>0.5</v>
      </c>
      <c r="M64" s="267">
        <v>46057</v>
      </c>
      <c r="N64" s="279" t="str">
        <v>Meeting lanjutan dengan divisi appraisal, Kirim by email deck, proposal n MoM terkait branch</v>
      </c>
      <c r="O64" s="283"/>
    </row>
    <row r="65">
      <c r="A65" s="279" t="str">
        <v>Kino</v>
      </c>
      <c r="B65" s="279" t="str">
        <v>Andreas (Partner)</v>
      </c>
      <c r="C65" s="281"/>
      <c r="D65" s="279" t="str">
        <v>+62 812-9989-8008</v>
      </c>
      <c r="E65" s="279" t="str">
        <v>Proposal made</v>
      </c>
      <c r="F65" s="284"/>
      <c r="G65" s="282">
        <v>0.5</v>
      </c>
      <c r="H65" s="279"/>
      <c r="I65" s="279"/>
      <c r="J65" s="298" t="str">
        <v>Andrew</v>
      </c>
      <c r="K65" s="279" t="str">
        <v>Amel</v>
      </c>
      <c r="L65" s="280">
        <v>0.5</v>
      </c>
      <c r="M65" s="267">
        <v>46013</v>
      </c>
      <c r="N65" s="279"/>
      <c r="O65" s="296" t="s">
        <v>391</v>
      </c>
    </row>
    <row r="66">
      <c r="A66" s="266" t="str">
        <v>Takeda</v>
      </c>
      <c r="B66" s="266" t="str">
        <v>Dewi Madyani</v>
      </c>
      <c r="C66" s="290" t="s">
        <v>394</v>
      </c>
      <c r="D66" s="272" t="str">
        <v>+62 817-0888-842</v>
      </c>
      <c r="E66" s="294" t="str">
        <v>Lost</v>
      </c>
      <c r="F66" s="266"/>
      <c r="G66" s="270">
        <v>0</v>
      </c>
      <c r="H66" s="273">
        <v>45979</v>
      </c>
      <c r="I66" s="266"/>
      <c r="J66" s="266"/>
      <c r="K66" s="266" t="str">
        <v>Amel</v>
      </c>
      <c r="L66" s="274">
        <v>0</v>
      </c>
      <c r="M66" s="267">
        <v>45985</v>
      </c>
      <c r="N66" s="269"/>
      <c r="O66" s="271"/>
    </row>
    <row r="67">
      <c r="A67" s="266" t="str">
        <v>Sarana Jaya</v>
      </c>
      <c r="B67" s="279" t="str">
        <v>Andreas (Partner)</v>
      </c>
      <c r="C67" s="269"/>
      <c r="D67" s="272"/>
      <c r="E67" s="266" t="str">
        <v>Contacted</v>
      </c>
      <c r="F67" s="268"/>
      <c r="G67" s="270">
        <v>0.1</v>
      </c>
      <c r="H67" s="266"/>
      <c r="I67" s="266"/>
      <c r="J67" s="298" t="str">
        <v>Andrew</v>
      </c>
      <c r="K67" s="266" t="str">
        <v>Amel</v>
      </c>
      <c r="L67" s="274">
        <v>0.1</v>
      </c>
      <c r="M67" s="266"/>
      <c r="N67" s="266"/>
      <c r="O67" s="271"/>
    </row>
    <row r="68">
      <c r="A68" s="279" t="str">
        <v>Nutech</v>
      </c>
      <c r="B68" s="279" t="str">
        <v>Isnur (Partner)</v>
      </c>
      <c r="C68" s="281"/>
      <c r="D68" s="279" t="str">
        <v>+62 812-1024-797</v>
      </c>
      <c r="E68" s="279" t="str">
        <v>Demo/Call of Interest</v>
      </c>
      <c r="F68" s="284"/>
      <c r="G68" s="282">
        <v>0.25</v>
      </c>
      <c r="H68" s="293">
        <v>45959</v>
      </c>
      <c r="I68" s="279"/>
      <c r="J68" s="298" t="str">
        <v>Andrew</v>
      </c>
      <c r="K68" s="279" t="str">
        <v>Amel</v>
      </c>
      <c r="L68" s="280">
        <v>0.25</v>
      </c>
      <c r="M68" s="267">
        <v>46009</v>
      </c>
      <c r="N68" s="279"/>
      <c r="O68" s="283"/>
    </row>
    <row r="69">
      <c r="A69" s="266" t="str">
        <v>Pelindo Excube (Pilotting Project)</v>
      </c>
      <c r="B69" s="266" t="str">
        <v>Impactto</v>
      </c>
      <c r="C69" s="269"/>
      <c r="D69" s="272"/>
      <c r="E69" s="301" t="str">
        <v>Won</v>
      </c>
      <c r="F69" s="297">
        <v>276390000</v>
      </c>
      <c r="G69" s="270">
        <v>1</v>
      </c>
      <c r="H69" s="266"/>
      <c r="I69" s="266"/>
      <c r="J69" s="266"/>
      <c r="K69" s="266" t="str">
        <v>Lossa</v>
      </c>
      <c r="L69" s="274">
        <v>1</v>
      </c>
      <c r="M69" s="266"/>
      <c r="N69" s="266" t="str">
        <v>Pitching for Pilot Project</v>
      </c>
      <c r="O69" s="295" t="s">
        <v>393</v>
      </c>
    </row>
    <row r="70">
      <c r="A70" s="279" t="str">
        <v>Stickearn</v>
      </c>
      <c r="B70" s="279" t="str">
        <v>Impactto</v>
      </c>
      <c r="C70" s="281"/>
      <c r="D70" s="279"/>
      <c r="E70" s="286" t="str">
        <v>Fridge</v>
      </c>
      <c r="F70" s="279"/>
      <c r="G70" s="282">
        <v>0</v>
      </c>
      <c r="H70" s="279"/>
      <c r="I70" s="279"/>
      <c r="J70" s="279"/>
      <c r="K70" s="279" t="str">
        <v>Lossa</v>
      </c>
      <c r="L70" s="274">
        <v>0</v>
      </c>
      <c r="M70" s="285"/>
      <c r="N70" s="279"/>
      <c r="O70" s="283"/>
    </row>
    <row r="71">
      <c r="A71" s="279" t="str">
        <v>Bank Danamon</v>
      </c>
      <c r="B71" s="279" t="str">
        <v>Impactto</v>
      </c>
      <c r="C71" s="281"/>
      <c r="D71" s="279"/>
      <c r="E71" s="279" t="str">
        <v>Contacted</v>
      </c>
      <c r="F71" s="284"/>
      <c r="G71" s="282">
        <v>0.1</v>
      </c>
      <c r="H71" s="279"/>
      <c r="I71" s="279"/>
      <c r="J71" s="279" t="str">
        <v>Titan</v>
      </c>
      <c r="K71" s="279" t="str">
        <v>Amel</v>
      </c>
      <c r="L71" s="280">
        <v>0.1</v>
      </c>
      <c r="M71" s="285"/>
      <c r="N71" s="279"/>
      <c r="O71" s="283"/>
    </row>
    <row r="72">
      <c r="A72" s="266" t="str">
        <v>Nestle</v>
      </c>
      <c r="B72" s="266" t="str">
        <v>Geosquare</v>
      </c>
      <c r="C72" s="269"/>
      <c r="D72" s="272"/>
      <c r="E72" s="286" t="str">
        <v>Fridge</v>
      </c>
      <c r="F72" s="266"/>
      <c r="G72" s="270">
        <v>0</v>
      </c>
      <c r="H72" s="266"/>
      <c r="I72" s="266"/>
      <c r="J72" s="266"/>
      <c r="K72" s="266" t="str">
        <v>Lossa</v>
      </c>
      <c r="L72" s="274">
        <v>0</v>
      </c>
      <c r="M72" s="266"/>
      <c r="N72" s="266"/>
      <c r="O72" s="271"/>
    </row>
    <row r="73">
      <c r="A73" s="279" t="str">
        <v>PwC</v>
      </c>
      <c r="B73" s="279" t="str">
        <v>Impactto</v>
      </c>
      <c r="C73" s="281"/>
      <c r="D73" s="279"/>
      <c r="E73" s="279" t="str">
        <v>Demo/Call of Interest</v>
      </c>
      <c r="F73" s="284"/>
      <c r="G73" s="282">
        <v>0.25</v>
      </c>
      <c r="H73" s="279"/>
      <c r="I73" s="279"/>
      <c r="J73" s="298" t="str">
        <v>Andrew</v>
      </c>
      <c r="K73" s="279" t="str">
        <v>Lossa</v>
      </c>
      <c r="L73" s="274">
        <v>0.25</v>
      </c>
      <c r="M73" s="285"/>
      <c r="N73" s="279" t="str">
        <v>ketemu hari jumat</v>
      </c>
      <c r="O73" s="283"/>
    </row>
    <row r="74">
      <c r="A74" s="266" t="str">
        <v>Trans Jakarta</v>
      </c>
      <c r="B74" s="266"/>
      <c r="C74" s="269"/>
      <c r="D74" s="272"/>
      <c r="E74" s="266"/>
      <c r="F74" s="268"/>
      <c r="G74" s="268"/>
      <c r="H74" s="266"/>
      <c r="I74" s="266"/>
      <c r="J74" s="266"/>
      <c r="K74" s="266"/>
      <c r="L74" s="266"/>
      <c r="M74" s="266"/>
      <c r="N74" s="266"/>
      <c r="O74" s="271"/>
    </row>
    <row r="75">
      <c r="A75" s="279" t="str">
        <v>Sigap</v>
      </c>
      <c r="B75" s="279"/>
      <c r="C75" s="281"/>
      <c r="D75" s="279"/>
      <c r="E75" s="279"/>
      <c r="F75" s="284"/>
      <c r="G75" s="284"/>
      <c r="H75" s="279"/>
      <c r="I75" s="279"/>
      <c r="J75" s="279"/>
      <c r="K75" s="279"/>
      <c r="L75" s="285"/>
      <c r="M75" s="285"/>
      <c r="N75" s="279"/>
      <c r="O75" s="283"/>
    </row>
    <row r="76">
      <c r="A76" s="266"/>
      <c r="B76" s="266"/>
      <c r="C76" s="269"/>
      <c r="D76" s="272"/>
      <c r="E76" s="266"/>
      <c r="F76" s="268"/>
      <c r="G76" s="268"/>
      <c r="H76" s="266"/>
      <c r="I76" s="266"/>
      <c r="J76" s="266"/>
      <c r="K76" s="266"/>
      <c r="L76" s="266"/>
      <c r="M76" s="266"/>
      <c r="N76" s="266"/>
      <c r="O76" s="271"/>
    </row>
    <row r="77">
      <c r="A77" s="279"/>
      <c r="B77" s="279"/>
      <c r="C77" s="281"/>
      <c r="D77" s="279"/>
      <c r="E77" s="279"/>
      <c r="F77" s="284"/>
      <c r="G77" s="284"/>
      <c r="H77" s="279"/>
      <c r="I77" s="279"/>
      <c r="J77" s="279"/>
      <c r="K77" s="279"/>
      <c r="L77" s="285"/>
      <c r="M77" s="285"/>
      <c r="N77" s="279"/>
      <c r="O77" s="283"/>
    </row>
    <row r="78">
      <c r="A78" s="266"/>
      <c r="B78" s="266"/>
      <c r="C78" s="269"/>
      <c r="D78" s="272"/>
      <c r="E78" s="266"/>
      <c r="F78" s="268"/>
      <c r="G78" s="268"/>
      <c r="H78" s="266"/>
      <c r="I78" s="266"/>
      <c r="J78" s="266"/>
      <c r="K78" s="266"/>
      <c r="L78" s="266"/>
      <c r="M78" s="266"/>
      <c r="N78" s="266"/>
      <c r="O78" s="271"/>
    </row>
    <row r="79">
      <c r="A79" s="279"/>
      <c r="B79" s="279"/>
      <c r="C79" s="281"/>
      <c r="D79" s="279"/>
      <c r="E79" s="279"/>
      <c r="F79" s="284"/>
      <c r="G79" s="284"/>
      <c r="H79" s="279"/>
      <c r="I79" s="279"/>
      <c r="J79" s="279"/>
      <c r="K79" s="279"/>
      <c r="L79" s="285"/>
      <c r="M79" s="285"/>
      <c r="N79" s="279"/>
      <c r="O79" s="283"/>
    </row>
    <row r="80">
      <c r="A80" s="266"/>
      <c r="B80" s="266"/>
      <c r="C80" s="269"/>
      <c r="D80" s="272"/>
      <c r="E80" s="266"/>
      <c r="F80" s="268"/>
      <c r="G80" s="268"/>
      <c r="H80" s="266"/>
      <c r="I80" s="266"/>
      <c r="J80" s="266"/>
      <c r="K80" s="266"/>
      <c r="L80" s="266"/>
      <c r="M80" s="266"/>
      <c r="N80" s="266"/>
      <c r="O80" s="271"/>
    </row>
    <row r="81">
      <c r="A81" s="279"/>
      <c r="B81" s="279"/>
      <c r="C81" s="281"/>
      <c r="D81" s="279"/>
      <c r="E81" s="279"/>
      <c r="F81" s="284"/>
      <c r="G81" s="284"/>
      <c r="H81" s="279"/>
      <c r="I81" s="279"/>
      <c r="J81" s="279"/>
      <c r="K81" s="279"/>
      <c r="L81" s="285"/>
      <c r="M81" s="285"/>
      <c r="N81" s="279"/>
      <c r="O81" s="283"/>
    </row>
    <row r="82">
      <c r="A82" s="266"/>
      <c r="B82" s="266"/>
      <c r="C82" s="269"/>
      <c r="D82" s="272"/>
      <c r="E82" s="266"/>
      <c r="F82" s="268"/>
      <c r="G82" s="268"/>
      <c r="H82" s="266"/>
      <c r="I82" s="266"/>
      <c r="J82" s="266"/>
      <c r="K82" s="266"/>
      <c r="L82" s="266"/>
      <c r="M82" s="266"/>
      <c r="N82" s="266"/>
      <c r="O82" s="271"/>
    </row>
    <row r="83">
      <c r="A83" s="279"/>
      <c r="B83" s="279"/>
      <c r="C83" s="281"/>
      <c r="D83" s="279"/>
      <c r="E83" s="279"/>
      <c r="F83" s="284"/>
      <c r="G83" s="284"/>
      <c r="H83" s="279"/>
      <c r="I83" s="279"/>
      <c r="J83" s="279"/>
      <c r="K83" s="279"/>
      <c r="L83" s="285"/>
      <c r="M83" s="285"/>
      <c r="N83" s="279"/>
      <c r="O83" s="283"/>
    </row>
    <row r="84">
      <c r="A84" s="266"/>
      <c r="B84" s="266"/>
      <c r="C84" s="269"/>
      <c r="D84" s="272"/>
      <c r="E84" s="266"/>
      <c r="F84" s="268"/>
      <c r="G84" s="268"/>
      <c r="H84" s="266"/>
      <c r="I84" s="266"/>
      <c r="J84" s="266"/>
      <c r="K84" s="266"/>
      <c r="L84" s="266"/>
      <c r="M84" s="266"/>
      <c r="N84" s="266"/>
      <c r="O84" s="271"/>
    </row>
    <row r="85">
      <c r="A85" s="279"/>
      <c r="B85" s="279"/>
      <c r="C85" s="281"/>
      <c r="D85" s="279"/>
      <c r="E85" s="279"/>
      <c r="F85" s="284"/>
      <c r="G85" s="284"/>
      <c r="H85" s="279"/>
      <c r="I85" s="279"/>
      <c r="J85" s="279"/>
      <c r="K85" s="279"/>
      <c r="L85" s="285"/>
      <c r="M85" s="285"/>
      <c r="N85" s="279"/>
      <c r="O85" s="283"/>
    </row>
    <row r="86">
      <c r="A86" s="266"/>
      <c r="B86" s="266"/>
      <c r="C86" s="269"/>
      <c r="D86" s="272"/>
      <c r="E86" s="266"/>
      <c r="F86" s="268"/>
      <c r="G86" s="268"/>
      <c r="H86" s="266"/>
      <c r="I86" s="266"/>
      <c r="J86" s="266"/>
      <c r="K86" s="266"/>
      <c r="L86" s="266"/>
      <c r="M86" s="266"/>
      <c r="N86" s="266"/>
      <c r="O86" s="271"/>
    </row>
    <row r="87">
      <c r="A87" s="279"/>
      <c r="B87" s="279"/>
      <c r="C87" s="281"/>
      <c r="D87" s="279"/>
      <c r="E87" s="279"/>
      <c r="F87" s="284"/>
      <c r="G87" s="284"/>
      <c r="H87" s="279"/>
      <c r="I87" s="279"/>
      <c r="J87" s="279"/>
      <c r="K87" s="279"/>
      <c r="L87" s="285"/>
      <c r="M87" s="285"/>
      <c r="N87" s="279"/>
      <c r="O87" s="283"/>
    </row>
    <row r="88">
      <c r="A88" s="266"/>
      <c r="B88" s="266"/>
      <c r="C88" s="269"/>
      <c r="D88" s="272"/>
      <c r="E88" s="266"/>
      <c r="F88" s="268"/>
      <c r="G88" s="268"/>
      <c r="H88" s="266"/>
      <c r="I88" s="266"/>
      <c r="J88" s="266"/>
      <c r="K88" s="266"/>
      <c r="L88" s="266"/>
      <c r="M88" s="266"/>
      <c r="N88" s="266"/>
      <c r="O88" s="271"/>
    </row>
    <row r="89">
      <c r="A89" s="279"/>
      <c r="B89" s="279"/>
      <c r="C89" s="281"/>
      <c r="D89" s="279"/>
      <c r="E89" s="279"/>
      <c r="F89" s="284"/>
      <c r="G89" s="284"/>
      <c r="H89" s="279"/>
      <c r="I89" s="279"/>
      <c r="J89" s="279"/>
      <c r="K89" s="279"/>
      <c r="L89" s="285"/>
      <c r="M89" s="285"/>
      <c r="N89" s="279"/>
      <c r="O89" s="283"/>
    </row>
    <row r="90">
      <c r="A90" s="266"/>
      <c r="B90" s="266"/>
      <c r="C90" s="269"/>
      <c r="D90" s="272"/>
      <c r="E90" s="266"/>
      <c r="F90" s="268"/>
      <c r="G90" s="268"/>
      <c r="H90" s="266"/>
      <c r="I90" s="266"/>
      <c r="J90" s="266"/>
      <c r="K90" s="266"/>
      <c r="L90" s="266"/>
      <c r="M90" s="266"/>
      <c r="N90" s="266"/>
      <c r="O90" s="271"/>
    </row>
    <row r="91">
      <c r="A91" s="279"/>
      <c r="B91" s="279"/>
      <c r="C91" s="281"/>
      <c r="D91" s="279"/>
      <c r="E91" s="279"/>
      <c r="F91" s="284"/>
      <c r="G91" s="284"/>
      <c r="H91" s="279"/>
      <c r="I91" s="279"/>
      <c r="J91" s="279"/>
      <c r="K91" s="279"/>
      <c r="L91" s="285"/>
      <c r="M91" s="285"/>
      <c r="N91" s="279"/>
      <c r="O91" s="283"/>
    </row>
    <row r="92">
      <c r="A92" s="266"/>
      <c r="B92" s="266"/>
      <c r="C92" s="269"/>
      <c r="D92" s="272"/>
      <c r="E92" s="266"/>
      <c r="F92" s="268"/>
      <c r="G92" s="268"/>
      <c r="H92" s="266"/>
      <c r="I92" s="266"/>
      <c r="J92" s="266"/>
      <c r="K92" s="266"/>
      <c r="L92" s="266"/>
      <c r="M92" s="266"/>
      <c r="N92" s="266"/>
      <c r="O92" s="271"/>
    </row>
    <row r="93">
      <c r="A93" s="279"/>
      <c r="B93" s="279"/>
      <c r="C93" s="281"/>
      <c r="D93" s="279"/>
      <c r="E93" s="279"/>
      <c r="F93" s="284"/>
      <c r="G93" s="284"/>
      <c r="H93" s="279"/>
      <c r="I93" s="279"/>
      <c r="J93" s="279"/>
      <c r="K93" s="279"/>
      <c r="L93" s="285"/>
      <c r="M93" s="285"/>
      <c r="N93" s="279"/>
      <c r="O93" s="283"/>
    </row>
    <row r="94">
      <c r="A94" s="266"/>
      <c r="B94" s="266"/>
      <c r="C94" s="269"/>
      <c r="D94" s="272"/>
      <c r="E94" s="266"/>
      <c r="F94" s="268"/>
      <c r="G94" s="268"/>
      <c r="H94" s="266"/>
      <c r="I94" s="266"/>
      <c r="J94" s="266"/>
      <c r="K94" s="266"/>
      <c r="L94" s="266"/>
      <c r="M94" s="266"/>
      <c r="N94" s="266"/>
      <c r="O94" s="271"/>
    </row>
    <row r="95">
      <c r="A95" s="279"/>
      <c r="B95" s="279"/>
      <c r="C95" s="281"/>
      <c r="D95" s="279"/>
      <c r="E95" s="279"/>
      <c r="F95" s="284"/>
      <c r="G95" s="284"/>
      <c r="H95" s="279"/>
      <c r="I95" s="279"/>
      <c r="J95" s="279"/>
      <c r="K95" s="279"/>
      <c r="L95" s="285"/>
      <c r="M95" s="285"/>
      <c r="N95" s="279"/>
      <c r="O95" s="283"/>
    </row>
    <row r="96">
      <c r="A96" s="266"/>
      <c r="B96" s="266"/>
      <c r="C96" s="269"/>
      <c r="D96" s="272"/>
      <c r="E96" s="266"/>
      <c r="F96" s="268"/>
      <c r="G96" s="268"/>
      <c r="H96" s="266"/>
      <c r="I96" s="266"/>
      <c r="J96" s="266"/>
      <c r="K96" s="266"/>
      <c r="L96" s="266"/>
      <c r="M96" s="266"/>
      <c r="N96" s="266"/>
      <c r="O96" s="271"/>
    </row>
    <row r="97">
      <c r="A97" s="276"/>
      <c r="B97" s="276"/>
      <c r="C97" s="275"/>
      <c r="D97" s="276"/>
      <c r="E97" s="277"/>
      <c r="F97" s="278"/>
      <c r="G97" s="276"/>
      <c r="H97" s="277"/>
      <c r="I97" s="277"/>
      <c r="J97" s="276"/>
      <c r="K97" s="276"/>
      <c r="L97" s="277"/>
      <c r="M97" s="276"/>
      <c r="N97" s="277"/>
      <c r="O97" s="84"/>
    </row>
    <row r="98">
      <c r="A98" s="276"/>
      <c r="B98" s="276"/>
      <c r="C98" s="275"/>
      <c r="D98" s="276"/>
      <c r="E98" s="277"/>
      <c r="F98" s="278"/>
      <c r="G98" s="276"/>
      <c r="H98" s="277"/>
      <c r="I98" s="277"/>
      <c r="J98" s="276"/>
      <c r="K98" s="276"/>
      <c r="L98" s="277"/>
      <c r="M98" s="276"/>
      <c r="N98" s="277"/>
      <c r="O98" s="84"/>
    </row>
    <row r="99">
      <c r="A99" s="276"/>
      <c r="B99" s="276"/>
      <c r="C99" s="275"/>
      <c r="D99" s="276"/>
      <c r="E99" s="277"/>
      <c r="F99" s="278"/>
      <c r="G99" s="276"/>
      <c r="H99" s="277"/>
      <c r="I99" s="277"/>
      <c r="J99" s="276"/>
      <c r="K99" s="276"/>
      <c r="L99" s="277"/>
      <c r="M99" s="276"/>
      <c r="N99" s="277"/>
      <c r="O99" s="84"/>
    </row>
    <row r="100">
      <c r="A100" s="276"/>
      <c r="B100" s="276"/>
      <c r="C100" s="275"/>
      <c r="D100" s="276"/>
      <c r="E100" s="277"/>
      <c r="F100" s="278"/>
      <c r="G100" s="276"/>
      <c r="H100" s="277"/>
      <c r="I100" s="277"/>
      <c r="J100" s="276"/>
      <c r="K100" s="276"/>
      <c r="L100" s="277"/>
      <c r="M100" s="276"/>
      <c r="N100" s="277"/>
      <c r="O100" s="84"/>
    </row>
    <row r="101">
      <c r="A101" s="276"/>
      <c r="B101" s="276"/>
      <c r="C101" s="275"/>
      <c r="D101" s="276"/>
      <c r="E101" s="277"/>
      <c r="F101" s="278"/>
      <c r="G101" s="276"/>
      <c r="H101" s="277"/>
      <c r="I101" s="277"/>
      <c r="J101" s="276"/>
      <c r="K101" s="276"/>
      <c r="L101" s="277"/>
      <c r="M101" s="276"/>
      <c r="N101" s="277"/>
      <c r="O101" s="84"/>
    </row>
    <row r="102">
      <c r="A102" s="276"/>
      <c r="B102" s="276"/>
      <c r="C102" s="275"/>
      <c r="D102" s="276"/>
      <c r="E102" s="277"/>
      <c r="F102" s="278"/>
      <c r="G102" s="276"/>
      <c r="H102" s="277"/>
      <c r="I102" s="277"/>
      <c r="J102" s="276"/>
      <c r="K102" s="276"/>
      <c r="L102" s="277"/>
      <c r="M102" s="276"/>
      <c r="N102" s="277"/>
      <c r="O102" s="84"/>
    </row>
    <row r="103">
      <c r="A103" s="276"/>
      <c r="B103" s="276"/>
      <c r="C103" s="275"/>
      <c r="D103" s="276"/>
      <c r="E103" s="277"/>
      <c r="F103" s="278"/>
      <c r="G103" s="276"/>
      <c r="H103" s="277"/>
      <c r="I103" s="277"/>
      <c r="J103" s="276"/>
      <c r="K103" s="276"/>
      <c r="L103" s="277"/>
      <c r="M103" s="276"/>
      <c r="N103" s="277"/>
      <c r="O103" s="84"/>
    </row>
    <row r="104">
      <c r="A104" s="276"/>
      <c r="B104" s="276"/>
      <c r="C104" s="275"/>
      <c r="D104" s="276"/>
      <c r="E104" s="277"/>
      <c r="F104" s="278"/>
      <c r="G104" s="276"/>
      <c r="H104" s="277"/>
      <c r="I104" s="277"/>
      <c r="J104" s="276"/>
      <c r="K104" s="276"/>
      <c r="L104" s="277"/>
      <c r="M104" s="276"/>
      <c r="N104" s="277"/>
      <c r="O104" s="84"/>
    </row>
    <row r="105">
      <c r="A105" s="276"/>
      <c r="B105" s="276"/>
      <c r="C105" s="275"/>
      <c r="D105" s="276"/>
      <c r="E105" s="277"/>
      <c r="F105" s="278"/>
      <c r="G105" s="276"/>
      <c r="H105" s="277"/>
      <c r="I105" s="277"/>
      <c r="J105" s="276"/>
      <c r="K105" s="276"/>
      <c r="L105" s="277"/>
      <c r="M105" s="276"/>
      <c r="N105" s="277"/>
      <c r="O105" s="84"/>
    </row>
    <row r="106">
      <c r="A106" s="276"/>
      <c r="B106" s="276"/>
      <c r="C106" s="275"/>
      <c r="D106" s="276"/>
      <c r="E106" s="277"/>
      <c r="F106" s="278"/>
      <c r="G106" s="276"/>
      <c r="H106" s="277"/>
      <c r="I106" s="277"/>
      <c r="J106" s="276"/>
      <c r="K106" s="276"/>
      <c r="L106" s="277"/>
      <c r="M106" s="276"/>
      <c r="N106" s="277"/>
      <c r="O106" s="84"/>
    </row>
    <row r="107">
      <c r="A107" s="276"/>
      <c r="B107" s="276"/>
      <c r="C107" s="275"/>
      <c r="D107" s="276"/>
      <c r="E107" s="277"/>
      <c r="F107" s="278"/>
      <c r="G107" s="276"/>
      <c r="H107" s="277"/>
      <c r="I107" s="277"/>
      <c r="J107" s="276"/>
      <c r="K107" s="276"/>
      <c r="L107" s="277"/>
      <c r="M107" s="276"/>
      <c r="N107" s="277"/>
      <c r="O107" s="84"/>
    </row>
    <row r="108">
      <c r="A108" s="276"/>
      <c r="B108" s="276"/>
      <c r="C108" s="275"/>
      <c r="D108" s="276"/>
      <c r="E108" s="277"/>
      <c r="F108" s="278"/>
      <c r="G108" s="276"/>
      <c r="H108" s="277"/>
      <c r="I108" s="277"/>
      <c r="J108" s="276"/>
      <c r="K108" s="276"/>
      <c r="L108" s="277"/>
      <c r="M108" s="276"/>
      <c r="N108" s="277"/>
      <c r="O108" s="84"/>
    </row>
    <row r="109">
      <c r="A109" s="276"/>
      <c r="B109" s="276"/>
      <c r="C109" s="275"/>
      <c r="D109" s="276"/>
      <c r="E109" s="277"/>
      <c r="F109" s="278"/>
      <c r="G109" s="276"/>
      <c r="H109" s="277"/>
      <c r="I109" s="277"/>
      <c r="J109" s="276"/>
      <c r="K109" s="276"/>
      <c r="L109" s="277"/>
      <c r="M109" s="276"/>
      <c r="N109" s="277"/>
      <c r="O109" s="84"/>
    </row>
    <row r="110">
      <c r="A110" s="276"/>
      <c r="B110" s="276"/>
      <c r="C110" s="275"/>
      <c r="D110" s="276"/>
      <c r="E110" s="277"/>
      <c r="F110" s="278"/>
      <c r="G110" s="276"/>
      <c r="H110" s="277"/>
      <c r="I110" s="277"/>
      <c r="J110" s="276"/>
      <c r="K110" s="276"/>
      <c r="L110" s="277"/>
      <c r="M110" s="276"/>
      <c r="N110" s="277"/>
      <c r="O110" s="84"/>
    </row>
    <row r="111">
      <c r="A111" s="276"/>
      <c r="B111" s="276"/>
      <c r="C111" s="275"/>
      <c r="D111" s="276"/>
      <c r="E111" s="277"/>
      <c r="F111" s="278"/>
      <c r="G111" s="276"/>
      <c r="H111" s="277"/>
      <c r="I111" s="277"/>
      <c r="J111" s="276"/>
      <c r="K111" s="276"/>
      <c r="L111" s="277"/>
      <c r="M111" s="276"/>
      <c r="N111" s="277"/>
      <c r="O111" s="84"/>
    </row>
    <row r="112">
      <c r="A112" s="276"/>
      <c r="B112" s="276"/>
      <c r="C112" s="275"/>
      <c r="D112" s="276"/>
      <c r="E112" s="277"/>
      <c r="F112" s="278"/>
      <c r="G112" s="276"/>
      <c r="H112" s="277"/>
      <c r="I112" s="277"/>
      <c r="J112" s="276"/>
      <c r="K112" s="276"/>
      <c r="L112" s="277"/>
      <c r="M112" s="276"/>
      <c r="N112" s="277"/>
      <c r="O112" s="84"/>
    </row>
    <row r="113">
      <c r="A113" s="276"/>
      <c r="B113" s="276"/>
      <c r="C113" s="275"/>
      <c r="D113" s="276"/>
      <c r="E113" s="277"/>
      <c r="F113" s="278"/>
      <c r="G113" s="276"/>
      <c r="H113" s="277"/>
      <c r="I113" s="277"/>
      <c r="J113" s="276"/>
      <c r="K113" s="276"/>
      <c r="L113" s="277"/>
      <c r="M113" s="276"/>
      <c r="N113" s="277"/>
      <c r="O113" s="84"/>
    </row>
    <row r="114">
      <c r="A114" s="276"/>
      <c r="B114" s="276"/>
      <c r="C114" s="275"/>
      <c r="D114" s="276"/>
      <c r="E114" s="277"/>
      <c r="F114" s="278"/>
      <c r="G114" s="276"/>
      <c r="H114" s="277"/>
      <c r="I114" s="277"/>
      <c r="J114" s="276"/>
      <c r="K114" s="276"/>
      <c r="L114" s="277"/>
      <c r="M114" s="276"/>
      <c r="N114" s="277"/>
      <c r="O114" s="84"/>
    </row>
    <row r="115">
      <c r="A115" s="276"/>
      <c r="B115" s="276"/>
      <c r="C115" s="275"/>
      <c r="D115" s="276"/>
      <c r="E115" s="277"/>
      <c r="F115" s="278"/>
      <c r="G115" s="276"/>
      <c r="H115" s="277"/>
      <c r="I115" s="277"/>
      <c r="J115" s="276"/>
      <c r="K115" s="276"/>
      <c r="L115" s="277"/>
      <c r="M115" s="276"/>
      <c r="N115" s="277"/>
      <c r="O115" s="84"/>
    </row>
    <row r="116">
      <c r="A116" s="276"/>
      <c r="B116" s="276"/>
      <c r="C116" s="275"/>
      <c r="D116" s="276"/>
      <c r="E116" s="277"/>
      <c r="F116" s="278"/>
      <c r="G116" s="276"/>
      <c r="H116" s="277"/>
      <c r="I116" s="277"/>
      <c r="J116" s="276"/>
      <c r="K116" s="276"/>
      <c r="L116" s="277"/>
      <c r="M116" s="276"/>
      <c r="N116" s="277"/>
      <c r="O116" s="84"/>
    </row>
    <row r="117">
      <c r="A117" s="276"/>
      <c r="B117" s="276"/>
      <c r="C117" s="275"/>
      <c r="D117" s="276"/>
      <c r="E117" s="277"/>
      <c r="F117" s="278"/>
      <c r="G117" s="276"/>
      <c r="H117" s="277"/>
      <c r="I117" s="277"/>
      <c r="J117" s="276"/>
      <c r="K117" s="276"/>
      <c r="L117" s="277"/>
      <c r="M117" s="276"/>
      <c r="N117" s="277"/>
      <c r="O117" s="84"/>
    </row>
    <row r="118">
      <c r="A118" s="276"/>
      <c r="B118" s="276"/>
      <c r="C118" s="275"/>
      <c r="D118" s="276"/>
      <c r="E118" s="277"/>
      <c r="F118" s="278"/>
      <c r="G118" s="276"/>
      <c r="H118" s="277"/>
      <c r="I118" s="277"/>
      <c r="J118" s="276"/>
      <c r="K118" s="276"/>
      <c r="L118" s="277"/>
      <c r="M118" s="276"/>
      <c r="N118" s="277"/>
      <c r="O118" s="84"/>
    </row>
    <row r="119">
      <c r="A119" s="276"/>
      <c r="B119" s="276"/>
      <c r="C119" s="275"/>
      <c r="D119" s="276"/>
      <c r="E119" s="277"/>
      <c r="F119" s="278"/>
      <c r="G119" s="276"/>
      <c r="H119" s="277"/>
      <c r="I119" s="277"/>
      <c r="J119" s="276"/>
      <c r="K119" s="276"/>
      <c r="L119" s="277"/>
      <c r="M119" s="276"/>
      <c r="N119" s="277"/>
      <c r="O119" s="84"/>
    </row>
    <row r="120">
      <c r="A120" s="276"/>
      <c r="B120" s="276"/>
      <c r="C120" s="275"/>
      <c r="D120" s="276"/>
      <c r="E120" s="277"/>
      <c r="F120" s="278"/>
      <c r="G120" s="276"/>
      <c r="H120" s="277"/>
      <c r="I120" s="277"/>
      <c r="J120" s="276"/>
      <c r="K120" s="276"/>
      <c r="L120" s="277"/>
      <c r="M120" s="276"/>
      <c r="N120" s="277"/>
      <c r="O120" s="84"/>
    </row>
    <row r="121">
      <c r="A121" s="276"/>
      <c r="B121" s="276"/>
      <c r="C121" s="275"/>
      <c r="D121" s="276"/>
      <c r="E121" s="277"/>
      <c r="F121" s="278"/>
      <c r="G121" s="276"/>
      <c r="H121" s="277"/>
      <c r="I121" s="277"/>
      <c r="J121" s="276"/>
      <c r="K121" s="276"/>
      <c r="L121" s="277"/>
      <c r="M121" s="276"/>
      <c r="N121" s="277"/>
      <c r="O121" s="84"/>
    </row>
    <row r="122">
      <c r="A122" s="276"/>
      <c r="B122" s="276"/>
      <c r="C122" s="275"/>
      <c r="D122" s="276"/>
      <c r="E122" s="277"/>
      <c r="F122" s="278"/>
      <c r="G122" s="276"/>
      <c r="H122" s="277"/>
      <c r="I122" s="277"/>
      <c r="J122" s="276"/>
      <c r="K122" s="276"/>
      <c r="L122" s="277"/>
      <c r="M122" s="276"/>
      <c r="N122" s="277"/>
      <c r="O122" s="84"/>
    </row>
    <row r="123">
      <c r="A123" s="276"/>
      <c r="B123" s="276"/>
      <c r="C123" s="275"/>
      <c r="D123" s="276"/>
      <c r="E123" s="277"/>
      <c r="F123" s="278"/>
      <c r="G123" s="276"/>
      <c r="H123" s="277"/>
      <c r="I123" s="277"/>
      <c r="J123" s="276"/>
      <c r="K123" s="276"/>
      <c r="L123" s="277"/>
      <c r="M123" s="276"/>
      <c r="N123" s="277"/>
      <c r="O123" s="84"/>
    </row>
    <row r="124">
      <c r="A124" s="276"/>
      <c r="B124" s="276"/>
      <c r="C124" s="275"/>
      <c r="D124" s="276"/>
      <c r="E124" s="277"/>
      <c r="F124" s="278"/>
      <c r="G124" s="276"/>
      <c r="H124" s="277"/>
      <c r="I124" s="277"/>
      <c r="J124" s="276"/>
      <c r="K124" s="276"/>
      <c r="L124" s="277"/>
      <c r="M124" s="276"/>
      <c r="N124" s="277"/>
      <c r="O124" s="84"/>
    </row>
    <row r="125">
      <c r="A125" s="276"/>
      <c r="B125" s="276"/>
      <c r="C125" s="275"/>
      <c r="D125" s="276"/>
      <c r="E125" s="277"/>
      <c r="F125" s="278"/>
      <c r="G125" s="276"/>
      <c r="H125" s="277"/>
      <c r="I125" s="277"/>
      <c r="J125" s="276"/>
      <c r="K125" s="276"/>
      <c r="L125" s="277"/>
      <c r="M125" s="276"/>
      <c r="N125" s="277"/>
      <c r="O125" s="84"/>
    </row>
    <row r="126">
      <c r="A126" s="276"/>
      <c r="B126" s="276"/>
      <c r="C126" s="275"/>
      <c r="D126" s="276"/>
      <c r="E126" s="277"/>
      <c r="F126" s="278"/>
      <c r="G126" s="276"/>
      <c r="H126" s="277"/>
      <c r="I126" s="277"/>
      <c r="J126" s="276"/>
      <c r="K126" s="276"/>
      <c r="L126" s="277"/>
      <c r="M126" s="276"/>
      <c r="N126" s="277"/>
      <c r="O126" s="84"/>
    </row>
    <row r="127">
      <c r="A127" s="276"/>
      <c r="B127" s="276"/>
      <c r="C127" s="275"/>
      <c r="D127" s="276"/>
      <c r="E127" s="277"/>
      <c r="F127" s="278"/>
      <c r="G127" s="276"/>
      <c r="H127" s="277"/>
      <c r="I127" s="277"/>
      <c r="J127" s="276"/>
      <c r="K127" s="276"/>
      <c r="L127" s="277"/>
      <c r="M127" s="276"/>
      <c r="N127" s="277"/>
      <c r="O127" s="84"/>
    </row>
    <row r="128">
      <c r="A128" s="276"/>
      <c r="B128" s="276"/>
      <c r="C128" s="275"/>
      <c r="D128" s="276"/>
      <c r="E128" s="277"/>
      <c r="F128" s="278"/>
      <c r="G128" s="276"/>
      <c r="H128" s="277"/>
      <c r="I128" s="277"/>
      <c r="J128" s="276"/>
      <c r="K128" s="276"/>
      <c r="L128" s="277"/>
      <c r="M128" s="276"/>
      <c r="N128" s="277"/>
      <c r="O128" s="84"/>
    </row>
    <row r="129">
      <c r="A129" s="276"/>
      <c r="B129" s="276"/>
      <c r="C129" s="275"/>
      <c r="D129" s="276"/>
      <c r="E129" s="277"/>
      <c r="F129" s="278"/>
      <c r="G129" s="276"/>
      <c r="H129" s="277"/>
      <c r="I129" s="277"/>
      <c r="J129" s="276"/>
      <c r="K129" s="276"/>
      <c r="L129" s="277"/>
      <c r="M129" s="276"/>
      <c r="N129" s="277"/>
      <c r="O129" s="84"/>
    </row>
    <row r="130">
      <c r="A130" s="276"/>
      <c r="B130" s="276"/>
      <c r="C130" s="275"/>
      <c r="D130" s="276"/>
      <c r="E130" s="277"/>
      <c r="F130" s="278"/>
      <c r="G130" s="276"/>
      <c r="H130" s="277"/>
      <c r="I130" s="277"/>
      <c r="J130" s="276"/>
      <c r="K130" s="276"/>
      <c r="L130" s="277"/>
      <c r="M130" s="276"/>
      <c r="N130" s="277"/>
      <c r="O130" s="84"/>
    </row>
    <row r="131">
      <c r="A131" s="276"/>
      <c r="B131" s="276"/>
      <c r="C131" s="275"/>
      <c r="D131" s="276"/>
      <c r="E131" s="277"/>
      <c r="F131" s="278"/>
      <c r="G131" s="276"/>
      <c r="H131" s="277"/>
      <c r="I131" s="277"/>
      <c r="J131" s="276"/>
      <c r="K131" s="276"/>
      <c r="L131" s="277"/>
      <c r="M131" s="276"/>
      <c r="N131" s="277"/>
      <c r="O131" s="84"/>
    </row>
    <row r="132">
      <c r="A132" s="276"/>
      <c r="B132" s="276"/>
      <c r="C132" s="275"/>
      <c r="D132" s="276"/>
      <c r="E132" s="277"/>
      <c r="F132" s="278"/>
      <c r="G132" s="276"/>
      <c r="H132" s="277"/>
      <c r="I132" s="277"/>
      <c r="J132" s="276"/>
      <c r="K132" s="276"/>
      <c r="L132" s="277"/>
      <c r="M132" s="276"/>
      <c r="N132" s="277"/>
      <c r="O132" s="84"/>
    </row>
    <row r="133">
      <c r="A133" s="276"/>
      <c r="B133" s="276"/>
      <c r="C133" s="275"/>
      <c r="D133" s="276"/>
      <c r="E133" s="277"/>
      <c r="F133" s="278"/>
      <c r="G133" s="276"/>
      <c r="H133" s="277"/>
      <c r="I133" s="277"/>
      <c r="J133" s="276"/>
      <c r="K133" s="276"/>
      <c r="L133" s="277"/>
      <c r="M133" s="276"/>
      <c r="N133" s="277"/>
      <c r="O133" s="84"/>
    </row>
    <row r="134">
      <c r="A134" s="276"/>
      <c r="B134" s="276"/>
      <c r="C134" s="275"/>
      <c r="D134" s="276"/>
      <c r="E134" s="277"/>
      <c r="F134" s="278"/>
      <c r="G134" s="276"/>
      <c r="H134" s="277"/>
      <c r="I134" s="277"/>
      <c r="J134" s="276"/>
      <c r="K134" s="276"/>
      <c r="L134" s="277"/>
      <c r="M134" s="276"/>
      <c r="N134" s="277"/>
      <c r="O134" s="84"/>
    </row>
    <row r="135">
      <c r="A135" s="276"/>
      <c r="B135" s="276"/>
      <c r="C135" s="275"/>
      <c r="D135" s="276"/>
      <c r="E135" s="277"/>
      <c r="F135" s="278"/>
      <c r="G135" s="276"/>
      <c r="H135" s="277"/>
      <c r="I135" s="277"/>
      <c r="J135" s="276"/>
      <c r="K135" s="276"/>
      <c r="L135" s="277"/>
      <c r="M135" s="276"/>
      <c r="N135" s="277"/>
      <c r="O135" s="84"/>
    </row>
    <row r="136">
      <c r="A136" s="276"/>
      <c r="B136" s="276"/>
      <c r="C136" s="275"/>
      <c r="D136" s="276"/>
      <c r="E136" s="277"/>
      <c r="F136" s="278"/>
      <c r="G136" s="276"/>
      <c r="H136" s="277"/>
      <c r="I136" s="277"/>
      <c r="J136" s="276"/>
      <c r="K136" s="276"/>
      <c r="L136" s="277"/>
      <c r="M136" s="276"/>
      <c r="N136" s="277"/>
      <c r="O136" s="84"/>
    </row>
    <row r="137">
      <c r="A137" s="276"/>
      <c r="B137" s="276"/>
      <c r="C137" s="275"/>
      <c r="D137" s="276"/>
      <c r="E137" s="277"/>
      <c r="F137" s="278"/>
      <c r="G137" s="276"/>
      <c r="H137" s="277"/>
      <c r="I137" s="277"/>
      <c r="J137" s="276"/>
      <c r="K137" s="276"/>
      <c r="L137" s="277"/>
      <c r="M137" s="276"/>
      <c r="N137" s="277"/>
      <c r="O137" s="84"/>
    </row>
    <row r="138">
      <c r="A138" s="276"/>
      <c r="B138" s="276"/>
      <c r="C138" s="275"/>
      <c r="D138" s="276"/>
      <c r="E138" s="277"/>
      <c r="F138" s="278"/>
      <c r="G138" s="276"/>
      <c r="H138" s="277"/>
      <c r="I138" s="277"/>
      <c r="J138" s="276"/>
      <c r="K138" s="276"/>
      <c r="L138" s="277"/>
      <c r="M138" s="276"/>
      <c r="N138" s="277"/>
      <c r="O138" s="84"/>
    </row>
    <row r="139">
      <c r="A139" s="276"/>
      <c r="B139" s="276"/>
      <c r="C139" s="275"/>
      <c r="D139" s="276"/>
      <c r="E139" s="277"/>
      <c r="F139" s="278"/>
      <c r="G139" s="276"/>
      <c r="H139" s="277"/>
      <c r="I139" s="277"/>
      <c r="J139" s="276"/>
      <c r="K139" s="276"/>
      <c r="L139" s="277"/>
      <c r="M139" s="276"/>
      <c r="N139" s="277"/>
      <c r="O139" s="84"/>
    </row>
    <row r="140">
      <c r="A140" s="276"/>
      <c r="B140" s="276"/>
      <c r="C140" s="275"/>
      <c r="D140" s="276"/>
      <c r="E140" s="277"/>
      <c r="F140" s="278"/>
      <c r="G140" s="276"/>
      <c r="H140" s="277"/>
      <c r="I140" s="277"/>
      <c r="J140" s="276"/>
      <c r="K140" s="276"/>
      <c r="L140" s="277"/>
      <c r="M140" s="276"/>
      <c r="N140" s="277"/>
      <c r="O140" s="84"/>
    </row>
    <row r="141">
      <c r="A141" s="276"/>
      <c r="B141" s="276"/>
      <c r="C141" s="275"/>
      <c r="D141" s="276"/>
      <c r="E141" s="277"/>
      <c r="F141" s="278"/>
      <c r="G141" s="276"/>
      <c r="H141" s="277"/>
      <c r="I141" s="277"/>
      <c r="J141" s="276"/>
      <c r="K141" s="276"/>
      <c r="L141" s="277"/>
      <c r="M141" s="276"/>
      <c r="N141" s="277"/>
      <c r="O141" s="84"/>
    </row>
    <row r="142">
      <c r="A142" s="276"/>
      <c r="B142" s="276"/>
      <c r="C142" s="275"/>
      <c r="D142" s="276"/>
      <c r="E142" s="277"/>
      <c r="F142" s="278"/>
      <c r="G142" s="276"/>
      <c r="H142" s="277"/>
      <c r="I142" s="277"/>
      <c r="J142" s="276"/>
      <c r="K142" s="276"/>
      <c r="L142" s="277"/>
      <c r="M142" s="276"/>
      <c r="N142" s="277"/>
      <c r="O142" s="84"/>
    </row>
    <row r="143">
      <c r="A143" s="276"/>
      <c r="B143" s="276"/>
      <c r="C143" s="275"/>
      <c r="D143" s="276"/>
      <c r="E143" s="277"/>
      <c r="F143" s="278"/>
      <c r="G143" s="276"/>
      <c r="H143" s="277"/>
      <c r="I143" s="277"/>
      <c r="J143" s="276"/>
      <c r="K143" s="276"/>
      <c r="L143" s="277"/>
      <c r="M143" s="276"/>
      <c r="N143" s="277"/>
      <c r="O143" s="84"/>
    </row>
    <row r="144">
      <c r="A144" s="276"/>
      <c r="B144" s="276"/>
      <c r="C144" s="275"/>
      <c r="D144" s="276"/>
      <c r="E144" s="277"/>
      <c r="F144" s="278"/>
      <c r="G144" s="276"/>
      <c r="H144" s="277"/>
      <c r="I144" s="277"/>
      <c r="J144" s="276"/>
      <c r="K144" s="276"/>
      <c r="L144" s="277"/>
      <c r="M144" s="276"/>
      <c r="N144" s="277"/>
      <c r="O144" s="84"/>
    </row>
    <row r="145">
      <c r="A145" s="276"/>
      <c r="B145" s="276"/>
      <c r="C145" s="275"/>
      <c r="D145" s="276"/>
      <c r="E145" s="277"/>
      <c r="F145" s="278"/>
      <c r="G145" s="276"/>
      <c r="H145" s="277"/>
      <c r="I145" s="277"/>
      <c r="J145" s="276"/>
      <c r="K145" s="276"/>
      <c r="L145" s="277"/>
      <c r="M145" s="276"/>
      <c r="N145" s="277"/>
      <c r="O145" s="84"/>
    </row>
    <row r="146">
      <c r="A146" s="276"/>
      <c r="B146" s="276"/>
      <c r="C146" s="275"/>
      <c r="D146" s="276"/>
      <c r="E146" s="277"/>
      <c r="F146" s="278"/>
      <c r="G146" s="276"/>
      <c r="H146" s="277"/>
      <c r="I146" s="277"/>
      <c r="J146" s="276"/>
      <c r="K146" s="276"/>
      <c r="L146" s="277"/>
      <c r="M146" s="276"/>
      <c r="N146" s="277"/>
      <c r="O146" s="84"/>
    </row>
    <row r="147">
      <c r="A147" s="276"/>
      <c r="B147" s="276"/>
      <c r="C147" s="275"/>
      <c r="D147" s="276"/>
      <c r="E147" s="277"/>
      <c r="F147" s="278"/>
      <c r="G147" s="276"/>
      <c r="H147" s="277"/>
      <c r="I147" s="277"/>
      <c r="J147" s="276"/>
      <c r="K147" s="276"/>
      <c r="L147" s="277"/>
      <c r="M147" s="276"/>
      <c r="N147" s="277"/>
      <c r="O147" s="84"/>
    </row>
    <row r="148">
      <c r="A148" s="276"/>
      <c r="B148" s="276"/>
      <c r="C148" s="275"/>
      <c r="D148" s="276"/>
      <c r="E148" s="277"/>
      <c r="F148" s="278"/>
      <c r="G148" s="276"/>
      <c r="H148" s="277"/>
      <c r="I148" s="277"/>
      <c r="J148" s="276"/>
      <c r="K148" s="276"/>
      <c r="L148" s="277"/>
      <c r="M148" s="276"/>
      <c r="N148" s="277"/>
      <c r="O148" s="84"/>
    </row>
    <row r="149">
      <c r="A149" s="276"/>
      <c r="B149" s="276"/>
      <c r="C149" s="275"/>
      <c r="D149" s="276"/>
      <c r="E149" s="277"/>
      <c r="F149" s="278"/>
      <c r="G149" s="276"/>
      <c r="H149" s="277"/>
      <c r="I149" s="277"/>
      <c r="J149" s="276"/>
      <c r="K149" s="276"/>
      <c r="L149" s="277"/>
      <c r="M149" s="276"/>
      <c r="N149" s="277"/>
      <c r="O149" s="84"/>
    </row>
    <row r="150">
      <c r="A150" s="276"/>
      <c r="B150" s="276"/>
      <c r="C150" s="275"/>
      <c r="D150" s="276"/>
      <c r="E150" s="277"/>
      <c r="F150" s="278"/>
      <c r="G150" s="276"/>
      <c r="H150" s="277"/>
      <c r="I150" s="277"/>
      <c r="J150" s="276"/>
      <c r="K150" s="276"/>
      <c r="L150" s="277"/>
      <c r="M150" s="276"/>
      <c r="N150" s="277"/>
      <c r="O150" s="84"/>
    </row>
    <row r="151">
      <c r="A151" s="276"/>
      <c r="B151" s="276"/>
      <c r="C151" s="275"/>
      <c r="D151" s="276"/>
      <c r="E151" s="277"/>
      <c r="F151" s="278"/>
      <c r="G151" s="276"/>
      <c r="H151" s="277"/>
      <c r="I151" s="277"/>
      <c r="J151" s="276"/>
      <c r="K151" s="276"/>
      <c r="L151" s="277"/>
      <c r="M151" s="276"/>
      <c r="N151" s="277"/>
      <c r="O151" s="84"/>
    </row>
    <row r="152">
      <c r="A152" s="276"/>
      <c r="B152" s="276"/>
      <c r="C152" s="275"/>
      <c r="D152" s="276"/>
      <c r="E152" s="277"/>
      <c r="F152" s="278"/>
      <c r="G152" s="276"/>
      <c r="H152" s="277"/>
      <c r="I152" s="277"/>
      <c r="J152" s="276"/>
      <c r="K152" s="276"/>
      <c r="L152" s="277"/>
      <c r="M152" s="276"/>
      <c r="N152" s="277"/>
      <c r="O152" s="84"/>
    </row>
    <row r="153">
      <c r="A153" s="276"/>
      <c r="B153" s="276"/>
      <c r="C153" s="275"/>
      <c r="D153" s="276"/>
      <c r="E153" s="277"/>
      <c r="F153" s="278"/>
      <c r="G153" s="276"/>
      <c r="H153" s="277"/>
      <c r="I153" s="277"/>
      <c r="J153" s="276"/>
      <c r="K153" s="276"/>
      <c r="L153" s="277"/>
      <c r="M153" s="276"/>
      <c r="N153" s="277"/>
      <c r="O153" s="84"/>
    </row>
    <row r="154">
      <c r="A154" s="276"/>
      <c r="B154" s="276"/>
      <c r="C154" s="275"/>
      <c r="D154" s="276"/>
      <c r="E154" s="277"/>
      <c r="F154" s="278"/>
      <c r="G154" s="276"/>
      <c r="H154" s="277"/>
      <c r="I154" s="277"/>
      <c r="J154" s="276"/>
      <c r="K154" s="276"/>
      <c r="L154" s="277"/>
      <c r="M154" s="276"/>
      <c r="N154" s="277"/>
      <c r="O154" s="84"/>
    </row>
    <row r="155">
      <c r="A155" s="276"/>
      <c r="B155" s="276"/>
      <c r="C155" s="275"/>
      <c r="D155" s="276"/>
      <c r="E155" s="277"/>
      <c r="F155" s="278"/>
      <c r="G155" s="276"/>
      <c r="H155" s="277"/>
      <c r="I155" s="277"/>
      <c r="J155" s="276"/>
      <c r="K155" s="276"/>
      <c r="L155" s="277"/>
      <c r="M155" s="276"/>
      <c r="N155" s="277"/>
      <c r="O155" s="84"/>
    </row>
    <row r="156">
      <c r="A156" s="276"/>
      <c r="B156" s="276"/>
      <c r="C156" s="275"/>
      <c r="D156" s="276"/>
      <c r="E156" s="277"/>
      <c r="F156" s="278"/>
      <c r="G156" s="276"/>
      <c r="H156" s="277"/>
      <c r="I156" s="277"/>
      <c r="J156" s="276"/>
      <c r="K156" s="276"/>
      <c r="L156" s="277"/>
      <c r="M156" s="276"/>
      <c r="N156" s="277"/>
      <c r="O156" s="84"/>
    </row>
    <row r="157">
      <c r="A157" s="276"/>
      <c r="B157" s="276"/>
      <c r="C157" s="275"/>
      <c r="D157" s="276"/>
      <c r="E157" s="277"/>
      <c r="F157" s="278"/>
      <c r="G157" s="276"/>
      <c r="H157" s="277"/>
      <c r="I157" s="277"/>
      <c r="J157" s="276"/>
      <c r="K157" s="276"/>
      <c r="L157" s="277"/>
      <c r="M157" s="276"/>
      <c r="N157" s="277"/>
      <c r="O157" s="84"/>
    </row>
    <row r="158">
      <c r="A158" s="276"/>
      <c r="B158" s="276"/>
      <c r="C158" s="275"/>
      <c r="D158" s="276"/>
      <c r="E158" s="277"/>
      <c r="F158" s="278"/>
      <c r="G158" s="276"/>
      <c r="H158" s="277"/>
      <c r="I158" s="277"/>
      <c r="J158" s="276"/>
      <c r="K158" s="276"/>
      <c r="L158" s="277"/>
      <c r="M158" s="276"/>
      <c r="N158" s="277"/>
      <c r="O158" s="84"/>
    </row>
    <row r="159">
      <c r="A159" s="276"/>
      <c r="B159" s="276"/>
      <c r="C159" s="275"/>
      <c r="D159" s="276"/>
      <c r="E159" s="277"/>
      <c r="F159" s="278"/>
      <c r="G159" s="276"/>
      <c r="H159" s="277"/>
      <c r="I159" s="277"/>
      <c r="J159" s="276"/>
      <c r="K159" s="276"/>
      <c r="L159" s="277"/>
      <c r="M159" s="276"/>
      <c r="N159" s="277"/>
      <c r="O159" s="84"/>
    </row>
    <row r="160">
      <c r="A160" s="276"/>
      <c r="B160" s="276"/>
      <c r="C160" s="275"/>
      <c r="D160" s="276"/>
      <c r="E160" s="277"/>
      <c r="F160" s="278"/>
      <c r="G160" s="276"/>
      <c r="H160" s="277"/>
      <c r="I160" s="277"/>
      <c r="J160" s="276"/>
      <c r="K160" s="276"/>
      <c r="L160" s="277"/>
      <c r="M160" s="276"/>
      <c r="N160" s="277"/>
      <c r="O160" s="84"/>
    </row>
    <row r="161">
      <c r="A161" s="276"/>
      <c r="B161" s="276"/>
      <c r="C161" s="275"/>
      <c r="D161" s="276"/>
      <c r="E161" s="277"/>
      <c r="F161" s="278"/>
      <c r="G161" s="276"/>
      <c r="H161" s="277"/>
      <c r="I161" s="277"/>
      <c r="J161" s="276"/>
      <c r="K161" s="276"/>
      <c r="L161" s="277"/>
      <c r="M161" s="276"/>
      <c r="N161" s="277"/>
      <c r="O161" s="84"/>
    </row>
    <row r="162">
      <c r="A162" s="276"/>
      <c r="B162" s="276"/>
      <c r="C162" s="275"/>
      <c r="D162" s="276"/>
      <c r="E162" s="277"/>
      <c r="F162" s="278"/>
      <c r="G162" s="276"/>
      <c r="H162" s="277"/>
      <c r="I162" s="277"/>
      <c r="J162" s="276"/>
      <c r="K162" s="276"/>
      <c r="L162" s="277"/>
      <c r="M162" s="276"/>
      <c r="N162" s="277"/>
      <c r="O162" s="84"/>
    </row>
    <row r="163">
      <c r="A163" s="276"/>
      <c r="B163" s="276"/>
      <c r="C163" s="275"/>
      <c r="D163" s="276"/>
      <c r="E163" s="277"/>
      <c r="F163" s="278"/>
      <c r="G163" s="276"/>
      <c r="H163" s="277"/>
      <c r="I163" s="277"/>
      <c r="J163" s="276"/>
      <c r="K163" s="276"/>
      <c r="L163" s="277"/>
      <c r="M163" s="276"/>
      <c r="N163" s="277"/>
      <c r="O163" s="84"/>
    </row>
    <row r="164">
      <c r="A164" s="276"/>
      <c r="B164" s="276"/>
      <c r="C164" s="275"/>
      <c r="D164" s="276"/>
      <c r="E164" s="277"/>
      <c r="F164" s="278"/>
      <c r="G164" s="276"/>
      <c r="H164" s="277"/>
      <c r="I164" s="277"/>
      <c r="J164" s="276"/>
      <c r="K164" s="276"/>
      <c r="L164" s="277"/>
      <c r="M164" s="276"/>
      <c r="N164" s="277"/>
      <c r="O164" s="84"/>
    </row>
    <row r="165">
      <c r="A165" s="276"/>
      <c r="B165" s="276"/>
      <c r="C165" s="275"/>
      <c r="D165" s="276"/>
      <c r="E165" s="277"/>
      <c r="F165" s="278"/>
      <c r="G165" s="276"/>
      <c r="H165" s="277"/>
      <c r="I165" s="277"/>
      <c r="J165" s="276"/>
      <c r="K165" s="276"/>
      <c r="L165" s="277"/>
      <c r="M165" s="276"/>
      <c r="N165" s="277"/>
      <c r="O165" s="84"/>
    </row>
    <row r="166">
      <c r="A166" s="276"/>
      <c r="B166" s="276"/>
      <c r="C166" s="275"/>
      <c r="D166" s="276"/>
      <c r="E166" s="277"/>
      <c r="F166" s="278"/>
      <c r="G166" s="276"/>
      <c r="H166" s="277"/>
      <c r="I166" s="277"/>
      <c r="J166" s="276"/>
      <c r="K166" s="276"/>
      <c r="L166" s="277"/>
      <c r="M166" s="276"/>
      <c r="N166" s="277"/>
      <c r="O166" s="84"/>
    </row>
    <row r="167">
      <c r="A167" s="276"/>
      <c r="B167" s="276"/>
      <c r="C167" s="275"/>
      <c r="D167" s="276"/>
      <c r="E167" s="277"/>
      <c r="F167" s="278"/>
      <c r="G167" s="276"/>
      <c r="H167" s="277"/>
      <c r="I167" s="277"/>
      <c r="J167" s="276"/>
      <c r="K167" s="276"/>
      <c r="L167" s="277"/>
      <c r="M167" s="276"/>
      <c r="N167" s="277"/>
      <c r="O167" s="84"/>
    </row>
    <row r="168">
      <c r="A168" s="276"/>
      <c r="B168" s="276"/>
      <c r="C168" s="275"/>
      <c r="D168" s="276"/>
      <c r="E168" s="277"/>
      <c r="F168" s="278"/>
      <c r="G168" s="276"/>
      <c r="H168" s="277"/>
      <c r="I168" s="277"/>
      <c r="J168" s="276"/>
      <c r="K168" s="276"/>
      <c r="L168" s="277"/>
      <c r="M168" s="276"/>
      <c r="N168" s="277"/>
      <c r="O168" s="84"/>
    </row>
    <row r="169">
      <c r="A169" s="276"/>
      <c r="B169" s="276"/>
      <c r="C169" s="275"/>
      <c r="D169" s="276"/>
      <c r="E169" s="277"/>
      <c r="F169" s="278"/>
      <c r="G169" s="276"/>
      <c r="H169" s="277"/>
      <c r="I169" s="277"/>
      <c r="J169" s="276"/>
      <c r="K169" s="276"/>
      <c r="L169" s="277"/>
      <c r="M169" s="276"/>
      <c r="N169" s="277"/>
      <c r="O169" s="84"/>
    </row>
    <row r="170">
      <c r="A170" s="276"/>
      <c r="B170" s="276"/>
      <c r="C170" s="275"/>
      <c r="D170" s="276"/>
      <c r="E170" s="277"/>
      <c r="F170" s="278"/>
      <c r="G170" s="276"/>
      <c r="H170" s="277"/>
      <c r="I170" s="277"/>
      <c r="J170" s="276"/>
      <c r="K170" s="276"/>
      <c r="L170" s="277"/>
      <c r="M170" s="276"/>
      <c r="N170" s="277"/>
      <c r="O170" s="84"/>
    </row>
    <row r="171">
      <c r="A171" s="276"/>
      <c r="B171" s="276"/>
      <c r="C171" s="275"/>
      <c r="D171" s="276"/>
      <c r="E171" s="277"/>
      <c r="F171" s="278"/>
      <c r="G171" s="276"/>
      <c r="H171" s="277"/>
      <c r="I171" s="277"/>
      <c r="J171" s="276"/>
      <c r="K171" s="276"/>
      <c r="L171" s="277"/>
      <c r="M171" s="276"/>
      <c r="N171" s="277"/>
      <c r="O171" s="84"/>
    </row>
    <row r="172">
      <c r="A172" s="276"/>
      <c r="B172" s="276"/>
      <c r="C172" s="275"/>
      <c r="D172" s="276"/>
      <c r="E172" s="277"/>
      <c r="F172" s="278"/>
      <c r="G172" s="276"/>
      <c r="H172" s="277"/>
      <c r="I172" s="277"/>
      <c r="J172" s="276"/>
      <c r="K172" s="276"/>
      <c r="L172" s="277"/>
      <c r="M172" s="276"/>
      <c r="N172" s="277"/>
      <c r="O172" s="84"/>
    </row>
    <row r="173">
      <c r="A173" s="276"/>
      <c r="B173" s="276"/>
      <c r="C173" s="275"/>
      <c r="D173" s="276"/>
      <c r="E173" s="277"/>
      <c r="F173" s="278"/>
      <c r="G173" s="276"/>
      <c r="H173" s="277"/>
      <c r="I173" s="277"/>
      <c r="J173" s="276"/>
      <c r="K173" s="276"/>
      <c r="L173" s="277"/>
      <c r="M173" s="276"/>
      <c r="N173" s="277"/>
      <c r="O173" s="84"/>
    </row>
    <row r="174">
      <c r="A174" s="276"/>
      <c r="B174" s="276"/>
      <c r="C174" s="275"/>
      <c r="D174" s="276"/>
      <c r="E174" s="277"/>
      <c r="F174" s="278"/>
      <c r="G174" s="276"/>
      <c r="H174" s="277"/>
      <c r="I174" s="277"/>
      <c r="J174" s="276"/>
      <c r="K174" s="276"/>
      <c r="L174" s="277"/>
      <c r="M174" s="276"/>
      <c r="N174" s="277"/>
      <c r="O174" s="84"/>
    </row>
    <row r="175">
      <c r="A175" s="276"/>
      <c r="B175" s="276"/>
      <c r="C175" s="275"/>
      <c r="D175" s="276"/>
      <c r="E175" s="277"/>
      <c r="F175" s="278"/>
      <c r="G175" s="276"/>
      <c r="H175" s="277"/>
      <c r="I175" s="277"/>
      <c r="J175" s="276"/>
      <c r="K175" s="276"/>
      <c r="L175" s="277"/>
      <c r="M175" s="276"/>
      <c r="N175" s="277"/>
      <c r="O175" s="84"/>
    </row>
    <row r="176">
      <c r="A176" s="276"/>
      <c r="B176" s="276"/>
      <c r="C176" s="275"/>
      <c r="D176" s="276"/>
      <c r="E176" s="277"/>
      <c r="F176" s="278"/>
      <c r="G176" s="276"/>
      <c r="H176" s="277"/>
      <c r="I176" s="277"/>
      <c r="J176" s="276"/>
      <c r="K176" s="276"/>
      <c r="L176" s="277"/>
      <c r="M176" s="276"/>
      <c r="N176" s="277"/>
      <c r="O176" s="84"/>
    </row>
    <row r="177">
      <c r="A177" s="276"/>
      <c r="B177" s="276"/>
      <c r="C177" s="275"/>
      <c r="D177" s="276"/>
      <c r="E177" s="277"/>
      <c r="F177" s="278"/>
      <c r="G177" s="276"/>
      <c r="H177" s="277"/>
      <c r="I177" s="277"/>
      <c r="J177" s="276"/>
      <c r="K177" s="276"/>
      <c r="L177" s="277"/>
      <c r="M177" s="276"/>
      <c r="N177" s="277"/>
      <c r="O177" s="84"/>
    </row>
    <row r="178">
      <c r="A178" s="276"/>
      <c r="B178" s="276"/>
      <c r="C178" s="275"/>
      <c r="D178" s="276"/>
      <c r="E178" s="277"/>
      <c r="F178" s="278"/>
      <c r="G178" s="276"/>
      <c r="H178" s="277"/>
      <c r="I178" s="277"/>
      <c r="J178" s="276"/>
      <c r="K178" s="276"/>
      <c r="L178" s="277"/>
      <c r="M178" s="276"/>
      <c r="N178" s="277"/>
      <c r="O178" s="84"/>
    </row>
    <row r="179">
      <c r="A179" s="276"/>
      <c r="B179" s="276"/>
      <c r="C179" s="275"/>
      <c r="D179" s="276"/>
      <c r="E179" s="277"/>
      <c r="F179" s="278"/>
      <c r="G179" s="276"/>
      <c r="H179" s="277"/>
      <c r="I179" s="277"/>
      <c r="J179" s="276"/>
      <c r="K179" s="276"/>
      <c r="L179" s="277"/>
      <c r="M179" s="276"/>
      <c r="N179" s="277"/>
      <c r="O179" s="84"/>
    </row>
    <row r="180">
      <c r="A180" s="276"/>
      <c r="B180" s="276"/>
      <c r="C180" s="275"/>
      <c r="D180" s="276"/>
      <c r="E180" s="277"/>
      <c r="F180" s="278"/>
      <c r="G180" s="276"/>
      <c r="H180" s="277"/>
      <c r="I180" s="277"/>
      <c r="J180" s="276"/>
      <c r="K180" s="276"/>
      <c r="L180" s="277"/>
      <c r="M180" s="276"/>
      <c r="N180" s="277"/>
      <c r="O180" s="84"/>
    </row>
    <row r="181">
      <c r="A181" s="276"/>
      <c r="B181" s="276"/>
      <c r="C181" s="275"/>
      <c r="D181" s="276"/>
      <c r="E181" s="277"/>
      <c r="F181" s="278"/>
      <c r="G181" s="276"/>
      <c r="H181" s="277"/>
      <c r="I181" s="277"/>
      <c r="J181" s="276"/>
      <c r="K181" s="276"/>
      <c r="L181" s="277"/>
      <c r="M181" s="276"/>
      <c r="N181" s="277"/>
      <c r="O181" s="84"/>
    </row>
    <row r="182">
      <c r="A182" s="276"/>
      <c r="B182" s="276"/>
      <c r="C182" s="275"/>
      <c r="D182" s="276"/>
      <c r="E182" s="277"/>
      <c r="F182" s="278"/>
      <c r="G182" s="276"/>
      <c r="H182" s="277"/>
      <c r="I182" s="277"/>
      <c r="J182" s="276"/>
      <c r="K182" s="276"/>
      <c r="L182" s="277"/>
      <c r="M182" s="276"/>
      <c r="N182" s="277"/>
      <c r="O182" s="84"/>
    </row>
    <row r="183">
      <c r="A183" s="276"/>
      <c r="B183" s="276"/>
      <c r="C183" s="275"/>
      <c r="D183" s="276"/>
      <c r="E183" s="277"/>
      <c r="F183" s="278"/>
      <c r="G183" s="276"/>
      <c r="H183" s="277"/>
      <c r="I183" s="277"/>
      <c r="J183" s="276"/>
      <c r="K183" s="276"/>
      <c r="L183" s="277"/>
      <c r="M183" s="276"/>
      <c r="N183" s="277"/>
      <c r="O183" s="84"/>
    </row>
    <row r="184">
      <c r="A184" s="276"/>
      <c r="B184" s="276"/>
      <c r="C184" s="275"/>
      <c r="D184" s="276"/>
      <c r="E184" s="277"/>
      <c r="F184" s="278"/>
      <c r="G184" s="276"/>
      <c r="H184" s="277"/>
      <c r="I184" s="277"/>
      <c r="J184" s="276"/>
      <c r="K184" s="276"/>
      <c r="L184" s="277"/>
      <c r="M184" s="276"/>
      <c r="N184" s="277"/>
      <c r="O184" s="84"/>
    </row>
    <row r="185">
      <c r="A185" s="276"/>
      <c r="B185" s="276"/>
      <c r="C185" s="275"/>
      <c r="D185" s="276"/>
      <c r="E185" s="277"/>
      <c r="F185" s="278"/>
      <c r="G185" s="276"/>
      <c r="H185" s="277"/>
      <c r="I185" s="277"/>
      <c r="J185" s="276"/>
      <c r="K185" s="276"/>
      <c r="L185" s="277"/>
      <c r="M185" s="276"/>
      <c r="N185" s="277"/>
      <c r="O185" s="84"/>
    </row>
    <row r="186">
      <c r="A186" s="276"/>
      <c r="B186" s="276"/>
      <c r="C186" s="275"/>
      <c r="D186" s="276"/>
      <c r="E186" s="277"/>
      <c r="F186" s="278"/>
      <c r="G186" s="276"/>
      <c r="H186" s="277"/>
      <c r="I186" s="277"/>
      <c r="J186" s="276"/>
      <c r="K186" s="276"/>
      <c r="L186" s="277"/>
      <c r="M186" s="276"/>
      <c r="N186" s="277"/>
      <c r="O186" s="84"/>
    </row>
    <row r="187">
      <c r="A187" s="276"/>
      <c r="B187" s="276"/>
      <c r="C187" s="275"/>
      <c r="D187" s="276"/>
      <c r="E187" s="277"/>
      <c r="F187" s="278"/>
      <c r="G187" s="276"/>
      <c r="H187" s="277"/>
      <c r="I187" s="277"/>
      <c r="J187" s="276"/>
      <c r="K187" s="276"/>
      <c r="L187" s="277"/>
      <c r="M187" s="276"/>
      <c r="N187" s="277"/>
      <c r="O187" s="84"/>
    </row>
    <row r="188">
      <c r="A188" s="276"/>
      <c r="B188" s="276"/>
      <c r="C188" s="275"/>
      <c r="D188" s="276"/>
      <c r="E188" s="277"/>
      <c r="F188" s="278"/>
      <c r="G188" s="276"/>
      <c r="H188" s="277"/>
      <c r="I188" s="277"/>
      <c r="J188" s="276"/>
      <c r="K188" s="276"/>
      <c r="L188" s="277"/>
      <c r="M188" s="276"/>
      <c r="N188" s="277"/>
      <c r="O188" s="84"/>
    </row>
    <row r="189">
      <c r="A189" s="276"/>
      <c r="B189" s="276"/>
      <c r="C189" s="275"/>
      <c r="D189" s="276"/>
      <c r="E189" s="277"/>
      <c r="F189" s="278"/>
      <c r="G189" s="276"/>
      <c r="H189" s="277"/>
      <c r="I189" s="277"/>
      <c r="J189" s="276"/>
      <c r="K189" s="276"/>
      <c r="L189" s="277"/>
      <c r="M189" s="276"/>
      <c r="N189" s="277"/>
      <c r="O189" s="84"/>
    </row>
    <row r="190">
      <c r="A190" s="276"/>
      <c r="B190" s="276"/>
      <c r="C190" s="275"/>
      <c r="D190" s="276"/>
      <c r="E190" s="277"/>
      <c r="F190" s="278"/>
      <c r="G190" s="276"/>
      <c r="H190" s="277"/>
      <c r="I190" s="277"/>
      <c r="J190" s="276"/>
      <c r="K190" s="276"/>
      <c r="L190" s="277"/>
      <c r="M190" s="276"/>
      <c r="N190" s="277"/>
      <c r="O190" s="84"/>
    </row>
    <row r="191">
      <c r="A191" s="276"/>
      <c r="B191" s="276"/>
      <c r="C191" s="275"/>
      <c r="D191" s="276"/>
      <c r="E191" s="277"/>
      <c r="F191" s="278"/>
      <c r="G191" s="276"/>
      <c r="H191" s="277"/>
      <c r="I191" s="277"/>
      <c r="J191" s="276"/>
      <c r="K191" s="276"/>
      <c r="L191" s="277"/>
      <c r="M191" s="276"/>
      <c r="N191" s="277"/>
      <c r="O191" s="84"/>
    </row>
    <row r="192">
      <c r="A192" s="276"/>
      <c r="B192" s="276"/>
      <c r="C192" s="275"/>
      <c r="D192" s="276"/>
      <c r="E192" s="277"/>
      <c r="F192" s="278"/>
      <c r="G192" s="276"/>
      <c r="H192" s="277"/>
      <c r="I192" s="277"/>
      <c r="J192" s="276"/>
      <c r="K192" s="276"/>
      <c r="L192" s="277"/>
      <c r="M192" s="276"/>
      <c r="N192" s="277"/>
      <c r="O192" s="84"/>
    </row>
    <row r="193">
      <c r="A193" s="276"/>
      <c r="B193" s="276"/>
      <c r="C193" s="275"/>
      <c r="D193" s="276"/>
      <c r="E193" s="277"/>
      <c r="F193" s="278"/>
      <c r="G193" s="276"/>
      <c r="H193" s="277"/>
      <c r="I193" s="277"/>
      <c r="J193" s="276"/>
      <c r="K193" s="276"/>
      <c r="L193" s="277"/>
      <c r="M193" s="276"/>
      <c r="N193" s="277"/>
      <c r="O193" s="84"/>
    </row>
    <row r="194">
      <c r="A194" s="276"/>
      <c r="B194" s="276"/>
      <c r="C194" s="275"/>
      <c r="D194" s="276"/>
      <c r="E194" s="277"/>
      <c r="F194" s="278"/>
      <c r="G194" s="276"/>
      <c r="H194" s="277"/>
      <c r="I194" s="277"/>
      <c r="J194" s="276"/>
      <c r="K194" s="276"/>
      <c r="L194" s="277"/>
      <c r="M194" s="276"/>
      <c r="N194" s="277"/>
      <c r="O194" s="84"/>
    </row>
    <row r="195">
      <c r="A195" s="276"/>
      <c r="B195" s="276"/>
      <c r="C195" s="275"/>
      <c r="D195" s="276"/>
      <c r="E195" s="277"/>
      <c r="F195" s="278"/>
      <c r="G195" s="276"/>
      <c r="H195" s="277"/>
      <c r="I195" s="277"/>
      <c r="J195" s="276"/>
      <c r="K195" s="276"/>
      <c r="L195" s="277"/>
      <c r="M195" s="276"/>
      <c r="N195" s="277"/>
      <c r="O195" s="84"/>
    </row>
    <row r="196">
      <c r="A196" s="276"/>
      <c r="B196" s="276"/>
      <c r="C196" s="275"/>
      <c r="D196" s="276"/>
      <c r="E196" s="277"/>
      <c r="F196" s="278"/>
      <c r="G196" s="276"/>
      <c r="H196" s="277"/>
      <c r="I196" s="277"/>
      <c r="J196" s="276"/>
      <c r="K196" s="276"/>
      <c r="L196" s="277"/>
      <c r="M196" s="276"/>
      <c r="N196" s="277"/>
      <c r="O196" s="84"/>
    </row>
    <row r="197">
      <c r="A197" s="276"/>
      <c r="B197" s="276"/>
      <c r="C197" s="275"/>
      <c r="D197" s="276"/>
      <c r="E197" s="277"/>
      <c r="F197" s="278"/>
      <c r="G197" s="276"/>
      <c r="H197" s="277"/>
      <c r="I197" s="277"/>
      <c r="J197" s="276"/>
      <c r="K197" s="276"/>
      <c r="L197" s="277"/>
      <c r="M197" s="276"/>
      <c r="N197" s="277"/>
      <c r="O197" s="84"/>
    </row>
    <row r="198">
      <c r="A198" s="276"/>
      <c r="B198" s="276"/>
      <c r="C198" s="275"/>
      <c r="D198" s="276"/>
      <c r="E198" s="277"/>
      <c r="F198" s="278"/>
      <c r="G198" s="276"/>
      <c r="H198" s="277"/>
      <c r="I198" s="277"/>
      <c r="J198" s="276"/>
      <c r="K198" s="276"/>
      <c r="L198" s="277"/>
      <c r="M198" s="276"/>
      <c r="N198" s="277"/>
      <c r="O198" s="84"/>
    </row>
    <row r="199">
      <c r="A199" s="276"/>
      <c r="B199" s="276"/>
      <c r="C199" s="275"/>
      <c r="D199" s="276"/>
      <c r="E199" s="277"/>
      <c r="F199" s="278"/>
      <c r="G199" s="276"/>
      <c r="H199" s="277"/>
      <c r="I199" s="277"/>
      <c r="J199" s="276"/>
      <c r="K199" s="276"/>
      <c r="L199" s="277"/>
      <c r="M199" s="276"/>
      <c r="N199" s="277"/>
      <c r="O199" s="84"/>
    </row>
    <row r="200">
      <c r="A200" s="276"/>
      <c r="B200" s="276"/>
      <c r="C200" s="275"/>
      <c r="D200" s="276"/>
      <c r="E200" s="277"/>
      <c r="F200" s="278"/>
      <c r="G200" s="276"/>
      <c r="H200" s="277"/>
      <c r="I200" s="277"/>
      <c r="J200" s="276"/>
      <c r="K200" s="276"/>
      <c r="L200" s="277"/>
      <c r="M200" s="276"/>
      <c r="N200" s="277"/>
      <c r="O200" s="84"/>
    </row>
    <row r="201">
      <c r="A201" s="276"/>
      <c r="B201" s="276"/>
      <c r="C201" s="275"/>
      <c r="D201" s="276"/>
      <c r="E201" s="277"/>
      <c r="F201" s="278"/>
      <c r="G201" s="276"/>
      <c r="H201" s="277"/>
      <c r="I201" s="277"/>
      <c r="J201" s="276"/>
      <c r="K201" s="276"/>
      <c r="L201" s="277"/>
      <c r="M201" s="276"/>
      <c r="N201" s="277"/>
      <c r="O201" s="84"/>
    </row>
    <row r="202">
      <c r="A202" s="276"/>
      <c r="B202" s="276"/>
      <c r="C202" s="275"/>
      <c r="D202" s="276"/>
      <c r="E202" s="277"/>
      <c r="F202" s="278"/>
      <c r="G202" s="276"/>
      <c r="H202" s="277"/>
      <c r="I202" s="277"/>
      <c r="J202" s="276"/>
      <c r="K202" s="276"/>
      <c r="L202" s="277"/>
      <c r="M202" s="276"/>
      <c r="N202" s="277"/>
      <c r="O202" s="84"/>
    </row>
    <row r="203">
      <c r="A203" s="276"/>
      <c r="B203" s="276"/>
      <c r="C203" s="275"/>
      <c r="D203" s="276"/>
      <c r="E203" s="277"/>
      <c r="F203" s="278"/>
      <c r="G203" s="276"/>
      <c r="H203" s="277"/>
      <c r="I203" s="277"/>
      <c r="J203" s="276"/>
      <c r="K203" s="276"/>
      <c r="L203" s="277"/>
      <c r="M203" s="276"/>
      <c r="N203" s="277"/>
      <c r="O203" s="84"/>
    </row>
    <row r="204">
      <c r="A204" s="276"/>
      <c r="B204" s="276"/>
      <c r="C204" s="275"/>
      <c r="D204" s="276"/>
      <c r="E204" s="277"/>
      <c r="F204" s="278"/>
      <c r="G204" s="276"/>
      <c r="H204" s="277"/>
      <c r="I204" s="277"/>
      <c r="J204" s="276"/>
      <c r="K204" s="276"/>
      <c r="L204" s="277"/>
      <c r="M204" s="276"/>
      <c r="N204" s="277"/>
      <c r="O204" s="84"/>
    </row>
    <row r="205">
      <c r="A205" s="276"/>
      <c r="B205" s="276"/>
      <c r="C205" s="275"/>
      <c r="D205" s="276"/>
      <c r="E205" s="277"/>
      <c r="F205" s="278"/>
      <c r="G205" s="276"/>
      <c r="H205" s="277"/>
      <c r="I205" s="277"/>
      <c r="J205" s="276"/>
      <c r="K205" s="276"/>
      <c r="L205" s="277"/>
      <c r="M205" s="276"/>
      <c r="N205" s="277"/>
      <c r="O205" s="84"/>
    </row>
    <row r="206">
      <c r="A206" s="276"/>
      <c r="B206" s="276"/>
      <c r="C206" s="275"/>
      <c r="D206" s="276"/>
      <c r="E206" s="277"/>
      <c r="F206" s="278"/>
      <c r="G206" s="276"/>
      <c r="H206" s="277"/>
      <c r="I206" s="277"/>
      <c r="J206" s="276"/>
      <c r="K206" s="276"/>
      <c r="L206" s="277"/>
      <c r="M206" s="276"/>
      <c r="N206" s="277"/>
      <c r="O206" s="84"/>
    </row>
    <row r="207">
      <c r="A207" s="276"/>
      <c r="B207" s="276"/>
      <c r="C207" s="275"/>
      <c r="D207" s="276"/>
      <c r="E207" s="277"/>
      <c r="F207" s="278"/>
      <c r="G207" s="276"/>
      <c r="H207" s="277"/>
      <c r="I207" s="277"/>
      <c r="J207" s="276"/>
      <c r="K207" s="276"/>
      <c r="L207" s="277"/>
      <c r="M207" s="276"/>
      <c r="N207" s="277"/>
      <c r="O207" s="84"/>
    </row>
    <row r="208">
      <c r="A208" s="276"/>
      <c r="B208" s="276"/>
      <c r="C208" s="275"/>
      <c r="D208" s="276"/>
      <c r="E208" s="277"/>
      <c r="F208" s="278"/>
      <c r="G208" s="276"/>
      <c r="H208" s="277"/>
      <c r="I208" s="277"/>
      <c r="J208" s="276"/>
      <c r="K208" s="276"/>
      <c r="L208" s="277"/>
      <c r="M208" s="276"/>
      <c r="N208" s="277"/>
      <c r="O208" s="84"/>
    </row>
    <row r="209">
      <c r="A209" s="276"/>
      <c r="B209" s="276"/>
      <c r="C209" s="275"/>
      <c r="D209" s="276"/>
      <c r="E209" s="277"/>
      <c r="F209" s="278"/>
      <c r="G209" s="276"/>
      <c r="H209" s="277"/>
      <c r="I209" s="277"/>
      <c r="J209" s="276"/>
      <c r="K209" s="276"/>
      <c r="L209" s="277"/>
      <c r="M209" s="276"/>
      <c r="N209" s="277"/>
      <c r="O209" s="84"/>
    </row>
    <row r="210">
      <c r="A210" s="276"/>
      <c r="B210" s="276"/>
      <c r="C210" s="275"/>
      <c r="D210" s="276"/>
      <c r="E210" s="277"/>
      <c r="F210" s="278"/>
      <c r="G210" s="276"/>
      <c r="H210" s="277"/>
      <c r="I210" s="277"/>
      <c r="J210" s="276"/>
      <c r="K210" s="276"/>
      <c r="L210" s="277"/>
      <c r="M210" s="276"/>
      <c r="N210" s="277"/>
      <c r="O210" s="84"/>
    </row>
    <row r="211">
      <c r="A211" s="276"/>
      <c r="B211" s="276"/>
      <c r="C211" s="275"/>
      <c r="D211" s="276"/>
      <c r="E211" s="277"/>
      <c r="F211" s="278"/>
      <c r="G211" s="276"/>
      <c r="H211" s="277"/>
      <c r="I211" s="277"/>
      <c r="J211" s="276"/>
      <c r="K211" s="276"/>
      <c r="L211" s="277"/>
      <c r="M211" s="276"/>
      <c r="N211" s="277"/>
      <c r="O211" s="84"/>
    </row>
    <row r="212">
      <c r="A212" s="276"/>
      <c r="B212" s="276"/>
      <c r="C212" s="275"/>
      <c r="D212" s="276"/>
      <c r="E212" s="277"/>
      <c r="F212" s="278"/>
      <c r="G212" s="276"/>
      <c r="H212" s="277"/>
      <c r="I212" s="277"/>
      <c r="J212" s="276"/>
      <c r="K212" s="276"/>
      <c r="L212" s="277"/>
      <c r="M212" s="276"/>
      <c r="N212" s="277"/>
      <c r="O212" s="84"/>
    </row>
    <row r="213">
      <c r="A213" s="276"/>
      <c r="B213" s="276"/>
      <c r="C213" s="275"/>
      <c r="D213" s="276"/>
      <c r="E213" s="277"/>
      <c r="F213" s="278"/>
      <c r="G213" s="276"/>
      <c r="H213" s="277"/>
      <c r="I213" s="277"/>
      <c r="J213" s="276"/>
      <c r="K213" s="276"/>
      <c r="L213" s="277"/>
      <c r="M213" s="276"/>
      <c r="N213" s="277"/>
      <c r="O213" s="84"/>
    </row>
    <row r="214">
      <c r="A214" s="276"/>
      <c r="B214" s="276"/>
      <c r="C214" s="275"/>
      <c r="D214" s="276"/>
      <c r="E214" s="277"/>
      <c r="F214" s="278"/>
      <c r="G214" s="276"/>
      <c r="H214" s="277"/>
      <c r="I214" s="277"/>
      <c r="J214" s="276"/>
      <c r="K214" s="276"/>
      <c r="L214" s="277"/>
      <c r="M214" s="276"/>
      <c r="N214" s="277"/>
      <c r="O214" s="84"/>
    </row>
    <row r="215">
      <c r="A215" s="276"/>
      <c r="B215" s="276"/>
      <c r="C215" s="275"/>
      <c r="D215" s="276"/>
      <c r="E215" s="277"/>
      <c r="F215" s="278"/>
      <c r="G215" s="276"/>
      <c r="H215" s="277"/>
      <c r="I215" s="277"/>
      <c r="J215" s="276"/>
      <c r="K215" s="276"/>
      <c r="L215" s="277"/>
      <c r="M215" s="276"/>
      <c r="N215" s="277"/>
      <c r="O215" s="84"/>
    </row>
    <row r="216">
      <c r="A216" s="276"/>
      <c r="B216" s="276"/>
      <c r="C216" s="275"/>
      <c r="D216" s="276"/>
      <c r="E216" s="277"/>
      <c r="F216" s="278"/>
      <c r="G216" s="276"/>
      <c r="H216" s="277"/>
      <c r="I216" s="277"/>
      <c r="J216" s="276"/>
      <c r="K216" s="276"/>
      <c r="L216" s="277"/>
      <c r="M216" s="276"/>
      <c r="N216" s="277"/>
      <c r="O216" s="84"/>
    </row>
    <row r="217">
      <c r="A217" s="276"/>
      <c r="B217" s="276"/>
      <c r="C217" s="275"/>
      <c r="D217" s="276"/>
      <c r="E217" s="277"/>
      <c r="F217" s="278"/>
      <c r="G217" s="276"/>
      <c r="H217" s="277"/>
      <c r="I217" s="277"/>
      <c r="J217" s="276"/>
      <c r="K217" s="276"/>
      <c r="L217" s="277"/>
      <c r="M217" s="276"/>
      <c r="N217" s="277"/>
      <c r="O217" s="84"/>
    </row>
    <row r="218">
      <c r="A218" s="276"/>
      <c r="B218" s="276"/>
      <c r="C218" s="275"/>
      <c r="D218" s="276"/>
      <c r="E218" s="277"/>
      <c r="F218" s="278"/>
      <c r="G218" s="276"/>
      <c r="H218" s="277"/>
      <c r="I218" s="277"/>
      <c r="J218" s="276"/>
      <c r="K218" s="276"/>
      <c r="L218" s="277"/>
      <c r="M218" s="276"/>
      <c r="N218" s="277"/>
      <c r="O218" s="84"/>
    </row>
    <row r="219">
      <c r="A219" s="276"/>
      <c r="B219" s="276"/>
      <c r="C219" s="275"/>
      <c r="D219" s="276"/>
      <c r="E219" s="277"/>
      <c r="F219" s="278"/>
      <c r="G219" s="276"/>
      <c r="H219" s="277"/>
      <c r="I219" s="277"/>
      <c r="J219" s="276"/>
      <c r="K219" s="276"/>
      <c r="L219" s="277"/>
      <c r="M219" s="276"/>
      <c r="N219" s="277"/>
      <c r="O219" s="84"/>
    </row>
    <row r="220">
      <c r="A220" s="276"/>
      <c r="B220" s="276"/>
      <c r="C220" s="275"/>
      <c r="D220" s="276"/>
      <c r="E220" s="277"/>
      <c r="F220" s="278"/>
      <c r="G220" s="276"/>
      <c r="H220" s="277"/>
      <c r="I220" s="277"/>
      <c r="J220" s="276"/>
      <c r="K220" s="276"/>
      <c r="L220" s="277"/>
      <c r="M220" s="276"/>
      <c r="N220" s="277"/>
      <c r="O220" s="84"/>
    </row>
    <row r="221">
      <c r="A221" s="276"/>
      <c r="B221" s="276"/>
      <c r="C221" s="275"/>
      <c r="D221" s="276"/>
      <c r="E221" s="277"/>
      <c r="F221" s="278"/>
      <c r="G221" s="276"/>
      <c r="H221" s="277"/>
      <c r="I221" s="277"/>
      <c r="J221" s="276"/>
      <c r="K221" s="276"/>
      <c r="L221" s="277"/>
      <c r="M221" s="276"/>
      <c r="N221" s="277"/>
      <c r="O221" s="84"/>
    </row>
    <row r="222">
      <c r="A222" s="276"/>
      <c r="B222" s="276"/>
      <c r="C222" s="275"/>
      <c r="D222" s="276"/>
      <c r="E222" s="277"/>
      <c r="F222" s="278"/>
      <c r="G222" s="276"/>
      <c r="H222" s="277"/>
      <c r="I222" s="277"/>
      <c r="J222" s="276"/>
      <c r="K222" s="276"/>
      <c r="L222" s="277"/>
      <c r="M222" s="276"/>
      <c r="N222" s="277"/>
      <c r="O222" s="84"/>
    </row>
    <row r="223">
      <c r="A223" s="276"/>
      <c r="B223" s="276"/>
      <c r="C223" s="275"/>
      <c r="D223" s="276"/>
      <c r="E223" s="277"/>
      <c r="F223" s="278"/>
      <c r="G223" s="276"/>
      <c r="H223" s="277"/>
      <c r="I223" s="277"/>
      <c r="J223" s="276"/>
      <c r="K223" s="276"/>
      <c r="L223" s="277"/>
      <c r="M223" s="276"/>
      <c r="N223" s="277"/>
      <c r="O223" s="84"/>
    </row>
    <row r="224">
      <c r="A224" s="276"/>
      <c r="B224" s="276"/>
      <c r="C224" s="275"/>
      <c r="D224" s="276"/>
      <c r="E224" s="277"/>
      <c r="F224" s="278"/>
      <c r="G224" s="276"/>
      <c r="H224" s="277"/>
      <c r="I224" s="277"/>
      <c r="J224" s="276"/>
      <c r="K224" s="276"/>
      <c r="L224" s="277"/>
      <c r="M224" s="276"/>
      <c r="N224" s="277"/>
      <c r="O224" s="84"/>
    </row>
    <row r="225">
      <c r="A225" s="276"/>
      <c r="B225" s="276"/>
      <c r="C225" s="275"/>
      <c r="D225" s="276"/>
      <c r="E225" s="277"/>
      <c r="F225" s="278"/>
      <c r="G225" s="276"/>
      <c r="H225" s="277"/>
      <c r="I225" s="277"/>
      <c r="J225" s="276"/>
      <c r="K225" s="276"/>
      <c r="L225" s="277"/>
      <c r="M225" s="276"/>
      <c r="N225" s="277"/>
      <c r="O225" s="84"/>
    </row>
    <row r="226">
      <c r="A226" s="276"/>
      <c r="B226" s="276"/>
      <c r="C226" s="275"/>
      <c r="D226" s="276"/>
      <c r="E226" s="277"/>
      <c r="F226" s="278"/>
      <c r="G226" s="276"/>
      <c r="H226" s="277"/>
      <c r="I226" s="277"/>
      <c r="J226" s="276"/>
      <c r="K226" s="276"/>
      <c r="L226" s="277"/>
      <c r="M226" s="276"/>
      <c r="N226" s="277"/>
      <c r="O226" s="84"/>
    </row>
    <row r="227">
      <c r="A227" s="276"/>
      <c r="B227" s="276"/>
      <c r="C227" s="275"/>
      <c r="D227" s="276"/>
      <c r="E227" s="277"/>
      <c r="F227" s="278"/>
      <c r="G227" s="276"/>
      <c r="H227" s="277"/>
      <c r="I227" s="277"/>
      <c r="J227" s="276"/>
      <c r="K227" s="276"/>
      <c r="L227" s="277"/>
      <c r="M227" s="276"/>
      <c r="N227" s="277"/>
      <c r="O227" s="84"/>
    </row>
    <row r="228">
      <c r="A228" s="276"/>
      <c r="B228" s="276"/>
      <c r="C228" s="275"/>
      <c r="D228" s="276"/>
      <c r="E228" s="277"/>
      <c r="F228" s="278"/>
      <c r="G228" s="276"/>
      <c r="H228" s="277"/>
      <c r="I228" s="277"/>
      <c r="J228" s="276"/>
      <c r="K228" s="276"/>
      <c r="L228" s="277"/>
      <c r="M228" s="276"/>
      <c r="N228" s="277"/>
      <c r="O228" s="84"/>
    </row>
    <row r="229">
      <c r="A229" s="276"/>
      <c r="B229" s="276"/>
      <c r="C229" s="275"/>
      <c r="D229" s="276"/>
      <c r="E229" s="277"/>
      <c r="F229" s="278"/>
      <c r="G229" s="276"/>
      <c r="H229" s="277"/>
      <c r="I229" s="277"/>
      <c r="J229" s="276"/>
      <c r="K229" s="276"/>
      <c r="L229" s="277"/>
      <c r="M229" s="276"/>
      <c r="N229" s="277"/>
      <c r="O229" s="84"/>
    </row>
    <row r="230">
      <c r="A230" s="276"/>
      <c r="B230" s="276"/>
      <c r="C230" s="275"/>
      <c r="D230" s="276"/>
      <c r="E230" s="277"/>
      <c r="F230" s="278"/>
      <c r="G230" s="276"/>
      <c r="H230" s="277"/>
      <c r="I230" s="277"/>
      <c r="J230" s="276"/>
      <c r="K230" s="276"/>
      <c r="L230" s="277"/>
      <c r="M230" s="276"/>
      <c r="N230" s="277"/>
      <c r="O230" s="84"/>
    </row>
    <row r="231">
      <c r="A231" s="276"/>
      <c r="B231" s="276"/>
      <c r="C231" s="275"/>
      <c r="D231" s="276"/>
      <c r="E231" s="277"/>
      <c r="F231" s="278"/>
      <c r="G231" s="276"/>
      <c r="H231" s="277"/>
      <c r="I231" s="277"/>
      <c r="J231" s="276"/>
      <c r="K231" s="276"/>
      <c r="L231" s="277"/>
      <c r="M231" s="276"/>
      <c r="N231" s="277"/>
      <c r="O231" s="84"/>
    </row>
    <row r="232">
      <c r="A232" s="276"/>
      <c r="B232" s="276"/>
      <c r="C232" s="275"/>
      <c r="D232" s="276"/>
      <c r="E232" s="277"/>
      <c r="F232" s="278"/>
      <c r="G232" s="276"/>
      <c r="H232" s="277"/>
      <c r="I232" s="277"/>
      <c r="J232" s="276"/>
      <c r="K232" s="276"/>
      <c r="L232" s="277"/>
      <c r="M232" s="276"/>
      <c r="N232" s="277"/>
      <c r="O232" s="84"/>
    </row>
    <row r="233">
      <c r="A233" s="276"/>
      <c r="B233" s="276"/>
      <c r="C233" s="275"/>
      <c r="D233" s="276"/>
      <c r="E233" s="277"/>
      <c r="F233" s="278"/>
      <c r="G233" s="276"/>
      <c r="H233" s="277"/>
      <c r="I233" s="277"/>
      <c r="J233" s="276"/>
      <c r="K233" s="276"/>
      <c r="L233" s="277"/>
      <c r="M233" s="276"/>
      <c r="N233" s="277"/>
      <c r="O233" s="84"/>
    </row>
    <row r="234">
      <c r="A234" s="276"/>
      <c r="B234" s="276"/>
      <c r="C234" s="275"/>
      <c r="D234" s="276"/>
      <c r="E234" s="277"/>
      <c r="F234" s="278"/>
      <c r="G234" s="276"/>
      <c r="H234" s="277"/>
      <c r="I234" s="277"/>
      <c r="J234" s="276"/>
      <c r="K234" s="276"/>
      <c r="L234" s="277"/>
      <c r="M234" s="276"/>
      <c r="N234" s="277"/>
      <c r="O234" s="84"/>
    </row>
    <row r="235">
      <c r="A235" s="276"/>
      <c r="B235" s="276"/>
      <c r="C235" s="275"/>
      <c r="D235" s="276"/>
      <c r="E235" s="277"/>
      <c r="F235" s="278"/>
      <c r="G235" s="276"/>
      <c r="H235" s="277"/>
      <c r="I235" s="277"/>
      <c r="J235" s="276"/>
      <c r="K235" s="276"/>
      <c r="L235" s="277"/>
      <c r="M235" s="276"/>
      <c r="N235" s="277"/>
      <c r="O235" s="84"/>
    </row>
    <row r="236">
      <c r="A236" s="276"/>
      <c r="B236" s="276"/>
      <c r="C236" s="275"/>
      <c r="D236" s="276"/>
      <c r="E236" s="277"/>
      <c r="F236" s="278"/>
      <c r="G236" s="276"/>
      <c r="H236" s="277"/>
      <c r="I236" s="277"/>
      <c r="J236" s="276"/>
      <c r="K236" s="276"/>
      <c r="L236" s="277"/>
      <c r="M236" s="276"/>
      <c r="N236" s="277"/>
      <c r="O236" s="84"/>
    </row>
    <row r="237">
      <c r="A237" s="276"/>
      <c r="B237" s="276"/>
      <c r="C237" s="275"/>
      <c r="D237" s="276"/>
      <c r="E237" s="277"/>
      <c r="F237" s="278"/>
      <c r="G237" s="276"/>
      <c r="H237" s="277"/>
      <c r="I237" s="277"/>
      <c r="J237" s="276"/>
      <c r="K237" s="276"/>
      <c r="L237" s="277"/>
      <c r="M237" s="276"/>
      <c r="N237" s="277"/>
      <c r="O237" s="84"/>
    </row>
    <row r="238">
      <c r="A238" s="276"/>
      <c r="B238" s="276"/>
      <c r="C238" s="275"/>
      <c r="D238" s="276"/>
      <c r="E238" s="277"/>
      <c r="F238" s="278"/>
      <c r="G238" s="276"/>
      <c r="H238" s="277"/>
      <c r="I238" s="277"/>
      <c r="J238" s="276"/>
      <c r="K238" s="276"/>
      <c r="L238" s="277"/>
      <c r="M238" s="276"/>
      <c r="N238" s="277"/>
      <c r="O238" s="84"/>
    </row>
    <row r="239">
      <c r="A239" s="276"/>
      <c r="B239" s="276"/>
      <c r="C239" s="275"/>
      <c r="D239" s="276"/>
      <c r="E239" s="277"/>
      <c r="F239" s="278"/>
      <c r="G239" s="276"/>
      <c r="H239" s="277"/>
      <c r="I239" s="277"/>
      <c r="J239" s="276"/>
      <c r="K239" s="276"/>
      <c r="L239" s="277"/>
      <c r="M239" s="276"/>
      <c r="N239" s="277"/>
      <c r="O239" s="84"/>
    </row>
    <row r="240">
      <c r="A240" s="276"/>
      <c r="B240" s="276"/>
      <c r="C240" s="275"/>
      <c r="D240" s="276"/>
      <c r="E240" s="277"/>
      <c r="F240" s="278"/>
      <c r="G240" s="276"/>
      <c r="H240" s="277"/>
      <c r="I240" s="277"/>
      <c r="J240" s="276"/>
      <c r="K240" s="276"/>
      <c r="L240" s="277"/>
      <c r="M240" s="276"/>
      <c r="N240" s="277"/>
      <c r="O240" s="84"/>
    </row>
    <row r="241">
      <c r="A241" s="276"/>
      <c r="B241" s="276"/>
      <c r="C241" s="275"/>
      <c r="D241" s="276"/>
      <c r="E241" s="277"/>
      <c r="F241" s="278"/>
      <c r="G241" s="276"/>
      <c r="H241" s="277"/>
      <c r="I241" s="277"/>
      <c r="J241" s="276"/>
      <c r="K241" s="276"/>
      <c r="L241" s="277"/>
      <c r="M241" s="276"/>
      <c r="N241" s="277"/>
      <c r="O241" s="84"/>
    </row>
    <row r="242">
      <c r="A242" s="276"/>
      <c r="B242" s="276"/>
      <c r="C242" s="275"/>
      <c r="D242" s="276"/>
      <c r="E242" s="277"/>
      <c r="F242" s="278"/>
      <c r="G242" s="276"/>
      <c r="H242" s="277"/>
      <c r="I242" s="277"/>
      <c r="J242" s="276"/>
      <c r="K242" s="276"/>
      <c r="L242" s="277"/>
      <c r="M242" s="276"/>
      <c r="N242" s="277"/>
      <c r="O242" s="84"/>
    </row>
    <row r="243">
      <c r="A243" s="276"/>
      <c r="B243" s="276"/>
      <c r="C243" s="275"/>
      <c r="D243" s="276"/>
      <c r="E243" s="277"/>
      <c r="F243" s="278"/>
      <c r="G243" s="276"/>
      <c r="H243" s="277"/>
      <c r="I243" s="277"/>
      <c r="J243" s="276"/>
      <c r="K243" s="276"/>
      <c r="L243" s="277"/>
      <c r="M243" s="276"/>
      <c r="N243" s="277"/>
      <c r="O243" s="84"/>
    </row>
    <row r="244">
      <c r="A244" s="276"/>
      <c r="B244" s="276"/>
      <c r="C244" s="275"/>
      <c r="D244" s="276"/>
      <c r="E244" s="277"/>
      <c r="F244" s="277"/>
      <c r="G244" s="276"/>
      <c r="H244" s="277"/>
      <c r="I244" s="277"/>
      <c r="J244" s="276"/>
      <c r="K244" s="276"/>
      <c r="L244" s="277"/>
      <c r="M244" s="276"/>
      <c r="N244" s="277"/>
      <c r="O244" s="84"/>
    </row>
    <row r="245">
      <c r="A245" s="276"/>
      <c r="B245" s="276"/>
      <c r="C245" s="275"/>
      <c r="D245" s="276"/>
      <c r="E245" s="277"/>
      <c r="F245" s="277"/>
      <c r="G245" s="276"/>
      <c r="H245" s="277"/>
      <c r="I245" s="277"/>
      <c r="J245" s="276"/>
      <c r="K245" s="276"/>
      <c r="L245" s="277"/>
      <c r="M245" s="276"/>
      <c r="N245" s="277"/>
      <c r="O245" s="84"/>
    </row>
    <row r="246">
      <c r="A246" s="276"/>
      <c r="B246" s="276"/>
      <c r="C246" s="275"/>
      <c r="D246" s="276"/>
      <c r="E246" s="277"/>
      <c r="F246" s="277"/>
      <c r="G246" s="276"/>
      <c r="H246" s="277"/>
      <c r="I246" s="277"/>
      <c r="J246" s="276"/>
      <c r="K246" s="276"/>
      <c r="L246" s="277"/>
      <c r="M246" s="276"/>
      <c r="N246" s="277"/>
      <c r="O246" s="84"/>
    </row>
    <row r="247">
      <c r="A247" s="266" t="str">
        <v>Mr. DIY</v>
      </c>
      <c r="B247" s="266" t="str">
        <v>Sugi (Partner)</v>
      </c>
      <c r="C247" s="269"/>
      <c r="D247" s="272" t="str">
        <v>+62 813-8327-0771</v>
      </c>
      <c r="E247" s="266" t="str">
        <v>Feasibility Check</v>
      </c>
      <c r="F247" s="266"/>
      <c r="G247" s="270">
        <v>0.4</v>
      </c>
      <c r="H247" s="266"/>
      <c r="I247" s="266"/>
      <c r="J247" s="266" t="str">
        <v>Titan</v>
      </c>
      <c r="K247" s="266" t="str">
        <v>Lossa</v>
      </c>
      <c r="L247" s="274">
        <v>0.4</v>
      </c>
      <c r="M247" s="267">
        <v>46048</v>
      </c>
      <c r="N247" s="266" t="str">
        <v>Feasibility check confrim w PSE</v>
      </c>
      <c r="O247" s="271"/>
    </row>
    <row r="248">
      <c r="A248" s="279" t="str">
        <v>PT Gisara Tantra Berkarya</v>
      </c>
      <c r="B248" s="279" t="str">
        <v>Arief</v>
      </c>
      <c r="C248" s="281"/>
      <c r="D248" s="279" t="str">
        <v>+62 853-8848-6826‬</v>
      </c>
      <c r="E248" s="294" t="str">
        <v>Lost</v>
      </c>
      <c r="F248" s="279"/>
      <c r="G248" s="282">
        <v>0</v>
      </c>
      <c r="H248" s="293">
        <v>45989</v>
      </c>
      <c r="I248" s="279"/>
      <c r="J248" s="279"/>
      <c r="K248" s="279" t="str">
        <v>Amel</v>
      </c>
      <c r="L248" s="280">
        <v>0</v>
      </c>
      <c r="M248" s="285"/>
      <c r="N248" s="279" t="str">
        <v>handover to academy</v>
      </c>
      <c r="O248" s="296" t="s">
        <v>411</v>
      </c>
    </row>
    <row r="249">
      <c r="A249" s="266" t="str">
        <v>Astra Financial (Connectinx)</v>
      </c>
      <c r="B249" s="266" t="str">
        <v>Prescilla Siregar</v>
      </c>
      <c r="C249" s="269"/>
      <c r="D249" s="272">
        <f>+6281317893023</f>
      </c>
      <c r="E249" s="266" t="str">
        <v>Feasibility Check</v>
      </c>
      <c r="F249" s="268"/>
      <c r="G249" s="270">
        <v>0.4</v>
      </c>
      <c r="H249" s="266"/>
      <c r="I249" s="266"/>
      <c r="J249" s="266" t="str">
        <v>Rani</v>
      </c>
      <c r="K249" s="266" t="str">
        <v>Lossa</v>
      </c>
      <c r="L249" s="274">
        <v>0.4</v>
      </c>
      <c r="M249" s="267">
        <v>46030</v>
      </c>
      <c r="N249" s="266" t="str">
        <v>Menunggu ketersediaan untuk Meeting dengan Tim terkait estimasi end of Januari</v>
      </c>
      <c r="O249" s="319"/>
    </row>
    <row r="250">
      <c r="A250" s="279" t="str">
        <v>Bluebird</v>
      </c>
      <c r="B250" s="279" t="str">
        <v>Tengkyu Febry</v>
      </c>
      <c r="C250" s="281"/>
      <c r="D250" s="279" t="str">
        <v>‪+62 812‑9729‑2030‬</v>
      </c>
      <c r="E250" s="279" t="str">
        <v>Demo/Call of Interest</v>
      </c>
      <c r="F250" s="284"/>
      <c r="G250" s="282">
        <v>0.25</v>
      </c>
      <c r="H250" s="279"/>
      <c r="I250" s="279"/>
      <c r="J250" s="279" t="str">
        <v>Rani</v>
      </c>
      <c r="K250" s="279" t="str">
        <v>Lossa</v>
      </c>
      <c r="L250" s="280">
        <v>0.25</v>
      </c>
      <c r="M250" s="267">
        <v>46048</v>
      </c>
      <c r="N250" s="279" t="str">
        <v>Menunggu Proposal Concept dari PSE</v>
      </c>
      <c r="O250" s="283"/>
    </row>
    <row r="251">
      <c r="A251" s="266" t="str">
        <v>Hypernet</v>
      </c>
      <c r="B251" s="266" t="str">
        <v>Simon</v>
      </c>
      <c r="C251" s="290" t="s">
        <v>409</v>
      </c>
      <c r="D251" s="272"/>
      <c r="E251" s="266" t="str">
        <v>Proposal made</v>
      </c>
      <c r="F251" s="278"/>
      <c r="G251" s="270">
        <v>0.5</v>
      </c>
      <c r="H251" s="273">
        <v>45994</v>
      </c>
      <c r="I251" s="266"/>
      <c r="J251" s="266" t="str">
        <v>Titan</v>
      </c>
      <c r="K251" s="266" t="str">
        <v>Lossa</v>
      </c>
      <c r="L251" s="274">
        <v>0.5</v>
      </c>
      <c r="M251" s="267">
        <v>46057</v>
      </c>
      <c r="N251" s="266" t="str">
        <v>Project on hold</v>
      </c>
      <c r="O251" s="295" t="s">
        <v>410</v>
      </c>
    </row>
    <row r="252">
      <c r="A252" s="279" t="str">
        <v>Shopee Express (PT. Nusantara Express Kilat)</v>
      </c>
      <c r="B252" s="279" t="str">
        <v>Luana</v>
      </c>
      <c r="C252" s="289" t="s">
        <v>404</v>
      </c>
      <c r="D252" s="279">
        <f>+6282124877058</f>
      </c>
      <c r="E252" s="294" t="str">
        <v>Lost</v>
      </c>
      <c r="F252" s="279"/>
      <c r="G252" s="282">
        <v>0</v>
      </c>
      <c r="H252" s="293">
        <v>45995</v>
      </c>
      <c r="I252" s="279"/>
      <c r="J252" s="279" t="str">
        <v>Andrew</v>
      </c>
      <c r="K252" s="279" t="str">
        <v>Lossa</v>
      </c>
      <c r="L252" s="280">
        <v>0</v>
      </c>
      <c r="M252" s="267">
        <v>46003</v>
      </c>
      <c r="N252" s="279"/>
      <c r="O252" s="296" t="s">
        <v>405</v>
      </c>
    </row>
    <row r="253">
      <c r="A253" s="266" t="str">
        <v>My Republic</v>
      </c>
      <c r="B253" s="266" t="str">
        <v>Isnur (Partner)</v>
      </c>
      <c r="C253" s="269"/>
      <c r="D253" s="272" t="str">
        <v>+62 812-1024-797</v>
      </c>
      <c r="E253" s="266" t="str">
        <v>Contacted</v>
      </c>
      <c r="F253" s="268"/>
      <c r="G253" s="270">
        <v>0.1</v>
      </c>
      <c r="H253" s="266"/>
      <c r="I253" s="266"/>
      <c r="J253" s="266" t="str">
        <v>Titan</v>
      </c>
      <c r="K253" s="266" t="str">
        <v>Amel</v>
      </c>
      <c r="L253" s="274">
        <v>0.1</v>
      </c>
      <c r="M253" s="287">
        <v>46062</v>
      </c>
      <c r="N253" s="266" t="str">
        <v>Menunggu kabar dari pak isnur, FU Senin</v>
      </c>
      <c r="O253" s="271"/>
    </row>
    <row r="254">
      <c r="A254" s="279" t="str">
        <v>Pasifik Satelit Nusantara</v>
      </c>
      <c r="B254" s="266" t="str">
        <v>Sugi (Partner)</v>
      </c>
      <c r="C254" s="318" t="s">
        <v>402</v>
      </c>
      <c r="D254" s="279"/>
      <c r="E254" s="279" t="str">
        <v>Demo/Call of Interest</v>
      </c>
      <c r="F254" s="284"/>
      <c r="G254" s="282">
        <v>0.25</v>
      </c>
      <c r="H254" s="293">
        <v>45999</v>
      </c>
      <c r="I254" s="279"/>
      <c r="J254" s="279" t="str">
        <v>Titan</v>
      </c>
      <c r="K254" s="279" t="str">
        <v>Lossa</v>
      </c>
      <c r="L254" s="280">
        <v>0.25</v>
      </c>
      <c r="M254" s="267">
        <v>46057</v>
      </c>
      <c r="N254" s="279" t="str">
        <v>Management presentation</v>
      </c>
      <c r="O254" s="283"/>
    </row>
    <row r="255">
      <c r="A255" s="266" t="str">
        <v>TechConnect</v>
      </c>
      <c r="B255" s="266" t="str">
        <v>Kornelis Putera Karunia Zebua</v>
      </c>
      <c r="C255" s="320"/>
      <c r="D255" s="272">
        <f>+6281322441516</f>
      </c>
      <c r="E255" s="266" t="str">
        <v>Contacted</v>
      </c>
      <c r="F255" s="268"/>
      <c r="G255" s="270">
        <v>0.1</v>
      </c>
      <c r="H255" s="266"/>
      <c r="I255" s="266"/>
      <c r="J255" s="266"/>
      <c r="K255" s="266"/>
      <c r="L255" s="274">
        <v>0.1</v>
      </c>
      <c r="M255" s="267">
        <v>46028</v>
      </c>
      <c r="N255" s="266" t="str">
        <v>Follow up 02/01</v>
      </c>
      <c r="O255" s="271"/>
    </row>
    <row r="256">
      <c r="A256" s="279" t="str">
        <v>Exact Global</v>
      </c>
      <c r="B256" s="279" t="str">
        <v>Arry M Manaf</v>
      </c>
      <c r="C256" s="84"/>
      <c r="D256" s="279">
        <f>+6282113119101</f>
      </c>
      <c r="E256" s="279" t="str">
        <v>Contacted</v>
      </c>
      <c r="F256" s="284"/>
      <c r="G256" s="282">
        <v>0.1</v>
      </c>
      <c r="H256" s="279"/>
      <c r="I256" s="279"/>
      <c r="J256" s="279"/>
      <c r="K256" s="279"/>
      <c r="L256" s="280">
        <v>0.1</v>
      </c>
      <c r="M256" s="267">
        <v>46028</v>
      </c>
      <c r="N256" s="266" t="str">
        <v>Follow up 16/12</v>
      </c>
      <c r="O256" s="283"/>
    </row>
    <row r="257">
      <c r="A257" s="266" t="str">
        <v>Medco E&amp;P Indonesia</v>
      </c>
      <c r="B257" s="84" t="str">
        <v>Rosaline Butarbutar</v>
      </c>
      <c r="C257" s="269"/>
      <c r="D257" s="272">
        <f>+62811833532</f>
      </c>
      <c r="E257" s="266" t="str">
        <v>Contacted</v>
      </c>
      <c r="F257" s="268"/>
      <c r="G257" s="270">
        <v>0.1</v>
      </c>
      <c r="H257" s="266"/>
      <c r="I257" s="266"/>
      <c r="J257" s="266"/>
      <c r="K257" s="266"/>
      <c r="L257" s="274">
        <v>0.1</v>
      </c>
      <c r="M257" s="267">
        <v>46028</v>
      </c>
      <c r="N257" s="266" t="str">
        <v>Follow up 16/12</v>
      </c>
      <c r="O257" s="271"/>
    </row>
    <row r="258">
      <c r="A258" s="279" t="str">
        <v>Shell</v>
      </c>
      <c r="B258" s="279" t="str">
        <v>Baginda Siregar</v>
      </c>
      <c r="C258" s="281"/>
      <c r="D258" s="279">
        <f>+6281110605180</f>
      </c>
      <c r="E258" s="286" t="str">
        <v>Fridge</v>
      </c>
      <c r="F258" s="284"/>
      <c r="G258" s="282">
        <v>0</v>
      </c>
      <c r="H258" s="279"/>
      <c r="I258" s="279"/>
      <c r="J258" s="279"/>
      <c r="K258" s="279"/>
      <c r="L258" s="280">
        <v>0</v>
      </c>
      <c r="M258" s="267">
        <v>46028</v>
      </c>
      <c r="N258" s="266" t="str">
        <v>Belum ada kebutuhan untuk saat ini, follow up reguler Quarterly</v>
      </c>
      <c r="O258" s="283"/>
    </row>
    <row r="259">
      <c r="A259" s="266" t="str">
        <v>Astra Infra</v>
      </c>
      <c r="B259" s="266" t="str">
        <v>Elisabeth Tambunan</v>
      </c>
      <c r="C259" s="269"/>
      <c r="D259" s="272">
        <f>+6281233269737</f>
      </c>
      <c r="E259" s="266" t="str">
        <v>Demo/Call of Interest</v>
      </c>
      <c r="F259" s="268"/>
      <c r="G259" s="270">
        <v>0.25</v>
      </c>
      <c r="H259" s="266"/>
      <c r="I259" s="266"/>
      <c r="J259" s="266" t="str">
        <v>Rani</v>
      </c>
      <c r="K259" s="266" t="str">
        <v>Lossa</v>
      </c>
      <c r="L259" s="274">
        <v>0.25</v>
      </c>
      <c r="M259" s="267">
        <v>46058</v>
      </c>
      <c r="N259" s="266" t="str">
        <v>FU 02/01</v>
      </c>
      <c r="O259" s="271"/>
    </row>
    <row r="260">
      <c r="A260" s="279" t="str">
        <v>Nippon Koei</v>
      </c>
      <c r="B260" s="279" t="str">
        <v>Kawano</v>
      </c>
      <c r="C260" s="316" t="s">
        <v>397</v>
      </c>
      <c r="D260" s="279"/>
      <c r="E260" s="279" t="str">
        <v>Proposal made</v>
      </c>
      <c r="F260" s="288">
        <v>1514000000</v>
      </c>
      <c r="G260" s="282">
        <v>0.5</v>
      </c>
      <c r="H260" s="279"/>
      <c r="I260" s="279"/>
      <c r="J260" s="279" t="str">
        <v>Rani</v>
      </c>
      <c r="K260" s="279" t="str">
        <v>Amel</v>
      </c>
      <c r="L260" s="280">
        <v>0.5</v>
      </c>
      <c r="M260" s="267">
        <v>46048</v>
      </c>
      <c r="N260" s="279" t="str">
        <v>Proposal on Review</v>
      </c>
      <c r="O260" s="283"/>
    </row>
    <row r="261">
      <c r="A261" s="266" t="str">
        <v>Toyota Astra Motor (Sustainability)</v>
      </c>
      <c r="B261" s="266" t="str">
        <v>Galuh Lukito</v>
      </c>
      <c r="C261" s="290" t="s">
        <v>406</v>
      </c>
      <c r="D261" s="272">
        <f>+62813-9932-8519</f>
      </c>
      <c r="E261" s="286" t="str">
        <v>Fridge</v>
      </c>
      <c r="F261" s="268"/>
      <c r="G261" s="270">
        <v>0</v>
      </c>
      <c r="H261" s="266"/>
      <c r="I261" s="266"/>
      <c r="J261" s="266" t="str">
        <v>Rani</v>
      </c>
      <c r="K261" s="266" t="str">
        <v>Amel</v>
      </c>
      <c r="L261" s="274">
        <v>0</v>
      </c>
      <c r="M261" s="267">
        <v>46028</v>
      </c>
      <c r="N261" s="266" t="str">
        <v>Meeting Scheduled on February</v>
      </c>
      <c r="O261" s="271"/>
    </row>
    <row r="262">
      <c r="A262" s="279" t="str">
        <v>PT Bangsawan Cyberindo</v>
      </c>
      <c r="B262" s="279" t="str">
        <v>Jismil Lathif (Partner)</v>
      </c>
      <c r="C262" s="289" t="s">
        <v>403</v>
      </c>
      <c r="D262" s="279"/>
      <c r="E262" s="279" t="str">
        <v>Demo/Call of Interest</v>
      </c>
      <c r="F262" s="284"/>
      <c r="G262" s="282">
        <v>0.25</v>
      </c>
      <c r="H262" s="293">
        <v>46001</v>
      </c>
      <c r="I262" s="279"/>
      <c r="J262" s="279" t="str">
        <v>Titan</v>
      </c>
      <c r="K262" s="279" t="str">
        <v>Lossa</v>
      </c>
      <c r="L262" s="280">
        <v>0.25</v>
      </c>
      <c r="M262" s="267">
        <v>46058</v>
      </c>
      <c r="N262" s="279" t="str">
        <v>Reschedule meeting</v>
      </c>
      <c r="O262" s="283"/>
    </row>
    <row r="263">
      <c r="A263" s="266" t="str">
        <v>PT KAI</v>
      </c>
      <c r="B263" s="266" t="str">
        <v>Angga</v>
      </c>
      <c r="C263" s="269"/>
      <c r="D263" s="272"/>
      <c r="E263" s="266" t="str">
        <v>Negotiation</v>
      </c>
      <c r="F263" s="297">
        <v>199000000</v>
      </c>
      <c r="G263" s="270">
        <v>0.75</v>
      </c>
      <c r="H263" s="266"/>
      <c r="I263" s="266"/>
      <c r="J263" s="266"/>
      <c r="K263" s="266" t="str">
        <v>Amel</v>
      </c>
      <c r="L263" s="274">
        <v>0.75</v>
      </c>
      <c r="M263" s="267">
        <v>46030</v>
      </c>
      <c r="N263" s="266"/>
      <c r="O263" s="271"/>
    </row>
    <row r="264">
      <c r="A264" s="279" t="str">
        <v>BTID</v>
      </c>
      <c r="B264" s="279" t="str">
        <v>Eggy (Partner)</v>
      </c>
      <c r="C264" s="281"/>
      <c r="D264" s="279"/>
      <c r="E264" s="279" t="str">
        <v>Negotiation</v>
      </c>
      <c r="F264" s="288">
        <v>1798866000</v>
      </c>
      <c r="G264" s="282">
        <v>0.75</v>
      </c>
      <c r="H264" s="279"/>
      <c r="I264" s="279"/>
      <c r="J264" s="279"/>
      <c r="K264" s="279" t="str">
        <v>Lossa</v>
      </c>
      <c r="L264" s="280">
        <v>0.75</v>
      </c>
      <c r="M264" s="267">
        <v>46006</v>
      </c>
      <c r="N264" s="279"/>
      <c r="O264" s="283"/>
    </row>
    <row r="265">
      <c r="A265" s="266" t="str">
        <v>Nabati</v>
      </c>
      <c r="B265" s="266" t="str">
        <v>Hoky</v>
      </c>
      <c r="C265" s="269"/>
      <c r="D265" s="272" t="str">
        <v>‪+62 896‑7457‑5720‬</v>
      </c>
      <c r="E265" s="266" t="str">
        <v>POC</v>
      </c>
      <c r="F265" s="268"/>
      <c r="G265" s="270">
        <v>0.6</v>
      </c>
      <c r="H265" s="266"/>
      <c r="I265" s="266"/>
      <c r="J265" s="266" t="str">
        <v>Rani</v>
      </c>
      <c r="K265" s="266" t="str">
        <v>Lossa</v>
      </c>
      <c r="L265" s="274">
        <v>0.6</v>
      </c>
      <c r="M265" s="267">
        <v>46045</v>
      </c>
      <c r="N265" s="266"/>
      <c r="O265" s="271"/>
    </row>
    <row r="266">
      <c r="A266" s="279" t="str">
        <v>SERA</v>
      </c>
      <c r="B266" s="279" t="str">
        <v>Agus</v>
      </c>
      <c r="C266" s="281"/>
      <c r="D266" s="279" t="str">
        <v>+62 811-972-253</v>
      </c>
      <c r="E266" s="286" t="str">
        <v>Fridge</v>
      </c>
      <c r="F266" s="284"/>
      <c r="G266" s="282">
        <v>0</v>
      </c>
      <c r="H266" s="279"/>
      <c r="I266" s="279"/>
      <c r="J266" s="279" t="str">
        <v>Rani</v>
      </c>
      <c r="K266" s="279" t="str">
        <v>Lossa</v>
      </c>
      <c r="L266" s="280">
        <v>0</v>
      </c>
      <c r="M266" s="267">
        <v>46045</v>
      </c>
      <c r="N266" s="279" t="str">
        <v>Menunggu konfirmasi jadwal meeting kedua</v>
      </c>
      <c r="O266" s="283"/>
    </row>
    <row r="267">
      <c r="A267" s="266" t="str">
        <v>PT Argo Pantes</v>
      </c>
      <c r="B267" s="266" t="str">
        <v>David Beta</v>
      </c>
      <c r="C267" s="269"/>
      <c r="D267" s="272" t="str">
        <v>+62 813-7351-6182</v>
      </c>
      <c r="E267" s="266" t="str">
        <v>Proposal made</v>
      </c>
      <c r="F267" s="268"/>
      <c r="G267" s="270">
        <v>0.5</v>
      </c>
      <c r="H267" s="273">
        <v>46009</v>
      </c>
      <c r="I267" s="266"/>
      <c r="J267" s="266" t="str">
        <v>Rani</v>
      </c>
      <c r="K267" s="266" t="str">
        <v>Amel</v>
      </c>
      <c r="L267" s="274">
        <v>0.5</v>
      </c>
      <c r="M267" s="267">
        <v>46048</v>
      </c>
      <c r="N267" s="266"/>
      <c r="O267" s="271"/>
    </row>
    <row r="268">
      <c r="A268" s="279" t="str">
        <v>Bank Mandiri - Mandiri Capital</v>
      </c>
      <c r="B268" s="279"/>
      <c r="C268" s="281"/>
      <c r="D268" s="279"/>
      <c r="E268" s="279" t="str">
        <v>Demo/Call of Interest</v>
      </c>
      <c r="F268" s="284"/>
      <c r="G268" s="282">
        <v>0.25</v>
      </c>
      <c r="H268" s="293">
        <v>46010</v>
      </c>
      <c r="I268" s="279"/>
      <c r="J268" s="279" t="str">
        <v>Titan</v>
      </c>
      <c r="K268" s="279" t="str">
        <v>Amel</v>
      </c>
      <c r="L268" s="280">
        <v>0.25</v>
      </c>
      <c r="M268" s="291">
        <v>46066</v>
      </c>
      <c r="N268" s="279" t="str">
        <v>Meeting with CRE, FU Senin</v>
      </c>
      <c r="O268" s="296" t="s">
        <v>392</v>
      </c>
    </row>
    <row r="269">
      <c r="A269" s="266" t="str">
        <v>Tigenco</v>
      </c>
      <c r="B269" s="266" t="str">
        <v>Andrianto (Partner)</v>
      </c>
      <c r="C269" s="269"/>
      <c r="D269" s="272"/>
      <c r="E269" s="266" t="str">
        <v>Demo/Call of Interest</v>
      </c>
      <c r="F269" s="268"/>
      <c r="G269" s="270">
        <v>0.25</v>
      </c>
      <c r="H269" s="266"/>
      <c r="I269" s="266"/>
      <c r="J269" s="266" t="str">
        <v>Rani</v>
      </c>
      <c r="K269" s="266" t="str">
        <v>Lossa</v>
      </c>
      <c r="L269" s="274">
        <v>0.25</v>
      </c>
      <c r="M269" s="267">
        <v>46036</v>
      </c>
      <c r="N269" s="266" t="str">
        <v>Meeting scheduled on 14/02/2025</v>
      </c>
      <c r="O269" s="271"/>
    </row>
    <row r="270">
      <c r="A270" s="279" t="str">
        <v>DCKTRP Jakarta</v>
      </c>
      <c r="B270" s="279"/>
      <c r="C270" s="281"/>
      <c r="D270" s="279"/>
      <c r="E270" s="279" t="str">
        <v>Demo/Call of Interest</v>
      </c>
      <c r="F270" s="284"/>
      <c r="G270" s="282">
        <v>0.25</v>
      </c>
      <c r="H270" s="279"/>
      <c r="I270" s="279"/>
      <c r="J270" s="279" t="str">
        <v>Rani</v>
      </c>
      <c r="K270" s="279" t="str">
        <v>Amel</v>
      </c>
      <c r="L270" s="280">
        <v>0.25</v>
      </c>
      <c r="M270" s="267">
        <v>46049</v>
      </c>
      <c r="N270" s="279" t="str">
        <v>Akan dishare data 3D untuk dicoba</v>
      </c>
      <c r="O270" s="283"/>
    </row>
    <row r="271">
      <c r="A271" s="266" t="str" xml:space="preserve">
        <v>ITDC </v>
      </c>
      <c r="B271" s="266"/>
      <c r="C271" s="269"/>
      <c r="D271" s="272"/>
      <c r="E271" s="266" t="str">
        <v>Contacted</v>
      </c>
      <c r="F271" s="268"/>
      <c r="G271" s="270">
        <v>0.1</v>
      </c>
      <c r="H271" s="266"/>
      <c r="I271" s="266"/>
      <c r="J271" s="266" t="str">
        <v>Titan</v>
      </c>
      <c r="K271" s="266" t="str">
        <v>Lossa</v>
      </c>
      <c r="L271" s="274">
        <v>0.1</v>
      </c>
      <c r="M271" s="287">
        <v>46062</v>
      </c>
      <c r="N271" s="266" t="str">
        <v>Akan dikabari next week</v>
      </c>
      <c r="O271" s="271"/>
    </row>
    <row r="272">
      <c r="A272" s="279" t="str">
        <v>Datascrip</v>
      </c>
      <c r="B272" s="279" t="str">
        <v>Raka (Partner)</v>
      </c>
      <c r="C272" s="281"/>
      <c r="D272" s="279"/>
      <c r="E272" s="279" t="str">
        <v>Demo/Call of Interest</v>
      </c>
      <c r="F272" s="284"/>
      <c r="G272" s="282">
        <v>0.25</v>
      </c>
      <c r="H272" s="279"/>
      <c r="I272" s="279"/>
      <c r="J272" s="279" t="str">
        <v>Rani</v>
      </c>
      <c r="K272" s="279" t="str">
        <v>Amel</v>
      </c>
      <c r="L272" s="280">
        <v>0.25</v>
      </c>
      <c r="M272" s="285"/>
      <c r="N272" s="279"/>
      <c r="O272" s="283"/>
    </row>
    <row r="273">
      <c r="A273" s="266" t="str">
        <v>Telkomsat</v>
      </c>
      <c r="B273" s="266" t="str">
        <v>Nugroho (Partner)</v>
      </c>
      <c r="C273" s="269"/>
      <c r="D273" s="272"/>
      <c r="E273" s="266" t="str">
        <v>Demo/Call of Interest</v>
      </c>
      <c r="F273" s="268"/>
      <c r="G273" s="270">
        <v>0.25</v>
      </c>
      <c r="H273" s="266"/>
      <c r="I273" s="266"/>
      <c r="J273" s="266" t="str">
        <v>Titan</v>
      </c>
      <c r="K273" s="266" t="str">
        <v>Lossa</v>
      </c>
      <c r="L273" s="274">
        <v>0.25</v>
      </c>
      <c r="M273" s="267">
        <v>46041</v>
      </c>
      <c r="N273" s="266"/>
      <c r="O273" s="271"/>
    </row>
    <row r="274">
      <c r="A274" s="279" t="str">
        <v>MRT Jakarta</v>
      </c>
      <c r="B274" s="279" t="str">
        <v>Zaky Irfan</v>
      </c>
      <c r="C274" s="281"/>
      <c r="D274" s="279"/>
      <c r="E274" s="279" t="str">
        <v>Demo/Call of Interest</v>
      </c>
      <c r="F274" s="284"/>
      <c r="G274" s="282">
        <v>0.25</v>
      </c>
      <c r="H274" s="279"/>
      <c r="I274" s="279"/>
      <c r="J274" s="279" t="str">
        <v>Rani</v>
      </c>
      <c r="K274" s="279" t="str">
        <v>Amel</v>
      </c>
      <c r="L274" s="280">
        <v>0.25</v>
      </c>
      <c r="M274" s="267">
        <v>46049</v>
      </c>
      <c r="N274" s="279" t="str">
        <v>FU Next Meeting</v>
      </c>
      <c r="O274" s="283"/>
    </row>
    <row r="275">
      <c r="A275" s="266" t="str">
        <v>SMART TBK</v>
      </c>
      <c r="B275" s="266" t="str">
        <v>Tito Sidi</v>
      </c>
      <c r="C275" s="269"/>
      <c r="D275" s="272"/>
      <c r="E275" s="266" t="str">
        <v>Contacted</v>
      </c>
      <c r="F275" s="268"/>
      <c r="G275" s="270">
        <v>0.1</v>
      </c>
      <c r="H275" s="266"/>
      <c r="I275" s="266"/>
      <c r="J275" s="266" t="str">
        <v>Rani</v>
      </c>
      <c r="K275" s="266" t="str">
        <v>Lossa</v>
      </c>
      <c r="L275" s="274">
        <v>0.1</v>
      </c>
      <c r="M275" s="267">
        <v>46031</v>
      </c>
      <c r="N275" s="266" t="str">
        <v>Menunggu update tanggal demo</v>
      </c>
      <c r="O275" s="271"/>
    </row>
    <row r="276">
      <c r="A276" s="279" t="str">
        <v>Pupuk Indonesia</v>
      </c>
      <c r="B276" s="279" t="str">
        <v>Dommy</v>
      </c>
      <c r="C276" s="281"/>
      <c r="D276" s="279"/>
      <c r="E276" s="279" t="str">
        <v>POC</v>
      </c>
      <c r="F276" s="284"/>
      <c r="G276" s="282">
        <v>0.6</v>
      </c>
      <c r="H276" s="279"/>
      <c r="I276" s="279"/>
      <c r="J276" s="279" t="str">
        <v>Rani</v>
      </c>
      <c r="K276" s="279" t="str">
        <v>Lossa</v>
      </c>
      <c r="L276" s="280">
        <v>0.6</v>
      </c>
      <c r="M276" s="267">
        <v>46049</v>
      </c>
      <c r="N276" s="279" t="str">
        <v>Kick off 16 Februari 2026</v>
      </c>
      <c r="O276" s="283"/>
    </row>
    <row r="277">
      <c r="A277" s="266" t="str">
        <v>Toyota Astra Motor (Mobility)</v>
      </c>
      <c r="B277" s="266" t="str">
        <v>Admal</v>
      </c>
      <c r="C277" s="269"/>
      <c r="D277" s="272"/>
      <c r="E277" s="266" t="str">
        <v>Demo/Call of Interest</v>
      </c>
      <c r="F277" s="268"/>
      <c r="G277" s="270">
        <v>0.25</v>
      </c>
      <c r="H277" s="266"/>
      <c r="I277" s="266"/>
      <c r="J277" s="266" t="str">
        <v>Rani</v>
      </c>
      <c r="K277" s="266" t="str">
        <v>Amel</v>
      </c>
      <c r="L277" s="274">
        <v>0.25</v>
      </c>
      <c r="M277" s="267">
        <v>46031</v>
      </c>
      <c r="N277" s="266" t="str">
        <v>Menunggu hasil konsep deck untuk 2nd presentation</v>
      </c>
      <c r="O277" s="271"/>
    </row>
    <row r="278">
      <c r="A278" s="279" t="str">
        <v>Sadara Teknologi</v>
      </c>
      <c r="B278" s="279" t="str">
        <v>Viky (Partner)</v>
      </c>
      <c r="C278" s="281"/>
      <c r="D278" s="279"/>
      <c r="E278" s="279" t="str">
        <v>Contacted</v>
      </c>
      <c r="F278" s="284"/>
      <c r="G278" s="282">
        <v>0.1</v>
      </c>
      <c r="H278" s="279"/>
      <c r="I278" s="279"/>
      <c r="J278" s="279" t="str">
        <v>Rani</v>
      </c>
      <c r="K278" s="279" t="str">
        <v>Lossa</v>
      </c>
      <c r="L278" s="280">
        <v>0.1</v>
      </c>
      <c r="M278" s="285"/>
      <c r="N278" s="279"/>
      <c r="O278" s="283"/>
    </row>
    <row r="279">
      <c r="A279" s="266" t="str">
        <v>Savills Indonesia</v>
      </c>
      <c r="B279" s="266" t="str">
        <v>Ambo Wela</v>
      </c>
      <c r="C279" s="269"/>
      <c r="D279" s="272"/>
      <c r="E279" s="266" t="str">
        <v>Proposal made</v>
      </c>
      <c r="F279" s="268"/>
      <c r="G279" s="270">
        <v>0.5</v>
      </c>
      <c r="H279" s="266"/>
      <c r="I279" s="266"/>
      <c r="J279" s="266" t="str">
        <v>Rani</v>
      </c>
      <c r="K279" s="266" t="str">
        <v>Amel</v>
      </c>
      <c r="L279" s="274">
        <v>0.5</v>
      </c>
      <c r="M279" s="266"/>
      <c r="N279" s="266" t="str">
        <v>Proposal on Review</v>
      </c>
      <c r="O279" s="295" t="s">
        <v>386</v>
      </c>
    </row>
    <row r="280">
      <c r="A280" s="279" t="str">
        <v>Cimory</v>
      </c>
      <c r="B280" s="279" t="str">
        <v>Ghifari</v>
      </c>
      <c r="C280" s="281"/>
      <c r="D280" s="279"/>
      <c r="E280" s="294" t="str">
        <v>Lost</v>
      </c>
      <c r="F280" s="284"/>
      <c r="G280" s="282">
        <v>0</v>
      </c>
      <c r="H280" s="279"/>
      <c r="I280" s="279"/>
      <c r="J280" s="279" t="str">
        <v>Rani</v>
      </c>
      <c r="K280" s="279" t="str">
        <v>Lossa</v>
      </c>
      <c r="L280" s="280">
        <v>0</v>
      </c>
      <c r="M280" s="267">
        <v>46048</v>
      </c>
      <c r="N280" s="279" t="str">
        <v>Proposal on Review</v>
      </c>
      <c r="O280" s="296" t="s">
        <v>390</v>
      </c>
    </row>
    <row r="281">
      <c r="A281" s="279" t="str">
        <v>CBN</v>
      </c>
      <c r="B281" s="279" t="str">
        <v>Francisca</v>
      </c>
      <c r="C281" s="281"/>
      <c r="D281" s="279"/>
      <c r="E281" s="279" t="str">
        <v>Demo/Call of Interest</v>
      </c>
      <c r="F281" s="284"/>
      <c r="G281" s="282">
        <v>0.25</v>
      </c>
      <c r="H281" s="279"/>
      <c r="I281" s="279"/>
      <c r="J281" s="279" t="str">
        <v>Rani</v>
      </c>
      <c r="K281" s="279" t="str">
        <v>Lossa</v>
      </c>
      <c r="L281" s="280">
        <v>0.25</v>
      </c>
      <c r="M281" s="285"/>
      <c r="N281" s="279" t="str">
        <v>Demo Scheduled on 27/01</v>
      </c>
      <c r="O281" s="283"/>
    </row>
    <row r="282">
      <c r="A282" s="266" t="str">
        <v>Cinema21</v>
      </c>
      <c r="B282" s="266" t="str">
        <v>Indrawan Fauzi</v>
      </c>
      <c r="C282" s="290" t="s">
        <v>408</v>
      </c>
      <c r="D282" s="272" t="str">
        <v>+62 811-175-176</v>
      </c>
      <c r="E282" s="266" t="str">
        <v>Lead</v>
      </c>
      <c r="F282" s="268"/>
      <c r="G282" s="270">
        <v>0.05</v>
      </c>
      <c r="H282" s="266"/>
      <c r="I282" s="266"/>
      <c r="J282" s="266" t="str">
        <v>Titan</v>
      </c>
      <c r="K282" s="266" t="str">
        <v>Zhafran</v>
      </c>
      <c r="L282" s="274">
        <v>0.05</v>
      </c>
      <c r="M282" s="267">
        <v>46057</v>
      </c>
      <c r="N282" s="266"/>
      <c r="O282" s="271"/>
    </row>
    <row r="283">
      <c r="A283" s="279" t="str">
        <v>BULOG</v>
      </c>
      <c r="B283" s="279" t="str">
        <v>Teguh</v>
      </c>
      <c r="C283" s="281"/>
      <c r="D283" s="279" t="str">
        <v>+62 811-1993-627</v>
      </c>
      <c r="E283" s="279" t="str">
        <v>Lead</v>
      </c>
      <c r="F283" s="284"/>
      <c r="G283" s="282">
        <v>0.05</v>
      </c>
      <c r="H283" s="279"/>
      <c r="I283" s="279"/>
      <c r="J283" s="279" t="str">
        <v>Titan</v>
      </c>
      <c r="K283" s="266" t="str">
        <v>Zhafran</v>
      </c>
      <c r="L283" s="280">
        <v>0.05</v>
      </c>
      <c r="M283" s="267">
        <v>46057</v>
      </c>
      <c r="N283" s="279"/>
      <c r="O283" s="283"/>
    </row>
    <row r="284">
      <c r="A284" s="266" t="str">
        <v>Neuviz</v>
      </c>
      <c r="B284" s="266" t="str">
        <v>Wihendra</v>
      </c>
      <c r="C284" s="269"/>
      <c r="D284" s="272" t="str">
        <v>+62 811-158-140</v>
      </c>
      <c r="E284" s="266" t="str">
        <v>Contacted</v>
      </c>
      <c r="F284" s="268"/>
      <c r="G284" s="270">
        <v>0.1</v>
      </c>
      <c r="H284" s="266"/>
      <c r="I284" s="266"/>
      <c r="J284" s="266" t="str">
        <v>Titan</v>
      </c>
      <c r="K284" s="266" t="str">
        <v>Zhafran</v>
      </c>
      <c r="L284" s="274">
        <v>0.1</v>
      </c>
      <c r="M284" s="267">
        <v>46057</v>
      </c>
      <c r="N284" s="266" t="str">
        <v>Tunggu kabar terkait diskusi internal tim neuviz</v>
      </c>
      <c r="O284" s="271"/>
    </row>
    <row r="285">
      <c r="A285" s="279" t="str">
        <v>PT Remala Abadi</v>
      </c>
      <c r="B285" s="279" t="str">
        <v>Novel</v>
      </c>
      <c r="C285" s="281"/>
      <c r="D285" s="279" t="str">
        <v>+62 877-7009-4190</v>
      </c>
      <c r="E285" s="279" t="str">
        <v>Demo/Call of Interest</v>
      </c>
      <c r="F285" s="284"/>
      <c r="G285" s="282">
        <v>0.25</v>
      </c>
      <c r="H285" s="279"/>
      <c r="I285" s="279"/>
      <c r="J285" s="279" t="str">
        <v>Titan</v>
      </c>
      <c r="K285" s="266" t="str">
        <v>Zhafran</v>
      </c>
      <c r="L285" s="280">
        <v>0.25</v>
      </c>
      <c r="M285" s="291">
        <v>46066</v>
      </c>
      <c r="N285" s="279" t="str">
        <v>Kirim deck MoM dan proposal</v>
      </c>
      <c r="O285" s="283"/>
    </row>
    <row r="286">
      <c r="A286" s="266" t="str">
        <v>Biznet</v>
      </c>
      <c r="B286" s="266" t="str">
        <v>Antonius</v>
      </c>
      <c r="C286" s="290" t="s">
        <v>382</v>
      </c>
      <c r="D286" s="272"/>
      <c r="E286" s="266" t="str">
        <v>Lead</v>
      </c>
      <c r="F286" s="268"/>
      <c r="G286" s="270">
        <v>0.05</v>
      </c>
      <c r="H286" s="266"/>
      <c r="I286" s="266"/>
      <c r="J286" s="266" t="str">
        <v>Titan</v>
      </c>
      <c r="K286" s="266" t="str">
        <v>Lossa</v>
      </c>
      <c r="L286" s="274">
        <v>0.05</v>
      </c>
      <c r="M286" s="266"/>
      <c r="N286" s="266"/>
      <c r="O286" s="271"/>
    </row>
    <row r="287">
      <c r="A287" s="279" t="str">
        <v>NEC</v>
      </c>
      <c r="B287" s="279" t="str">
        <v>Dolat</v>
      </c>
      <c r="C287" s="289" t="s">
        <v>381</v>
      </c>
      <c r="D287" s="279"/>
      <c r="E287" s="279" t="str">
        <v>Lead</v>
      </c>
      <c r="F287" s="284"/>
      <c r="G287" s="282">
        <v>0.05</v>
      </c>
      <c r="H287" s="279"/>
      <c r="I287" s="279"/>
      <c r="J287" s="279" t="str">
        <v>Titan</v>
      </c>
      <c r="K287" s="279" t="str">
        <v>Amel</v>
      </c>
      <c r="L287" s="280">
        <v>0.05</v>
      </c>
      <c r="M287" s="267">
        <v>46058</v>
      </c>
      <c r="N287" s="279"/>
      <c r="O287" s="283"/>
    </row>
    <row r="288">
      <c r="A288" s="266" t="str">
        <v>Surge</v>
      </c>
      <c r="B288" s="266" t="str">
        <v>Isnur (Partner)</v>
      </c>
      <c r="C288" s="269"/>
      <c r="D288" s="272" t="str">
        <v>+62 812-1024-797</v>
      </c>
      <c r="E288" s="266" t="str">
        <v>Contacted</v>
      </c>
      <c r="F288" s="268"/>
      <c r="G288" s="270">
        <v>0.1</v>
      </c>
      <c r="H288" s="266"/>
      <c r="I288" s="266"/>
      <c r="J288" s="266" t="str">
        <v>Titan</v>
      </c>
      <c r="K288" s="266" t="str">
        <v>Lossa</v>
      </c>
      <c r="L288" s="274">
        <v>0.1</v>
      </c>
      <c r="M288" s="287">
        <v>46062</v>
      </c>
      <c r="N288" s="266" t="str">
        <v>Menunggu kabar dari pak isnur, FU Senin</v>
      </c>
      <c r="O288" s="271"/>
    </row>
    <row r="289">
      <c r="A289" s="279" t="str">
        <v>Bank Permata</v>
      </c>
      <c r="B289" s="279" t="str">
        <v>Impactto</v>
      </c>
      <c r="C289" s="281"/>
      <c r="D289" s="279"/>
      <c r="E289" s="279" t="str">
        <v>Demo/Call of Interest</v>
      </c>
      <c r="F289" s="284"/>
      <c r="G289" s="282">
        <v>0.25</v>
      </c>
      <c r="H289" s="279"/>
      <c r="I289" s="279"/>
      <c r="J289" s="279" t="str">
        <v>Titan</v>
      </c>
      <c r="K289" s="279" t="str">
        <v>Amel</v>
      </c>
      <c r="L289" s="280">
        <v>0.25</v>
      </c>
      <c r="M289" s="267">
        <v>46049</v>
      </c>
      <c r="N289" s="279" t="str">
        <v>Meeting lanjutan w divisi lainnya, FU Senin</v>
      </c>
      <c r="O289" s="283"/>
    </row>
    <row r="290">
      <c r="A290" s="266" t="str">
        <v>Telkomsat (HR)</v>
      </c>
      <c r="B290" s="266" t="str">
        <v>Ridwan</v>
      </c>
      <c r="C290" s="269"/>
      <c r="D290" s="272" t="str">
        <v>+62 896-9483-0888</v>
      </c>
      <c r="E290" s="266" t="str">
        <v>Contacted</v>
      </c>
      <c r="F290" s="268"/>
      <c r="G290" s="270">
        <v>0.1</v>
      </c>
      <c r="H290" s="266"/>
      <c r="I290" s="266"/>
      <c r="J290" s="266" t="str">
        <v>Titan</v>
      </c>
      <c r="K290" s="266" t="str">
        <v>Lossa</v>
      </c>
      <c r="L290" s="274">
        <v>0.1</v>
      </c>
      <c r="M290" s="287">
        <v>46062</v>
      </c>
      <c r="N290" s="266" t="str">
        <v>Meeting on week 1 feb, FU senin</v>
      </c>
      <c r="O290" s="271"/>
    </row>
    <row r="291">
      <c r="A291" s="279" t="str">
        <v>BTN</v>
      </c>
      <c r="B291" s="279" t="str">
        <v>Impactto</v>
      </c>
      <c r="C291" s="281"/>
      <c r="D291" s="279"/>
      <c r="E291" s="279" t="str">
        <v>Proposal made</v>
      </c>
      <c r="F291" s="284"/>
      <c r="G291" s="282">
        <v>0.5</v>
      </c>
      <c r="H291" s="279"/>
      <c r="I291" s="279"/>
      <c r="J291" s="279" t="str">
        <v>Titan</v>
      </c>
      <c r="K291" s="279" t="str">
        <v>Amel</v>
      </c>
      <c r="L291" s="280">
        <v>0.5</v>
      </c>
      <c r="M291" s="267">
        <v>46057</v>
      </c>
      <c r="N291" s="279" t="str">
        <v>Meeting lanjutan dengan divisi appraisal, Kirim by email deck, proposal n MoM terkait branch</v>
      </c>
      <c r="O291" s="283"/>
    </row>
    <row r="292">
      <c r="A292" s="279" t="str">
        <v>KAI (TOYO)</v>
      </c>
      <c r="B292" s="279" t="str">
        <v>Satria</v>
      </c>
      <c r="C292" s="281"/>
      <c r="D292" s="279"/>
      <c r="E292" s="279" t="str">
        <v>Proposal made</v>
      </c>
      <c r="F292" s="284"/>
      <c r="G292" s="282">
        <v>0.5</v>
      </c>
      <c r="H292" s="279"/>
      <c r="I292" s="279"/>
      <c r="J292" s="279" t="str">
        <v>Rani</v>
      </c>
      <c r="K292" s="266" t="str">
        <v>Amel</v>
      </c>
      <c r="L292" s="280">
        <v>0.5</v>
      </c>
      <c r="M292" s="285"/>
      <c r="N292" s="279"/>
      <c r="O292" s="283"/>
    </row>
    <row r="293">
      <c r="A293" s="266" t="str">
        <v>AIBP</v>
      </c>
      <c r="B293" s="266"/>
      <c r="C293" s="269"/>
      <c r="D293" s="272"/>
      <c r="E293" s="266" t="str">
        <v>Demo/Call of Interest</v>
      </c>
      <c r="F293" s="268"/>
      <c r="G293" s="270">
        <v>0.25</v>
      </c>
      <c r="H293" s="266"/>
      <c r="I293" s="266"/>
      <c r="J293" s="266" t="str">
        <v>Rani</v>
      </c>
      <c r="K293" s="266" t="str">
        <v>Zhafran</v>
      </c>
      <c r="L293" s="274">
        <v>0.25</v>
      </c>
      <c r="M293" s="266"/>
      <c r="N293" s="266"/>
      <c r="O293" s="271"/>
    </row>
    <row r="294">
      <c r="A294" s="279" t="str">
        <v>Sarulla Operations</v>
      </c>
      <c r="B294" s="279" t="str">
        <v>Yuris</v>
      </c>
      <c r="C294" s="281"/>
      <c r="D294" s="279"/>
      <c r="E294" s="279" t="str">
        <v>Contacted</v>
      </c>
      <c r="F294" s="284"/>
      <c r="G294" s="282">
        <v>0.1</v>
      </c>
      <c r="H294" s="279"/>
      <c r="I294" s="279"/>
      <c r="J294" s="279" t="str">
        <v>Rani</v>
      </c>
      <c r="K294" s="266" t="str">
        <v>Zhafran</v>
      </c>
      <c r="L294" s="280">
        <v>0.1</v>
      </c>
      <c r="M294" s="285"/>
      <c r="N294" s="279"/>
      <c r="O294" s="283"/>
    </row>
    <row r="295">
      <c r="A295" s="266" t="str">
        <v>Pertamina Geothermal Energy</v>
      </c>
      <c r="B295" s="266" t="str">
        <v>Dwiky</v>
      </c>
      <c r="C295" s="269"/>
      <c r="D295" s="272"/>
      <c r="E295" s="266" t="str">
        <v>Lead</v>
      </c>
      <c r="F295" s="268"/>
      <c r="G295" s="270">
        <v>0.05</v>
      </c>
      <c r="H295" s="266"/>
      <c r="I295" s="266"/>
      <c r="J295" s="266" t="str">
        <v>Rani</v>
      </c>
      <c r="K295" s="266" t="str">
        <v>Zhafran</v>
      </c>
      <c r="L295" s="274">
        <v>0.05</v>
      </c>
      <c r="M295" s="266"/>
      <c r="N295" s="266"/>
      <c r="O295" s="271"/>
    </row>
    <row r="296">
      <c r="A296" s="279" t="str">
        <v>TechConnect (Sinarmas Group Mining)</v>
      </c>
      <c r="B296" s="279" t="str">
        <v>Kornelius Zebua</v>
      </c>
      <c r="C296" s="281"/>
      <c r="D296" s="279"/>
      <c r="E296" s="279" t="str">
        <v>Lead</v>
      </c>
      <c r="F296" s="284"/>
      <c r="G296" s="282">
        <v>0.05</v>
      </c>
      <c r="H296" s="279"/>
      <c r="I296" s="279"/>
      <c r="J296" s="279"/>
      <c r="K296" s="266" t="str">
        <v>Zhafran</v>
      </c>
      <c r="L296" s="280">
        <v>0.05</v>
      </c>
      <c r="M296" s="285"/>
      <c r="N296" s="279" t="str">
        <v>Prepare proposal for Mining</v>
      </c>
      <c r="O296" s="283"/>
    </row>
    <row r="297">
      <c r="A297" s="266" t="str">
        <v>ORMAT</v>
      </c>
      <c r="B297" s="266" t="str">
        <v>Partner</v>
      </c>
      <c r="C297" s="269"/>
      <c r="D297" s="272"/>
      <c r="E297" s="266" t="str">
        <v>Contacted</v>
      </c>
      <c r="F297" s="268"/>
      <c r="G297" s="270">
        <v>0.1</v>
      </c>
      <c r="H297" s="266"/>
      <c r="I297" s="266"/>
      <c r="J297" s="266" t="str">
        <v>Rani</v>
      </c>
      <c r="K297" s="266" t="str">
        <v>Zhafran</v>
      </c>
      <c r="L297" s="274">
        <v>0.1</v>
      </c>
      <c r="M297" s="266"/>
      <c r="N297" s="266"/>
      <c r="O297" s="271"/>
    </row>
    <row r="298">
      <c r="A298" s="279" t="str">
        <v>Bank Danamon</v>
      </c>
      <c r="B298" s="279" t="str">
        <v>Impactto</v>
      </c>
      <c r="C298" s="281"/>
      <c r="D298" s="279"/>
      <c r="E298" s="279" t="str">
        <v>Contacted</v>
      </c>
      <c r="F298" s="284"/>
      <c r="G298" s="282">
        <v>0.1</v>
      </c>
      <c r="H298" s="279"/>
      <c r="I298" s="279"/>
      <c r="J298" s="279" t="str">
        <v>Titan</v>
      </c>
      <c r="K298" s="279" t="str">
        <v>Amel</v>
      </c>
      <c r="L298" s="280">
        <v>0.1</v>
      </c>
      <c r="M298" s="285"/>
      <c r="N298" s="279"/>
      <c r="O298" s="283"/>
    </row>
    <row r="299">
      <c r="A299" s="266" t="str">
        <v>Astra World</v>
      </c>
      <c r="B299" s="266" t="str">
        <v>Partner (Eco Enviro)</v>
      </c>
      <c r="C299" s="269"/>
      <c r="D299" s="272"/>
      <c r="E299" s="266" t="str">
        <v>Contacted</v>
      </c>
      <c r="F299" s="268"/>
      <c r="G299" s="270">
        <v>0.1</v>
      </c>
      <c r="H299" s="266"/>
      <c r="I299" s="266"/>
      <c r="J299" s="266" t="str">
        <v>Rani</v>
      </c>
      <c r="K299" s="266" t="str">
        <v>Amel</v>
      </c>
      <c r="L299" s="274">
        <v>0.1</v>
      </c>
      <c r="M299" s="266"/>
      <c r="N299" s="266"/>
      <c r="O299" s="271"/>
    </row>
    <row r="300">
      <c r="A300" s="279" t="str">
        <v>Blue Power Technology</v>
      </c>
      <c r="B300" s="279"/>
      <c r="C300" s="281"/>
      <c r="D300" s="279"/>
      <c r="E300" s="279" t="str">
        <v>Contacted</v>
      </c>
      <c r="F300" s="284"/>
      <c r="G300" s="282">
        <v>0.1</v>
      </c>
      <c r="H300" s="279"/>
      <c r="I300" s="279"/>
      <c r="J300" s="279" t="str">
        <v>Rani</v>
      </c>
      <c r="K300" s="266" t="str">
        <v>Zhafran</v>
      </c>
      <c r="L300" s="280">
        <v>0.1</v>
      </c>
      <c r="M300" s="285"/>
      <c r="N300" s="279"/>
      <c r="O300" s="283"/>
    </row>
    <row r="301">
      <c r="A301" s="266" t="str">
        <v>Trans Jakarta</v>
      </c>
      <c r="B301" s="266"/>
      <c r="C301" s="269"/>
      <c r="D301" s="272"/>
      <c r="E301" s="266"/>
      <c r="F301" s="268"/>
      <c r="G301" s="268"/>
      <c r="H301" s="266"/>
      <c r="I301" s="266"/>
      <c r="J301" s="266"/>
      <c r="K301" s="266"/>
      <c r="L301" s="266"/>
      <c r="M301" s="266"/>
      <c r="N301" s="266"/>
      <c r="O301" s="271"/>
    </row>
    <row r="302">
      <c r="A302" s="279" t="str">
        <v>Sigap</v>
      </c>
      <c r="B302" s="279"/>
      <c r="C302" s="281"/>
      <c r="D302" s="279"/>
      <c r="E302" s="279"/>
      <c r="F302" s="284"/>
      <c r="G302" s="284"/>
      <c r="H302" s="279"/>
      <c r="I302" s="279"/>
      <c r="J302" s="279"/>
      <c r="K302" s="279"/>
      <c r="L302" s="285"/>
      <c r="M302" s="285"/>
      <c r="N302" s="279"/>
      <c r="O302" s="283"/>
    </row>
    <row r="303">
      <c r="A303" s="266"/>
      <c r="B303" s="266"/>
      <c r="C303" s="269"/>
      <c r="D303" s="272"/>
      <c r="E303" s="266"/>
      <c r="F303" s="268"/>
      <c r="G303" s="268"/>
      <c r="H303" s="266"/>
      <c r="I303" s="266"/>
      <c r="J303" s="266"/>
      <c r="K303" s="266"/>
      <c r="L303" s="266"/>
      <c r="M303" s="266"/>
      <c r="N303" s="266"/>
      <c r="O303" s="271"/>
    </row>
    <row r="304">
      <c r="A304" s="279"/>
      <c r="B304" s="279"/>
      <c r="C304" s="281"/>
      <c r="D304" s="279"/>
      <c r="E304" s="279"/>
      <c r="F304" s="284"/>
      <c r="G304" s="284"/>
      <c r="H304" s="279"/>
      <c r="I304" s="279"/>
      <c r="J304" s="279"/>
      <c r="K304" s="279"/>
      <c r="L304" s="285"/>
      <c r="M304" s="285"/>
      <c r="N304" s="279"/>
      <c r="O304" s="283"/>
    </row>
    <row r="305">
      <c r="A305" s="266"/>
      <c r="B305" s="266"/>
      <c r="C305" s="269"/>
      <c r="D305" s="272"/>
      <c r="E305" s="266"/>
      <c r="F305" s="268"/>
      <c r="G305" s="268"/>
      <c r="H305" s="266"/>
      <c r="I305" s="266"/>
      <c r="J305" s="266"/>
      <c r="K305" s="266"/>
      <c r="L305" s="266"/>
      <c r="M305" s="266"/>
      <c r="N305" s="266"/>
      <c r="O305" s="271"/>
    </row>
    <row r="306">
      <c r="A306" s="279"/>
      <c r="B306" s="279"/>
      <c r="C306" s="281"/>
      <c r="D306" s="279"/>
      <c r="E306" s="279"/>
      <c r="F306" s="284"/>
      <c r="G306" s="284"/>
      <c r="H306" s="279"/>
      <c r="I306" s="279"/>
      <c r="J306" s="279"/>
      <c r="K306" s="279"/>
      <c r="L306" s="285"/>
      <c r="M306" s="285"/>
      <c r="N306" s="279"/>
      <c r="O306" s="283"/>
    </row>
    <row r="307">
      <c r="A307" s="266"/>
      <c r="B307" s="266"/>
      <c r="C307" s="269"/>
      <c r="D307" s="272"/>
      <c r="E307" s="266"/>
      <c r="F307" s="268"/>
      <c r="G307" s="268"/>
      <c r="H307" s="266"/>
      <c r="I307" s="266"/>
      <c r="J307" s="266"/>
      <c r="K307" s="266"/>
      <c r="L307" s="266"/>
      <c r="M307" s="266"/>
      <c r="N307" s="266"/>
      <c r="O307" s="271"/>
    </row>
    <row r="308">
      <c r="A308" s="279"/>
      <c r="B308" s="279"/>
      <c r="C308" s="281"/>
      <c r="D308" s="279"/>
      <c r="E308" s="279"/>
      <c r="F308" s="284"/>
      <c r="G308" s="284"/>
      <c r="H308" s="279"/>
      <c r="I308" s="279"/>
      <c r="J308" s="279"/>
      <c r="K308" s="279"/>
      <c r="L308" s="285"/>
      <c r="M308" s="285"/>
      <c r="N308" s="279"/>
      <c r="O308" s="283"/>
    </row>
    <row r="309">
      <c r="A309" s="266"/>
      <c r="B309" s="266"/>
      <c r="C309" s="269"/>
      <c r="D309" s="272"/>
      <c r="E309" s="266"/>
      <c r="F309" s="268"/>
      <c r="G309" s="268"/>
      <c r="H309" s="266"/>
      <c r="I309" s="266"/>
      <c r="J309" s="266"/>
      <c r="K309" s="266"/>
      <c r="L309" s="266"/>
      <c r="M309" s="266"/>
      <c r="N309" s="266"/>
      <c r="O309" s="271"/>
    </row>
    <row r="310">
      <c r="A310" s="279"/>
      <c r="B310" s="279"/>
      <c r="C310" s="281"/>
      <c r="D310" s="279"/>
      <c r="E310" s="279"/>
      <c r="F310" s="284"/>
      <c r="G310" s="284"/>
      <c r="H310" s="279"/>
      <c r="I310" s="279"/>
      <c r="J310" s="279"/>
      <c r="K310" s="279"/>
      <c r="L310" s="285"/>
      <c r="M310" s="285"/>
      <c r="N310" s="279"/>
      <c r="O310" s="283"/>
    </row>
    <row r="311">
      <c r="A311" s="266"/>
      <c r="B311" s="266"/>
      <c r="C311" s="269"/>
      <c r="D311" s="272"/>
      <c r="E311" s="266"/>
      <c r="F311" s="268"/>
      <c r="G311" s="268"/>
      <c r="H311" s="266"/>
      <c r="I311" s="266"/>
      <c r="J311" s="266"/>
      <c r="K311" s="266"/>
      <c r="L311" s="266"/>
      <c r="M311" s="266"/>
      <c r="N311" s="266"/>
      <c r="O311" s="271"/>
    </row>
    <row r="312">
      <c r="A312" s="279"/>
      <c r="B312" s="279"/>
      <c r="C312" s="281"/>
      <c r="D312" s="279"/>
      <c r="E312" s="279"/>
      <c r="F312" s="284"/>
      <c r="G312" s="284"/>
      <c r="H312" s="279"/>
      <c r="I312" s="279"/>
      <c r="J312" s="279"/>
      <c r="K312" s="279"/>
      <c r="L312" s="285"/>
      <c r="M312" s="285"/>
      <c r="N312" s="279"/>
      <c r="O312" s="283"/>
    </row>
    <row r="313">
      <c r="A313" s="266"/>
      <c r="B313" s="266"/>
      <c r="C313" s="269"/>
      <c r="D313" s="272"/>
      <c r="E313" s="266"/>
      <c r="F313" s="268"/>
      <c r="G313" s="268"/>
      <c r="H313" s="266"/>
      <c r="I313" s="266"/>
      <c r="J313" s="266"/>
      <c r="K313" s="266"/>
      <c r="L313" s="266"/>
      <c r="M313" s="266"/>
      <c r="N313" s="266"/>
      <c r="O313" s="271"/>
    </row>
    <row r="314">
      <c r="A314" s="279"/>
      <c r="B314" s="279"/>
      <c r="C314" s="281"/>
      <c r="D314" s="279"/>
      <c r="E314" s="279"/>
      <c r="F314" s="284"/>
      <c r="G314" s="284"/>
      <c r="H314" s="279"/>
      <c r="I314" s="279"/>
      <c r="J314" s="279"/>
      <c r="K314" s="279"/>
      <c r="L314" s="285"/>
      <c r="M314" s="285"/>
      <c r="N314" s="279"/>
      <c r="O314" s="283"/>
    </row>
    <row r="315">
      <c r="A315" s="266"/>
      <c r="B315" s="266"/>
      <c r="C315" s="269"/>
      <c r="D315" s="272"/>
      <c r="E315" s="266"/>
      <c r="F315" s="268"/>
      <c r="G315" s="268"/>
      <c r="H315" s="266"/>
      <c r="I315" s="266"/>
      <c r="J315" s="266"/>
      <c r="K315" s="266"/>
      <c r="L315" s="266"/>
      <c r="M315" s="266"/>
      <c r="N315" s="266"/>
      <c r="O315" s="271"/>
    </row>
    <row r="316">
      <c r="A316" s="279"/>
      <c r="B316" s="279"/>
      <c r="C316" s="281"/>
      <c r="D316" s="279"/>
      <c r="E316" s="279"/>
      <c r="F316" s="284"/>
      <c r="G316" s="284"/>
      <c r="H316" s="279"/>
      <c r="I316" s="279"/>
      <c r="J316" s="279"/>
      <c r="K316" s="279"/>
      <c r="L316" s="285"/>
      <c r="M316" s="285"/>
      <c r="N316" s="279"/>
      <c r="O316" s="283"/>
    </row>
    <row r="317">
      <c r="A317" s="266"/>
      <c r="B317" s="266"/>
      <c r="C317" s="269"/>
      <c r="D317" s="272"/>
      <c r="E317" s="266"/>
      <c r="F317" s="268"/>
      <c r="G317" s="268"/>
      <c r="H317" s="266"/>
      <c r="I317" s="266"/>
      <c r="J317" s="266"/>
      <c r="K317" s="266"/>
      <c r="L317" s="266"/>
      <c r="M317" s="266"/>
      <c r="N317" s="266"/>
      <c r="O317" s="271"/>
    </row>
    <row r="318">
      <c r="A318" s="279"/>
      <c r="B318" s="279"/>
      <c r="C318" s="281"/>
      <c r="D318" s="279"/>
      <c r="E318" s="279"/>
      <c r="F318" s="284"/>
      <c r="G318" s="284"/>
      <c r="H318" s="279"/>
      <c r="I318" s="279"/>
      <c r="J318" s="279"/>
      <c r="K318" s="279"/>
      <c r="L318" s="285"/>
      <c r="M318" s="285"/>
      <c r="N318" s="279"/>
      <c r="O318" s="283"/>
    </row>
    <row r="319">
      <c r="A319" s="266"/>
      <c r="B319" s="266"/>
      <c r="C319" s="269"/>
      <c r="D319" s="272"/>
      <c r="E319" s="266"/>
      <c r="F319" s="268"/>
      <c r="G319" s="268"/>
      <c r="H319" s="266"/>
      <c r="I319" s="266"/>
      <c r="J319" s="266"/>
      <c r="K319" s="266"/>
      <c r="L319" s="266"/>
      <c r="M319" s="266"/>
      <c r="N319" s="266"/>
      <c r="O319" s="271"/>
    </row>
    <row r="320">
      <c r="A320" s="279"/>
      <c r="B320" s="279"/>
      <c r="C320" s="281"/>
      <c r="D320" s="279"/>
      <c r="E320" s="279"/>
      <c r="F320" s="284"/>
      <c r="G320" s="284"/>
      <c r="H320" s="279"/>
      <c r="I320" s="279"/>
      <c r="J320" s="279"/>
      <c r="K320" s="279"/>
      <c r="L320" s="285"/>
      <c r="M320" s="285"/>
      <c r="N320" s="279"/>
      <c r="O320" s="283"/>
    </row>
    <row r="321">
      <c r="A321" s="266"/>
      <c r="B321" s="266"/>
      <c r="C321" s="269"/>
      <c r="D321" s="272"/>
      <c r="E321" s="266"/>
      <c r="F321" s="268"/>
      <c r="G321" s="268"/>
      <c r="H321" s="266"/>
      <c r="I321" s="266"/>
      <c r="J321" s="266"/>
      <c r="K321" s="266"/>
      <c r="L321" s="266"/>
      <c r="M321" s="266"/>
      <c r="N321" s="266"/>
      <c r="O321" s="271"/>
    </row>
    <row r="322">
      <c r="A322" s="279"/>
      <c r="B322" s="279"/>
      <c r="C322" s="281"/>
      <c r="D322" s="279"/>
      <c r="E322" s="279"/>
      <c r="F322" s="284"/>
      <c r="G322" s="284"/>
      <c r="H322" s="279"/>
      <c r="I322" s="279"/>
      <c r="J322" s="279"/>
      <c r="K322" s="279"/>
      <c r="L322" s="285"/>
      <c r="M322" s="285"/>
      <c r="N322" s="279"/>
      <c r="O322" s="283"/>
    </row>
    <row r="323">
      <c r="A323" s="266"/>
      <c r="B323" s="266"/>
      <c r="C323" s="269"/>
      <c r="D323" s="272"/>
      <c r="E323" s="266"/>
      <c r="F323" s="268"/>
      <c r="G323" s="268"/>
      <c r="H323" s="266"/>
      <c r="I323" s="266"/>
      <c r="J323" s="266"/>
      <c r="K323" s="266"/>
      <c r="L323" s="266"/>
      <c r="M323" s="266"/>
      <c r="N323" s="266"/>
      <c r="O323" s="271"/>
    </row>
    <row r="324">
      <c r="A324" s="276"/>
      <c r="B324" s="276"/>
      <c r="C324" s="275"/>
      <c r="D324" s="276"/>
      <c r="E324" s="277"/>
      <c r="F324" s="278"/>
      <c r="G324" s="276"/>
      <c r="H324" s="277"/>
      <c r="I324" s="277"/>
      <c r="J324" s="276"/>
      <c r="K324" s="276"/>
      <c r="L324" s="277"/>
      <c r="M324" s="276"/>
      <c r="N324" s="277"/>
      <c r="O324" s="84"/>
    </row>
    <row r="325">
      <c r="A325" s="276"/>
      <c r="B325" s="276"/>
      <c r="C325" s="275"/>
      <c r="D325" s="276"/>
      <c r="E325" s="277"/>
      <c r="F325" s="278"/>
      <c r="G325" s="276"/>
      <c r="H325" s="277"/>
      <c r="I325" s="277"/>
      <c r="J325" s="276"/>
      <c r="K325" s="276"/>
      <c r="L325" s="277"/>
      <c r="M325" s="276"/>
      <c r="N325" s="277"/>
      <c r="O325" s="84"/>
    </row>
    <row r="326">
      <c r="A326" s="276"/>
      <c r="B326" s="276"/>
      <c r="C326" s="275"/>
      <c r="D326" s="276"/>
      <c r="E326" s="277"/>
      <c r="F326" s="278"/>
      <c r="G326" s="276"/>
      <c r="H326" s="277"/>
      <c r="I326" s="277"/>
      <c r="J326" s="276"/>
      <c r="K326" s="276"/>
      <c r="L326" s="277"/>
      <c r="M326" s="276"/>
      <c r="N326" s="277"/>
      <c r="O326" s="84"/>
    </row>
    <row r="327">
      <c r="A327" s="276"/>
      <c r="B327" s="276"/>
      <c r="C327" s="275"/>
      <c r="D327" s="276"/>
      <c r="E327" s="277"/>
      <c r="F327" s="278"/>
      <c r="G327" s="276"/>
      <c r="H327" s="277"/>
      <c r="I327" s="277"/>
      <c r="J327" s="276"/>
      <c r="K327" s="276"/>
      <c r="L327" s="277"/>
      <c r="M327" s="276"/>
      <c r="N327" s="277"/>
      <c r="O327" s="84"/>
    </row>
    <row r="328">
      <c r="A328" s="276"/>
      <c r="B328" s="276"/>
      <c r="C328" s="275"/>
      <c r="D328" s="276"/>
      <c r="E328" s="277"/>
      <c r="F328" s="278"/>
      <c r="G328" s="276"/>
      <c r="H328" s="277"/>
      <c r="I328" s="277"/>
      <c r="J328" s="276"/>
      <c r="K328" s="276"/>
      <c r="L328" s="277"/>
      <c r="M328" s="276"/>
      <c r="N328" s="277"/>
      <c r="O328" s="84"/>
    </row>
    <row r="329">
      <c r="A329" s="276"/>
      <c r="B329" s="276"/>
      <c r="C329" s="275"/>
      <c r="D329" s="276"/>
      <c r="E329" s="277"/>
      <c r="F329" s="278"/>
      <c r="G329" s="276"/>
      <c r="H329" s="277"/>
      <c r="I329" s="277"/>
      <c r="J329" s="276"/>
      <c r="K329" s="276"/>
      <c r="L329" s="277"/>
      <c r="M329" s="276"/>
      <c r="N329" s="277"/>
      <c r="O329" s="84"/>
    </row>
    <row r="330">
      <c r="A330" s="276"/>
      <c r="B330" s="276"/>
      <c r="C330" s="275"/>
      <c r="D330" s="276"/>
      <c r="E330" s="277"/>
      <c r="F330" s="278"/>
      <c r="G330" s="276"/>
      <c r="H330" s="277"/>
      <c r="I330" s="277"/>
      <c r="J330" s="276"/>
      <c r="K330" s="276"/>
      <c r="L330" s="277"/>
      <c r="M330" s="276"/>
      <c r="N330" s="277"/>
      <c r="O330" s="84"/>
    </row>
    <row r="331">
      <c r="A331" s="276"/>
      <c r="B331" s="276"/>
      <c r="C331" s="275"/>
      <c r="D331" s="276"/>
      <c r="E331" s="277"/>
      <c r="F331" s="278"/>
      <c r="G331" s="276"/>
      <c r="H331" s="277"/>
      <c r="I331" s="277"/>
      <c r="J331" s="276"/>
      <c r="K331" s="276"/>
      <c r="L331" s="277"/>
      <c r="M331" s="276"/>
      <c r="N331" s="277"/>
      <c r="O331" s="84"/>
    </row>
    <row r="332">
      <c r="A332" s="276"/>
      <c r="B332" s="276"/>
      <c r="C332" s="275"/>
      <c r="D332" s="276"/>
      <c r="E332" s="277"/>
      <c r="F332" s="278"/>
      <c r="G332" s="276"/>
      <c r="H332" s="277"/>
      <c r="I332" s="277"/>
      <c r="J332" s="276"/>
      <c r="K332" s="276"/>
      <c r="L332" s="277"/>
      <c r="M332" s="276"/>
      <c r="N332" s="277"/>
      <c r="O332" s="84"/>
    </row>
    <row r="333">
      <c r="A333" s="276"/>
      <c r="B333" s="276"/>
      <c r="C333" s="275"/>
      <c r="D333" s="276"/>
      <c r="E333" s="277"/>
      <c r="F333" s="278"/>
      <c r="G333" s="276"/>
      <c r="H333" s="277"/>
      <c r="I333" s="277"/>
      <c r="J333" s="276"/>
      <c r="K333" s="276"/>
      <c r="L333" s="277"/>
      <c r="M333" s="276"/>
      <c r="N333" s="277"/>
      <c r="O333" s="84"/>
    </row>
    <row r="334">
      <c r="A334" s="276"/>
      <c r="B334" s="276"/>
      <c r="C334" s="275"/>
      <c r="D334" s="276"/>
      <c r="E334" s="277"/>
      <c r="F334" s="278"/>
      <c r="G334" s="276"/>
      <c r="H334" s="277"/>
      <c r="I334" s="277"/>
      <c r="J334" s="276"/>
      <c r="K334" s="276"/>
      <c r="L334" s="277"/>
      <c r="M334" s="276"/>
      <c r="N334" s="277"/>
      <c r="O334" s="84"/>
    </row>
    <row r="335">
      <c r="A335" s="276"/>
      <c r="B335" s="276"/>
      <c r="C335" s="275"/>
      <c r="D335" s="276"/>
      <c r="E335" s="277"/>
      <c r="F335" s="278"/>
      <c r="G335" s="276"/>
      <c r="H335" s="277"/>
      <c r="I335" s="277"/>
      <c r="J335" s="276"/>
      <c r="K335" s="276"/>
      <c r="L335" s="277"/>
      <c r="M335" s="276"/>
      <c r="N335" s="277"/>
      <c r="O335" s="84"/>
    </row>
    <row r="336">
      <c r="A336" s="276"/>
      <c r="B336" s="276"/>
      <c r="C336" s="275"/>
      <c r="D336" s="276"/>
      <c r="E336" s="277"/>
      <c r="F336" s="278"/>
      <c r="G336" s="276"/>
      <c r="H336" s="277"/>
      <c r="I336" s="277"/>
      <c r="J336" s="276"/>
      <c r="K336" s="276"/>
      <c r="L336" s="277"/>
      <c r="M336" s="276"/>
      <c r="N336" s="277"/>
      <c r="O336" s="84"/>
    </row>
    <row r="337">
      <c r="A337" s="276"/>
      <c r="B337" s="276"/>
      <c r="C337" s="275"/>
      <c r="D337" s="276"/>
      <c r="E337" s="277"/>
      <c r="F337" s="278"/>
      <c r="G337" s="276"/>
      <c r="H337" s="277"/>
      <c r="I337" s="277"/>
      <c r="J337" s="276"/>
      <c r="K337" s="276"/>
      <c r="L337" s="277"/>
      <c r="M337" s="276"/>
      <c r="N337" s="277"/>
      <c r="O337" s="84"/>
    </row>
    <row r="338">
      <c r="A338" s="276"/>
      <c r="B338" s="276"/>
      <c r="C338" s="275"/>
      <c r="D338" s="276"/>
      <c r="E338" s="277"/>
      <c r="F338" s="278"/>
      <c r="G338" s="276"/>
      <c r="H338" s="277"/>
      <c r="I338" s="277"/>
      <c r="J338" s="276"/>
      <c r="K338" s="276"/>
      <c r="L338" s="277"/>
      <c r="M338" s="276"/>
      <c r="N338" s="277"/>
      <c r="O338" s="84"/>
    </row>
    <row r="339">
      <c r="A339" s="276"/>
      <c r="B339" s="276"/>
      <c r="C339" s="275"/>
      <c r="D339" s="276"/>
      <c r="E339" s="277"/>
      <c r="F339" s="278"/>
      <c r="G339" s="276"/>
      <c r="H339" s="277"/>
      <c r="I339" s="277"/>
      <c r="J339" s="276"/>
      <c r="K339" s="276"/>
      <c r="L339" s="277"/>
      <c r="M339" s="276"/>
      <c r="N339" s="277"/>
      <c r="O339" s="84"/>
    </row>
    <row r="340">
      <c r="A340" s="276"/>
      <c r="B340" s="276"/>
      <c r="C340" s="275"/>
      <c r="D340" s="276"/>
      <c r="E340" s="277"/>
      <c r="F340" s="278"/>
      <c r="G340" s="276"/>
      <c r="H340" s="277"/>
      <c r="I340" s="277"/>
      <c r="J340" s="276"/>
      <c r="K340" s="276"/>
      <c r="L340" s="277"/>
      <c r="M340" s="276"/>
      <c r="N340" s="277"/>
      <c r="O340" s="84"/>
    </row>
    <row r="341">
      <c r="A341" s="276"/>
      <c r="B341" s="276"/>
      <c r="C341" s="275"/>
      <c r="D341" s="276"/>
      <c r="E341" s="277"/>
      <c r="F341" s="278"/>
      <c r="G341" s="276"/>
      <c r="H341" s="277"/>
      <c r="I341" s="277"/>
      <c r="J341" s="276"/>
      <c r="K341" s="276"/>
      <c r="L341" s="277"/>
      <c r="M341" s="276"/>
      <c r="N341" s="277"/>
      <c r="O341" s="84"/>
    </row>
    <row r="342">
      <c r="A342" s="276"/>
      <c r="B342" s="276"/>
      <c r="C342" s="275"/>
      <c r="D342" s="276"/>
      <c r="E342" s="277"/>
      <c r="F342" s="278"/>
      <c r="G342" s="276"/>
      <c r="H342" s="277"/>
      <c r="I342" s="277"/>
      <c r="J342" s="276"/>
      <c r="K342" s="276"/>
      <c r="L342" s="277"/>
      <c r="M342" s="276"/>
      <c r="N342" s="277"/>
      <c r="O342" s="84"/>
    </row>
    <row r="343">
      <c r="A343" s="276"/>
      <c r="B343" s="276"/>
      <c r="C343" s="275"/>
      <c r="D343" s="276"/>
      <c r="E343" s="277"/>
      <c r="F343" s="278"/>
      <c r="G343" s="276"/>
      <c r="H343" s="277"/>
      <c r="I343" s="277"/>
      <c r="J343" s="276"/>
      <c r="K343" s="276"/>
      <c r="L343" s="277"/>
      <c r="M343" s="276"/>
      <c r="N343" s="277"/>
      <c r="O343" s="84"/>
    </row>
    <row r="344">
      <c r="A344" s="276"/>
      <c r="B344" s="276"/>
      <c r="C344" s="275"/>
      <c r="D344" s="276"/>
      <c r="E344" s="277"/>
      <c r="F344" s="278"/>
      <c r="G344" s="276"/>
      <c r="H344" s="277"/>
      <c r="I344" s="277"/>
      <c r="J344" s="276"/>
      <c r="K344" s="276"/>
      <c r="L344" s="277"/>
      <c r="M344" s="276"/>
      <c r="N344" s="277"/>
      <c r="O344" s="84"/>
    </row>
    <row r="345">
      <c r="A345" s="276"/>
      <c r="B345" s="276"/>
      <c r="C345" s="275"/>
      <c r="D345" s="276"/>
      <c r="E345" s="277"/>
      <c r="F345" s="278"/>
      <c r="G345" s="276"/>
      <c r="H345" s="277"/>
      <c r="I345" s="277"/>
      <c r="J345" s="276"/>
      <c r="K345" s="276"/>
      <c r="L345" s="277"/>
      <c r="M345" s="276"/>
      <c r="N345" s="277"/>
      <c r="O345" s="84"/>
    </row>
    <row r="346">
      <c r="A346" s="276"/>
      <c r="B346" s="276"/>
      <c r="C346" s="275"/>
      <c r="D346" s="276"/>
      <c r="E346" s="277"/>
      <c r="F346" s="278"/>
      <c r="G346" s="276"/>
      <c r="H346" s="277"/>
      <c r="I346" s="277"/>
      <c r="J346" s="276"/>
      <c r="K346" s="276"/>
      <c r="L346" s="277"/>
      <c r="M346" s="276"/>
      <c r="N346" s="277"/>
      <c r="O346" s="84"/>
    </row>
    <row r="347">
      <c r="A347" s="276"/>
      <c r="B347" s="276"/>
      <c r="C347" s="275"/>
      <c r="D347" s="276"/>
      <c r="E347" s="277"/>
      <c r="F347" s="278"/>
      <c r="G347" s="276"/>
      <c r="H347" s="277"/>
      <c r="I347" s="277"/>
      <c r="J347" s="276"/>
      <c r="K347" s="276"/>
      <c r="L347" s="277"/>
      <c r="M347" s="276"/>
      <c r="N347" s="277"/>
      <c r="O347" s="84"/>
    </row>
    <row r="348">
      <c r="A348" s="276"/>
      <c r="B348" s="276"/>
      <c r="C348" s="275"/>
      <c r="D348" s="276"/>
      <c r="E348" s="277"/>
      <c r="F348" s="278"/>
      <c r="G348" s="276"/>
      <c r="H348" s="277"/>
      <c r="I348" s="277"/>
      <c r="J348" s="276"/>
      <c r="K348" s="276"/>
      <c r="L348" s="277"/>
      <c r="M348" s="276"/>
      <c r="N348" s="277"/>
      <c r="O348" s="84"/>
    </row>
    <row r="349">
      <c r="A349" s="276"/>
      <c r="B349" s="276"/>
      <c r="C349" s="275"/>
      <c r="D349" s="276"/>
      <c r="E349" s="277"/>
      <c r="F349" s="278"/>
      <c r="G349" s="276"/>
      <c r="H349" s="277"/>
      <c r="I349" s="277"/>
      <c r="J349" s="276"/>
      <c r="K349" s="276"/>
      <c r="L349" s="277"/>
      <c r="M349" s="276"/>
      <c r="N349" s="277"/>
      <c r="O349" s="84"/>
    </row>
    <row r="350">
      <c r="A350" s="276"/>
      <c r="B350" s="276"/>
      <c r="C350" s="275"/>
      <c r="D350" s="276"/>
      <c r="E350" s="277"/>
      <c r="F350" s="278"/>
      <c r="G350" s="276"/>
      <c r="H350" s="277"/>
      <c r="I350" s="277"/>
      <c r="J350" s="276"/>
      <c r="K350" s="276"/>
      <c r="L350" s="277"/>
      <c r="M350" s="276"/>
      <c r="N350" s="277"/>
      <c r="O350" s="84"/>
    </row>
    <row r="351">
      <c r="A351" s="276"/>
      <c r="B351" s="276"/>
      <c r="C351" s="275"/>
      <c r="D351" s="276"/>
      <c r="E351" s="277"/>
      <c r="F351" s="278"/>
      <c r="G351" s="276"/>
      <c r="H351" s="277"/>
      <c r="I351" s="277"/>
      <c r="J351" s="276"/>
      <c r="K351" s="276"/>
      <c r="L351" s="277"/>
      <c r="M351" s="276"/>
      <c r="N351" s="277"/>
      <c r="O351" s="84"/>
    </row>
    <row r="352">
      <c r="A352" s="276"/>
      <c r="B352" s="276"/>
      <c r="C352" s="275"/>
      <c r="D352" s="276"/>
      <c r="E352" s="277"/>
      <c r="F352" s="278"/>
      <c r="G352" s="276"/>
      <c r="H352" s="277"/>
      <c r="I352" s="277"/>
      <c r="J352" s="276"/>
      <c r="K352" s="276"/>
      <c r="L352" s="277"/>
      <c r="M352" s="276"/>
      <c r="N352" s="277"/>
      <c r="O352" s="84"/>
    </row>
    <row r="353">
      <c r="A353" s="276"/>
      <c r="B353" s="276"/>
      <c r="C353" s="275"/>
      <c r="D353" s="276"/>
      <c r="E353" s="277"/>
      <c r="F353" s="278"/>
      <c r="G353" s="276"/>
      <c r="H353" s="277"/>
      <c r="I353" s="277"/>
      <c r="J353" s="276"/>
      <c r="K353" s="276"/>
      <c r="L353" s="277"/>
      <c r="M353" s="276"/>
      <c r="N353" s="277"/>
      <c r="O353" s="84"/>
    </row>
    <row r="354">
      <c r="A354" s="276"/>
      <c r="B354" s="276"/>
      <c r="C354" s="275"/>
      <c r="D354" s="276"/>
      <c r="E354" s="277"/>
      <c r="F354" s="278"/>
      <c r="G354" s="276"/>
      <c r="H354" s="277"/>
      <c r="I354" s="277"/>
      <c r="J354" s="276"/>
      <c r="K354" s="276"/>
      <c r="L354" s="277"/>
      <c r="M354" s="276"/>
      <c r="N354" s="277"/>
      <c r="O354" s="84"/>
    </row>
    <row r="355">
      <c r="A355" s="276"/>
      <c r="B355" s="276"/>
      <c r="C355" s="275"/>
      <c r="D355" s="276"/>
      <c r="E355" s="277"/>
      <c r="F355" s="278"/>
      <c r="G355" s="276"/>
      <c r="H355" s="277"/>
      <c r="I355" s="277"/>
      <c r="J355" s="276"/>
      <c r="K355" s="276"/>
      <c r="L355" s="277"/>
      <c r="M355" s="276"/>
      <c r="N355" s="277"/>
      <c r="O355" s="84"/>
    </row>
    <row r="356">
      <c r="A356" s="276"/>
      <c r="B356" s="276"/>
      <c r="C356" s="275"/>
      <c r="D356" s="276"/>
      <c r="E356" s="277"/>
      <c r="F356" s="278"/>
      <c r="G356" s="276"/>
      <c r="H356" s="277"/>
      <c r="I356" s="277"/>
      <c r="J356" s="276"/>
      <c r="K356" s="276"/>
      <c r="L356" s="277"/>
      <c r="M356" s="276"/>
      <c r="N356" s="277"/>
      <c r="O356" s="84"/>
    </row>
    <row r="357">
      <c r="A357" s="276"/>
      <c r="B357" s="276"/>
      <c r="C357" s="275"/>
      <c r="D357" s="276"/>
      <c r="E357" s="277"/>
      <c r="F357" s="278"/>
      <c r="G357" s="276"/>
      <c r="H357" s="277"/>
      <c r="I357" s="277"/>
      <c r="J357" s="276"/>
      <c r="K357" s="276"/>
      <c r="L357" s="277"/>
      <c r="M357" s="276"/>
      <c r="N357" s="277"/>
      <c r="O357" s="84"/>
    </row>
    <row r="358">
      <c r="A358" s="276"/>
      <c r="B358" s="276"/>
      <c r="C358" s="275"/>
      <c r="D358" s="276"/>
      <c r="E358" s="277"/>
      <c r="F358" s="278"/>
      <c r="G358" s="276"/>
      <c r="H358" s="277"/>
      <c r="I358" s="277"/>
      <c r="J358" s="276"/>
      <c r="K358" s="276"/>
      <c r="L358" s="277"/>
      <c r="M358" s="276"/>
      <c r="N358" s="277"/>
      <c r="O358" s="84"/>
    </row>
    <row r="359">
      <c r="A359" s="276"/>
      <c r="B359" s="276"/>
      <c r="C359" s="275"/>
      <c r="D359" s="276"/>
      <c r="E359" s="277"/>
      <c r="F359" s="278"/>
      <c r="G359" s="276"/>
      <c r="H359" s="277"/>
      <c r="I359" s="277"/>
      <c r="J359" s="276"/>
      <c r="K359" s="276"/>
      <c r="L359" s="277"/>
      <c r="M359" s="276"/>
      <c r="N359" s="277"/>
      <c r="O359" s="84"/>
    </row>
    <row r="360">
      <c r="A360" s="276"/>
      <c r="B360" s="276"/>
      <c r="C360" s="275"/>
      <c r="D360" s="276"/>
      <c r="E360" s="277"/>
      <c r="F360" s="278"/>
      <c r="G360" s="276"/>
      <c r="H360" s="277"/>
      <c r="I360" s="277"/>
      <c r="J360" s="276"/>
      <c r="K360" s="276"/>
      <c r="L360" s="277"/>
      <c r="M360" s="276"/>
      <c r="N360" s="277"/>
      <c r="O360" s="84"/>
    </row>
    <row r="361">
      <c r="A361" s="276"/>
      <c r="B361" s="276"/>
      <c r="C361" s="275"/>
      <c r="D361" s="276"/>
      <c r="E361" s="277"/>
      <c r="F361" s="278"/>
      <c r="G361" s="276"/>
      <c r="H361" s="277"/>
      <c r="I361" s="277"/>
      <c r="J361" s="276"/>
      <c r="K361" s="276"/>
      <c r="L361" s="277"/>
      <c r="M361" s="276"/>
      <c r="N361" s="277"/>
      <c r="O361" s="84"/>
    </row>
    <row r="362">
      <c r="A362" s="276"/>
      <c r="B362" s="276"/>
      <c r="C362" s="275"/>
      <c r="D362" s="276"/>
      <c r="E362" s="277"/>
      <c r="F362" s="278"/>
      <c r="G362" s="276"/>
      <c r="H362" s="277"/>
      <c r="I362" s="277"/>
      <c r="J362" s="276"/>
      <c r="K362" s="276"/>
      <c r="L362" s="277"/>
      <c r="M362" s="276"/>
      <c r="N362" s="277"/>
      <c r="O362" s="84"/>
    </row>
    <row r="363">
      <c r="A363" s="276"/>
      <c r="B363" s="276"/>
      <c r="C363" s="275"/>
      <c r="D363" s="276"/>
      <c r="E363" s="277"/>
      <c r="F363" s="278"/>
      <c r="G363" s="276"/>
      <c r="H363" s="277"/>
      <c r="I363" s="277"/>
      <c r="J363" s="276"/>
      <c r="K363" s="276"/>
      <c r="L363" s="277"/>
      <c r="M363" s="276"/>
      <c r="N363" s="277"/>
      <c r="O363" s="84"/>
    </row>
    <row r="364">
      <c r="A364" s="276"/>
      <c r="B364" s="276"/>
      <c r="C364" s="275"/>
      <c r="D364" s="276"/>
      <c r="E364" s="277"/>
      <c r="F364" s="278"/>
      <c r="G364" s="276"/>
      <c r="H364" s="277"/>
      <c r="I364" s="277"/>
      <c r="J364" s="276"/>
      <c r="K364" s="276"/>
      <c r="L364" s="277"/>
      <c r="M364" s="276"/>
      <c r="N364" s="277"/>
      <c r="O364" s="84"/>
    </row>
    <row r="365">
      <c r="A365" s="276"/>
      <c r="B365" s="276"/>
      <c r="C365" s="275"/>
      <c r="D365" s="276"/>
      <c r="E365" s="277"/>
      <c r="F365" s="278"/>
      <c r="G365" s="276"/>
      <c r="H365" s="277"/>
      <c r="I365" s="277"/>
      <c r="J365" s="276"/>
      <c r="K365" s="276"/>
      <c r="L365" s="277"/>
      <c r="M365" s="276"/>
      <c r="N365" s="277"/>
      <c r="O365" s="84"/>
    </row>
    <row r="366">
      <c r="A366" s="276"/>
      <c r="B366" s="276"/>
      <c r="C366" s="275"/>
      <c r="D366" s="276"/>
      <c r="E366" s="277"/>
      <c r="F366" s="278"/>
      <c r="G366" s="276"/>
      <c r="H366" s="277"/>
      <c r="I366" s="277"/>
      <c r="J366" s="276"/>
      <c r="K366" s="276"/>
      <c r="L366" s="277"/>
      <c r="M366" s="276"/>
      <c r="N366" s="277"/>
      <c r="O366" s="84"/>
    </row>
    <row r="367">
      <c r="A367" s="276"/>
      <c r="B367" s="276"/>
      <c r="C367" s="275"/>
      <c r="D367" s="276"/>
      <c r="E367" s="277"/>
      <c r="F367" s="278"/>
      <c r="G367" s="276"/>
      <c r="H367" s="277"/>
      <c r="I367" s="277"/>
      <c r="J367" s="276"/>
      <c r="K367" s="276"/>
      <c r="L367" s="277"/>
      <c r="M367" s="276"/>
      <c r="N367" s="277"/>
      <c r="O367" s="84"/>
    </row>
    <row r="368">
      <c r="A368" s="276"/>
      <c r="B368" s="276"/>
      <c r="C368" s="275"/>
      <c r="D368" s="276"/>
      <c r="E368" s="277"/>
      <c r="F368" s="278"/>
      <c r="G368" s="276"/>
      <c r="H368" s="277"/>
      <c r="I368" s="277"/>
      <c r="J368" s="276"/>
      <c r="K368" s="276"/>
      <c r="L368" s="277"/>
      <c r="M368" s="276"/>
      <c r="N368" s="277"/>
      <c r="O368" s="84"/>
    </row>
    <row r="369">
      <c r="A369" s="276"/>
      <c r="B369" s="276"/>
      <c r="C369" s="275"/>
      <c r="D369" s="276"/>
      <c r="E369" s="277"/>
      <c r="F369" s="278"/>
      <c r="G369" s="276"/>
      <c r="H369" s="277"/>
      <c r="I369" s="277"/>
      <c r="J369" s="276"/>
      <c r="K369" s="276"/>
      <c r="L369" s="277"/>
      <c r="M369" s="276"/>
      <c r="N369" s="277"/>
      <c r="O369" s="84"/>
    </row>
    <row r="370">
      <c r="A370" s="276"/>
      <c r="B370" s="276"/>
      <c r="C370" s="275"/>
      <c r="D370" s="276"/>
      <c r="E370" s="277"/>
      <c r="F370" s="278"/>
      <c r="G370" s="276"/>
      <c r="H370" s="277"/>
      <c r="I370" s="277"/>
      <c r="J370" s="276"/>
      <c r="K370" s="276"/>
      <c r="L370" s="277"/>
      <c r="M370" s="276"/>
      <c r="N370" s="277"/>
      <c r="O370" s="84"/>
    </row>
    <row r="371">
      <c r="A371" s="276"/>
      <c r="B371" s="276"/>
      <c r="C371" s="275"/>
      <c r="D371" s="276"/>
      <c r="E371" s="277"/>
      <c r="F371" s="278"/>
      <c r="G371" s="276"/>
      <c r="H371" s="277"/>
      <c r="I371" s="277"/>
      <c r="J371" s="276"/>
      <c r="K371" s="276"/>
      <c r="L371" s="277"/>
      <c r="M371" s="276"/>
      <c r="N371" s="277"/>
      <c r="O371" s="84"/>
    </row>
    <row r="372">
      <c r="A372" s="276"/>
      <c r="B372" s="276"/>
      <c r="C372" s="275"/>
      <c r="D372" s="276"/>
      <c r="E372" s="277"/>
      <c r="F372" s="278"/>
      <c r="G372" s="276"/>
      <c r="H372" s="277"/>
      <c r="I372" s="277"/>
      <c r="J372" s="276"/>
      <c r="K372" s="276"/>
      <c r="L372" s="277"/>
      <c r="M372" s="276"/>
      <c r="N372" s="277"/>
      <c r="O372" s="84"/>
    </row>
    <row r="373">
      <c r="A373" s="276"/>
      <c r="B373" s="276"/>
      <c r="C373" s="275"/>
      <c r="D373" s="276"/>
      <c r="E373" s="277"/>
      <c r="F373" s="278"/>
      <c r="G373" s="276"/>
      <c r="H373" s="277"/>
      <c r="I373" s="277"/>
      <c r="J373" s="276"/>
      <c r="K373" s="276"/>
      <c r="L373" s="277"/>
      <c r="M373" s="276"/>
      <c r="N373" s="277"/>
      <c r="O373" s="84"/>
    </row>
    <row r="374">
      <c r="A374" s="276"/>
      <c r="B374" s="276"/>
      <c r="C374" s="275"/>
      <c r="D374" s="276"/>
      <c r="E374" s="277"/>
      <c r="F374" s="278"/>
      <c r="G374" s="276"/>
      <c r="H374" s="277"/>
      <c r="I374" s="277"/>
      <c r="J374" s="276"/>
      <c r="K374" s="276"/>
      <c r="L374" s="277"/>
      <c r="M374" s="276"/>
      <c r="N374" s="277"/>
      <c r="O374" s="84"/>
    </row>
    <row r="375">
      <c r="A375" s="276"/>
      <c r="B375" s="276"/>
      <c r="C375" s="275"/>
      <c r="D375" s="276"/>
      <c r="E375" s="277"/>
      <c r="F375" s="278"/>
      <c r="G375" s="276"/>
      <c r="H375" s="277"/>
      <c r="I375" s="277"/>
      <c r="J375" s="276"/>
      <c r="K375" s="276"/>
      <c r="L375" s="277"/>
      <c r="M375" s="276"/>
      <c r="N375" s="277"/>
      <c r="O375" s="84"/>
    </row>
    <row r="376">
      <c r="A376" s="276"/>
      <c r="B376" s="276"/>
      <c r="C376" s="275"/>
      <c r="D376" s="276"/>
      <c r="E376" s="277"/>
      <c r="F376" s="278"/>
      <c r="G376" s="276"/>
      <c r="H376" s="277"/>
      <c r="I376" s="277"/>
      <c r="J376" s="276"/>
      <c r="K376" s="276"/>
      <c r="L376" s="277"/>
      <c r="M376" s="276"/>
      <c r="N376" s="277"/>
      <c r="O376" s="84"/>
    </row>
    <row r="377">
      <c r="A377" s="276"/>
      <c r="B377" s="276"/>
      <c r="C377" s="275"/>
      <c r="D377" s="276"/>
      <c r="E377" s="277"/>
      <c r="F377" s="278"/>
      <c r="G377" s="276"/>
      <c r="H377" s="277"/>
      <c r="I377" s="277"/>
      <c r="J377" s="276"/>
      <c r="K377" s="276"/>
      <c r="L377" s="277"/>
      <c r="M377" s="276"/>
      <c r="N377" s="277"/>
      <c r="O377" s="84"/>
    </row>
    <row r="378">
      <c r="A378" s="276"/>
      <c r="B378" s="276"/>
      <c r="C378" s="275"/>
      <c r="D378" s="276"/>
      <c r="E378" s="277"/>
      <c r="F378" s="278"/>
      <c r="G378" s="276"/>
      <c r="H378" s="277"/>
      <c r="I378" s="277"/>
      <c r="J378" s="276"/>
      <c r="K378" s="276"/>
      <c r="L378" s="277"/>
      <c r="M378" s="276"/>
      <c r="N378" s="277"/>
      <c r="O378" s="84"/>
    </row>
    <row r="379">
      <c r="A379" s="276"/>
      <c r="B379" s="276"/>
      <c r="C379" s="275"/>
      <c r="D379" s="276"/>
      <c r="E379" s="277"/>
      <c r="F379" s="278"/>
      <c r="G379" s="276"/>
      <c r="H379" s="277"/>
      <c r="I379" s="277"/>
      <c r="J379" s="276"/>
      <c r="K379" s="276"/>
      <c r="L379" s="277"/>
      <c r="M379" s="276"/>
      <c r="N379" s="277"/>
      <c r="O379" s="84"/>
    </row>
    <row r="380">
      <c r="A380" s="276"/>
      <c r="B380" s="276"/>
      <c r="C380" s="275"/>
      <c r="D380" s="276"/>
      <c r="E380" s="277"/>
      <c r="F380" s="278"/>
      <c r="G380" s="276"/>
      <c r="H380" s="277"/>
      <c r="I380" s="277"/>
      <c r="J380" s="276"/>
      <c r="K380" s="276"/>
      <c r="L380" s="277"/>
      <c r="M380" s="276"/>
      <c r="N380" s="277"/>
      <c r="O380" s="84"/>
    </row>
    <row r="381">
      <c r="A381" s="276"/>
      <c r="B381" s="276"/>
      <c r="C381" s="275"/>
      <c r="D381" s="276"/>
      <c r="E381" s="277"/>
      <c r="F381" s="278"/>
      <c r="G381" s="276"/>
      <c r="H381" s="277"/>
      <c r="I381" s="277"/>
      <c r="J381" s="276"/>
      <c r="K381" s="276"/>
      <c r="L381" s="277"/>
      <c r="M381" s="276"/>
      <c r="N381" s="277"/>
      <c r="O381" s="84"/>
    </row>
    <row r="382">
      <c r="A382" s="276"/>
      <c r="B382" s="276"/>
      <c r="C382" s="275"/>
      <c r="D382" s="276"/>
      <c r="E382" s="277"/>
      <c r="F382" s="278"/>
      <c r="G382" s="276"/>
      <c r="H382" s="277"/>
      <c r="I382" s="277"/>
      <c r="J382" s="276"/>
      <c r="K382" s="276"/>
      <c r="L382" s="277"/>
      <c r="M382" s="276"/>
      <c r="N382" s="277"/>
      <c r="O382" s="84"/>
    </row>
    <row r="383">
      <c r="A383" s="276"/>
      <c r="B383" s="276"/>
      <c r="C383" s="275"/>
      <c r="D383" s="276"/>
      <c r="E383" s="277"/>
      <c r="F383" s="278"/>
      <c r="G383" s="276"/>
      <c r="H383" s="277"/>
      <c r="I383" s="277"/>
      <c r="J383" s="276"/>
      <c r="K383" s="276"/>
      <c r="L383" s="277"/>
      <c r="M383" s="276"/>
      <c r="N383" s="277"/>
      <c r="O383" s="84"/>
    </row>
    <row r="384">
      <c r="A384" s="276"/>
      <c r="B384" s="276"/>
      <c r="C384" s="275"/>
      <c r="D384" s="276"/>
      <c r="E384" s="277"/>
      <c r="F384" s="278"/>
      <c r="G384" s="276"/>
      <c r="H384" s="277"/>
      <c r="I384" s="277"/>
      <c r="J384" s="276"/>
      <c r="K384" s="276"/>
      <c r="L384" s="277"/>
      <c r="M384" s="276"/>
      <c r="N384" s="277"/>
      <c r="O384" s="84"/>
    </row>
    <row r="385">
      <c r="A385" s="276"/>
      <c r="B385" s="276"/>
      <c r="C385" s="275"/>
      <c r="D385" s="276"/>
      <c r="E385" s="277"/>
      <c r="F385" s="278"/>
      <c r="G385" s="276"/>
      <c r="H385" s="277"/>
      <c r="I385" s="277"/>
      <c r="J385" s="276"/>
      <c r="K385" s="276"/>
      <c r="L385" s="277"/>
      <c r="M385" s="276"/>
      <c r="N385" s="277"/>
      <c r="O385" s="84"/>
    </row>
    <row r="386">
      <c r="A386" s="276"/>
      <c r="B386" s="276"/>
      <c r="C386" s="275"/>
      <c r="D386" s="276"/>
      <c r="E386" s="277"/>
      <c r="F386" s="278"/>
      <c r="G386" s="276"/>
      <c r="H386" s="277"/>
      <c r="I386" s="277"/>
      <c r="J386" s="276"/>
      <c r="K386" s="276"/>
      <c r="L386" s="277"/>
      <c r="M386" s="276"/>
      <c r="N386" s="277"/>
      <c r="O386" s="84"/>
    </row>
    <row r="387">
      <c r="A387" s="276"/>
      <c r="B387" s="276"/>
      <c r="C387" s="275"/>
      <c r="D387" s="276"/>
      <c r="E387" s="277"/>
      <c r="F387" s="278"/>
      <c r="G387" s="276"/>
      <c r="H387" s="277"/>
      <c r="I387" s="277"/>
      <c r="J387" s="276"/>
      <c r="K387" s="276"/>
      <c r="L387" s="277"/>
      <c r="M387" s="276"/>
      <c r="N387" s="277"/>
      <c r="O387" s="84"/>
    </row>
    <row r="388">
      <c r="A388" s="276"/>
      <c r="B388" s="276"/>
      <c r="C388" s="275"/>
      <c r="D388" s="276"/>
      <c r="E388" s="277"/>
      <c r="F388" s="278"/>
      <c r="G388" s="276"/>
      <c r="H388" s="277"/>
      <c r="I388" s="277"/>
      <c r="J388" s="276"/>
      <c r="K388" s="276"/>
      <c r="L388" s="277"/>
      <c r="M388" s="276"/>
      <c r="N388" s="277"/>
      <c r="O388" s="84"/>
    </row>
    <row r="389">
      <c r="A389" s="276"/>
      <c r="B389" s="276"/>
      <c r="C389" s="275"/>
      <c r="D389" s="276"/>
      <c r="E389" s="277"/>
      <c r="F389" s="278"/>
      <c r="G389" s="276"/>
      <c r="H389" s="277"/>
      <c r="I389" s="277"/>
      <c r="J389" s="276"/>
      <c r="K389" s="276"/>
      <c r="L389" s="277"/>
      <c r="M389" s="276"/>
      <c r="N389" s="277"/>
      <c r="O389" s="84"/>
    </row>
    <row r="390">
      <c r="A390" s="276"/>
      <c r="B390" s="276"/>
      <c r="C390" s="275"/>
      <c r="D390" s="276"/>
      <c r="E390" s="277"/>
      <c r="F390" s="278"/>
      <c r="G390" s="276"/>
      <c r="H390" s="277"/>
      <c r="I390" s="277"/>
      <c r="J390" s="276"/>
      <c r="K390" s="276"/>
      <c r="L390" s="277"/>
      <c r="M390" s="276"/>
      <c r="N390" s="277"/>
      <c r="O390" s="84"/>
    </row>
    <row r="391">
      <c r="A391" s="276"/>
      <c r="B391" s="276"/>
      <c r="C391" s="275"/>
      <c r="D391" s="276"/>
      <c r="E391" s="277"/>
      <c r="F391" s="278"/>
      <c r="G391" s="276"/>
      <c r="H391" s="277"/>
      <c r="I391" s="277"/>
      <c r="J391" s="276"/>
      <c r="K391" s="276"/>
      <c r="L391" s="277"/>
      <c r="M391" s="276"/>
      <c r="N391" s="277"/>
      <c r="O391" s="84"/>
    </row>
    <row r="392">
      <c r="A392" s="276"/>
      <c r="B392" s="276"/>
      <c r="C392" s="275"/>
      <c r="D392" s="276"/>
      <c r="E392" s="277"/>
      <c r="F392" s="278"/>
      <c r="G392" s="276"/>
      <c r="H392" s="277"/>
      <c r="I392" s="277"/>
      <c r="J392" s="276"/>
      <c r="K392" s="276"/>
      <c r="L392" s="277"/>
      <c r="M392" s="276"/>
      <c r="N392" s="277"/>
      <c r="O392" s="84"/>
    </row>
    <row r="393">
      <c r="A393" s="276"/>
      <c r="B393" s="276"/>
      <c r="C393" s="275"/>
      <c r="D393" s="276"/>
      <c r="E393" s="277"/>
      <c r="F393" s="278"/>
      <c r="G393" s="276"/>
      <c r="H393" s="277"/>
      <c r="I393" s="277"/>
      <c r="J393" s="276"/>
      <c r="K393" s="276"/>
      <c r="L393" s="277"/>
      <c r="M393" s="276"/>
      <c r="N393" s="277"/>
      <c r="O393" s="84"/>
    </row>
    <row r="394">
      <c r="A394" s="276"/>
      <c r="B394" s="276"/>
      <c r="C394" s="275"/>
      <c r="D394" s="276"/>
      <c r="E394" s="277"/>
      <c r="F394" s="278"/>
      <c r="G394" s="276"/>
      <c r="H394" s="277"/>
      <c r="I394" s="277"/>
      <c r="J394" s="276"/>
      <c r="K394" s="276"/>
      <c r="L394" s="277"/>
      <c r="M394" s="276"/>
      <c r="N394" s="277"/>
      <c r="O394" s="84"/>
    </row>
    <row r="395">
      <c r="A395" s="276"/>
      <c r="B395" s="276"/>
      <c r="C395" s="275"/>
      <c r="D395" s="276"/>
      <c r="E395" s="277"/>
      <c r="F395" s="278"/>
      <c r="G395" s="276"/>
      <c r="H395" s="277"/>
      <c r="I395" s="277"/>
      <c r="J395" s="276"/>
      <c r="K395" s="276"/>
      <c r="L395" s="277"/>
      <c r="M395" s="276"/>
      <c r="N395" s="277"/>
      <c r="O395" s="84"/>
    </row>
    <row r="396">
      <c r="A396" s="276"/>
      <c r="B396" s="276"/>
      <c r="C396" s="275"/>
      <c r="D396" s="276"/>
      <c r="E396" s="277"/>
      <c r="F396" s="278"/>
      <c r="G396" s="276"/>
      <c r="H396" s="277"/>
      <c r="I396" s="277"/>
      <c r="J396" s="276"/>
      <c r="K396" s="276"/>
      <c r="L396" s="277"/>
      <c r="M396" s="276"/>
      <c r="N396" s="277"/>
      <c r="O396" s="84"/>
    </row>
    <row r="397">
      <c r="A397" s="276"/>
      <c r="B397" s="276"/>
      <c r="C397" s="275"/>
      <c r="D397" s="276"/>
      <c r="E397" s="277"/>
      <c r="F397" s="278"/>
      <c r="G397" s="276"/>
      <c r="H397" s="277"/>
      <c r="I397" s="277"/>
      <c r="J397" s="276"/>
      <c r="K397" s="276"/>
      <c r="L397" s="277"/>
      <c r="M397" s="276"/>
      <c r="N397" s="277"/>
      <c r="O397" s="84"/>
    </row>
    <row r="398">
      <c r="A398" s="276"/>
      <c r="B398" s="276"/>
      <c r="C398" s="275"/>
      <c r="D398" s="276"/>
      <c r="E398" s="277"/>
      <c r="F398" s="278"/>
      <c r="G398" s="276"/>
      <c r="H398" s="277"/>
      <c r="I398" s="277"/>
      <c r="J398" s="276"/>
      <c r="K398" s="276"/>
      <c r="L398" s="277"/>
      <c r="M398" s="276"/>
      <c r="N398" s="277"/>
      <c r="O398" s="84"/>
    </row>
    <row r="399">
      <c r="A399" s="276"/>
      <c r="B399" s="276"/>
      <c r="C399" s="275"/>
      <c r="D399" s="276"/>
      <c r="E399" s="277"/>
      <c r="F399" s="278"/>
      <c r="G399" s="276"/>
      <c r="H399" s="277"/>
      <c r="I399" s="277"/>
      <c r="J399" s="276"/>
      <c r="K399" s="276"/>
      <c r="L399" s="277"/>
      <c r="M399" s="276"/>
      <c r="N399" s="277"/>
      <c r="O399" s="84"/>
    </row>
    <row r="400">
      <c r="A400" s="276"/>
      <c r="B400" s="276"/>
      <c r="C400" s="275"/>
      <c r="D400" s="276"/>
      <c r="E400" s="277"/>
      <c r="F400" s="278"/>
      <c r="G400" s="276"/>
      <c r="H400" s="277"/>
      <c r="I400" s="277"/>
      <c r="J400" s="276"/>
      <c r="K400" s="276"/>
      <c r="L400" s="277"/>
      <c r="M400" s="276"/>
      <c r="N400" s="277"/>
      <c r="O400" s="84"/>
    </row>
    <row r="401">
      <c r="A401" s="276"/>
      <c r="B401" s="276"/>
      <c r="C401" s="275"/>
      <c r="D401" s="276"/>
      <c r="E401" s="277"/>
      <c r="F401" s="278"/>
      <c r="G401" s="276"/>
      <c r="H401" s="277"/>
      <c r="I401" s="277"/>
      <c r="J401" s="276"/>
      <c r="K401" s="276"/>
      <c r="L401" s="277"/>
      <c r="M401" s="276"/>
      <c r="N401" s="277"/>
      <c r="O401" s="84"/>
    </row>
    <row r="402">
      <c r="A402" s="276"/>
      <c r="B402" s="276"/>
      <c r="C402" s="275"/>
      <c r="D402" s="276"/>
      <c r="E402" s="277"/>
      <c r="F402" s="278"/>
      <c r="G402" s="276"/>
      <c r="H402" s="277"/>
      <c r="I402" s="277"/>
      <c r="J402" s="276"/>
      <c r="K402" s="276"/>
      <c r="L402" s="277"/>
      <c r="M402" s="276"/>
      <c r="N402" s="277"/>
      <c r="O402" s="84"/>
    </row>
    <row r="403">
      <c r="A403" s="276"/>
      <c r="B403" s="276"/>
      <c r="C403" s="275"/>
      <c r="D403" s="276"/>
      <c r="E403" s="277"/>
      <c r="F403" s="278"/>
      <c r="G403" s="276"/>
      <c r="H403" s="277"/>
      <c r="I403" s="277"/>
      <c r="J403" s="276"/>
      <c r="K403" s="276"/>
      <c r="L403" s="277"/>
      <c r="M403" s="276"/>
      <c r="N403" s="277"/>
      <c r="O403" s="84"/>
    </row>
    <row r="404">
      <c r="A404" s="276"/>
      <c r="B404" s="276"/>
      <c r="C404" s="275"/>
      <c r="D404" s="276"/>
      <c r="E404" s="277"/>
      <c r="F404" s="278"/>
      <c r="G404" s="276"/>
      <c r="H404" s="277"/>
      <c r="I404" s="277"/>
      <c r="J404" s="276"/>
      <c r="K404" s="276"/>
      <c r="L404" s="277"/>
      <c r="M404" s="276"/>
      <c r="N404" s="277"/>
      <c r="O404" s="84"/>
    </row>
    <row r="405">
      <c r="A405" s="276"/>
      <c r="B405" s="276"/>
      <c r="C405" s="275"/>
      <c r="D405" s="276"/>
      <c r="E405" s="277"/>
      <c r="F405" s="278"/>
      <c r="G405" s="276"/>
      <c r="H405" s="277"/>
      <c r="I405" s="277"/>
      <c r="J405" s="276"/>
      <c r="K405" s="276"/>
      <c r="L405" s="277"/>
      <c r="M405" s="276"/>
      <c r="N405" s="277"/>
      <c r="O405" s="84"/>
    </row>
    <row r="406">
      <c r="A406" s="276"/>
      <c r="B406" s="276"/>
      <c r="C406" s="275"/>
      <c r="D406" s="276"/>
      <c r="E406" s="277"/>
      <c r="F406" s="278"/>
      <c r="G406" s="276"/>
      <c r="H406" s="277"/>
      <c r="I406" s="277"/>
      <c r="J406" s="276"/>
      <c r="K406" s="276"/>
      <c r="L406" s="277"/>
      <c r="M406" s="276"/>
      <c r="N406" s="277"/>
      <c r="O406" s="84"/>
    </row>
    <row r="407">
      <c r="A407" s="276"/>
      <c r="B407" s="276"/>
      <c r="C407" s="275"/>
      <c r="D407" s="276"/>
      <c r="E407" s="277"/>
      <c r="F407" s="278"/>
      <c r="G407" s="276"/>
      <c r="H407" s="277"/>
      <c r="I407" s="277"/>
      <c r="J407" s="276"/>
      <c r="K407" s="276"/>
      <c r="L407" s="277"/>
      <c r="M407" s="276"/>
      <c r="N407" s="277"/>
      <c r="O407" s="84"/>
    </row>
    <row r="408">
      <c r="A408" s="276"/>
      <c r="B408" s="276"/>
      <c r="C408" s="275"/>
      <c r="D408" s="276"/>
      <c r="E408" s="277"/>
      <c r="F408" s="278"/>
      <c r="G408" s="276"/>
      <c r="H408" s="277"/>
      <c r="I408" s="277"/>
      <c r="J408" s="276"/>
      <c r="K408" s="276"/>
      <c r="L408" s="277"/>
      <c r="M408" s="276"/>
      <c r="N408" s="277"/>
      <c r="O408" s="84"/>
    </row>
    <row r="409">
      <c r="A409" s="276"/>
      <c r="B409" s="276"/>
      <c r="C409" s="275"/>
      <c r="D409" s="276"/>
      <c r="E409" s="277"/>
      <c r="F409" s="278"/>
      <c r="G409" s="276"/>
      <c r="H409" s="277"/>
      <c r="I409" s="277"/>
      <c r="J409" s="276"/>
      <c r="K409" s="276"/>
      <c r="L409" s="277"/>
      <c r="M409" s="276"/>
      <c r="N409" s="277"/>
      <c r="O409" s="84"/>
    </row>
    <row r="410">
      <c r="A410" s="276"/>
      <c r="B410" s="276"/>
      <c r="C410" s="275"/>
      <c r="D410" s="276"/>
      <c r="E410" s="277"/>
      <c r="F410" s="278"/>
      <c r="G410" s="276"/>
      <c r="H410" s="277"/>
      <c r="I410" s="277"/>
      <c r="J410" s="276"/>
      <c r="K410" s="276"/>
      <c r="L410" s="277"/>
      <c r="M410" s="276"/>
      <c r="N410" s="277"/>
      <c r="O410" s="84"/>
    </row>
    <row r="411">
      <c r="A411" s="276"/>
      <c r="B411" s="276"/>
      <c r="C411" s="275"/>
      <c r="D411" s="276"/>
      <c r="E411" s="277"/>
      <c r="F411" s="278"/>
      <c r="G411" s="276"/>
      <c r="H411" s="277"/>
      <c r="I411" s="277"/>
      <c r="J411" s="276"/>
      <c r="K411" s="276"/>
      <c r="L411" s="277"/>
      <c r="M411" s="276"/>
      <c r="N411" s="277"/>
      <c r="O411" s="84"/>
    </row>
    <row r="412">
      <c r="A412" s="276"/>
      <c r="B412" s="276"/>
      <c r="C412" s="275"/>
      <c r="D412" s="276"/>
      <c r="E412" s="277"/>
      <c r="F412" s="278"/>
      <c r="G412" s="276"/>
      <c r="H412" s="277"/>
      <c r="I412" s="277"/>
      <c r="J412" s="276"/>
      <c r="K412" s="276"/>
      <c r="L412" s="277"/>
      <c r="M412" s="276"/>
      <c r="N412" s="277"/>
      <c r="O412" s="84"/>
    </row>
    <row r="413">
      <c r="A413" s="276"/>
      <c r="B413" s="276"/>
      <c r="C413" s="275"/>
      <c r="D413" s="276"/>
      <c r="E413" s="277"/>
      <c r="F413" s="278"/>
      <c r="G413" s="276"/>
      <c r="H413" s="277"/>
      <c r="I413" s="277"/>
      <c r="J413" s="276"/>
      <c r="K413" s="276"/>
      <c r="L413" s="277"/>
      <c r="M413" s="276"/>
      <c r="N413" s="277"/>
      <c r="O413" s="84"/>
    </row>
    <row r="414">
      <c r="A414" s="276"/>
      <c r="B414" s="276"/>
      <c r="C414" s="275"/>
      <c r="D414" s="276"/>
      <c r="E414" s="277"/>
      <c r="F414" s="278"/>
      <c r="G414" s="276"/>
      <c r="H414" s="277"/>
      <c r="I414" s="277"/>
      <c r="J414" s="276"/>
      <c r="K414" s="276"/>
      <c r="L414" s="277"/>
      <c r="M414" s="276"/>
      <c r="N414" s="277"/>
      <c r="O414" s="84"/>
    </row>
    <row r="415">
      <c r="A415" s="276"/>
      <c r="B415" s="276"/>
      <c r="C415" s="275"/>
      <c r="D415" s="276"/>
      <c r="E415" s="277"/>
      <c r="F415" s="278"/>
      <c r="G415" s="276"/>
      <c r="H415" s="277"/>
      <c r="I415" s="277"/>
      <c r="J415" s="276"/>
      <c r="K415" s="276"/>
      <c r="L415" s="277"/>
      <c r="M415" s="276"/>
      <c r="N415" s="277"/>
      <c r="O415" s="84"/>
    </row>
    <row r="416">
      <c r="A416" s="276"/>
      <c r="B416" s="276"/>
      <c r="C416" s="275"/>
      <c r="D416" s="276"/>
      <c r="E416" s="277"/>
      <c r="F416" s="278"/>
      <c r="G416" s="276"/>
      <c r="H416" s="277"/>
      <c r="I416" s="277"/>
      <c r="J416" s="276"/>
      <c r="K416" s="276"/>
      <c r="L416" s="277"/>
      <c r="M416" s="276"/>
      <c r="N416" s="277"/>
      <c r="O416" s="84"/>
    </row>
    <row r="417">
      <c r="A417" s="276"/>
      <c r="B417" s="276"/>
      <c r="C417" s="275"/>
      <c r="D417" s="276"/>
      <c r="E417" s="277"/>
      <c r="F417" s="278"/>
      <c r="G417" s="276"/>
      <c r="H417" s="277"/>
      <c r="I417" s="277"/>
      <c r="J417" s="276"/>
      <c r="K417" s="276"/>
      <c r="L417" s="277"/>
      <c r="M417" s="276"/>
      <c r="N417" s="277"/>
      <c r="O417" s="84"/>
    </row>
    <row r="418">
      <c r="A418" s="276"/>
      <c r="B418" s="276"/>
      <c r="C418" s="275"/>
      <c r="D418" s="276"/>
      <c r="E418" s="277"/>
      <c r="F418" s="278"/>
      <c r="G418" s="276"/>
      <c r="H418" s="277"/>
      <c r="I418" s="277"/>
      <c r="J418" s="276"/>
      <c r="K418" s="276"/>
      <c r="L418" s="277"/>
      <c r="M418" s="276"/>
      <c r="N418" s="277"/>
      <c r="O418" s="84"/>
    </row>
    <row r="419">
      <c r="A419" s="276"/>
      <c r="B419" s="276"/>
      <c r="C419" s="275"/>
      <c r="D419" s="276"/>
      <c r="E419" s="277"/>
      <c r="F419" s="278"/>
      <c r="G419" s="276"/>
      <c r="H419" s="277"/>
      <c r="I419" s="277"/>
      <c r="J419" s="276"/>
      <c r="K419" s="276"/>
      <c r="L419" s="277"/>
      <c r="M419" s="276"/>
      <c r="N419" s="277"/>
      <c r="O419" s="84"/>
    </row>
    <row r="420">
      <c r="A420" s="276"/>
      <c r="B420" s="276"/>
      <c r="C420" s="275"/>
      <c r="D420" s="276"/>
      <c r="E420" s="277"/>
      <c r="F420" s="278"/>
      <c r="G420" s="276"/>
      <c r="H420" s="277"/>
      <c r="I420" s="277"/>
      <c r="J420" s="276"/>
      <c r="K420" s="276"/>
      <c r="L420" s="277"/>
      <c r="M420" s="276"/>
      <c r="N420" s="277"/>
      <c r="O420" s="84"/>
    </row>
    <row r="421">
      <c r="A421" s="276"/>
      <c r="B421" s="276"/>
      <c r="C421" s="275"/>
      <c r="D421" s="276"/>
      <c r="E421" s="277"/>
      <c r="F421" s="278"/>
      <c r="G421" s="276"/>
      <c r="H421" s="277"/>
      <c r="I421" s="277"/>
      <c r="J421" s="276"/>
      <c r="K421" s="276"/>
      <c r="L421" s="277"/>
      <c r="M421" s="276"/>
      <c r="N421" s="277"/>
      <c r="O421" s="84"/>
    </row>
    <row r="422">
      <c r="A422" s="276"/>
      <c r="B422" s="276"/>
      <c r="C422" s="275"/>
      <c r="D422" s="276"/>
      <c r="E422" s="277"/>
      <c r="F422" s="278"/>
      <c r="G422" s="276"/>
      <c r="H422" s="277"/>
      <c r="I422" s="277"/>
      <c r="J422" s="276"/>
      <c r="K422" s="276"/>
      <c r="L422" s="277"/>
      <c r="M422" s="276"/>
      <c r="N422" s="277"/>
      <c r="O422" s="84"/>
    </row>
    <row r="423">
      <c r="A423" s="276"/>
      <c r="B423" s="276"/>
      <c r="C423" s="275"/>
      <c r="D423" s="276"/>
      <c r="E423" s="277"/>
      <c r="F423" s="278"/>
      <c r="G423" s="276"/>
      <c r="H423" s="277"/>
      <c r="I423" s="277"/>
      <c r="J423" s="276"/>
      <c r="K423" s="276"/>
      <c r="L423" s="277"/>
      <c r="M423" s="276"/>
      <c r="N423" s="277"/>
      <c r="O423" s="84"/>
    </row>
    <row r="424">
      <c r="A424" s="276"/>
      <c r="B424" s="276"/>
      <c r="C424" s="275"/>
      <c r="D424" s="276"/>
      <c r="E424" s="277"/>
      <c r="F424" s="278"/>
      <c r="G424" s="276"/>
      <c r="H424" s="277"/>
      <c r="I424" s="277"/>
      <c r="J424" s="276"/>
      <c r="K424" s="276"/>
      <c r="L424" s="277"/>
      <c r="M424" s="276"/>
      <c r="N424" s="277"/>
      <c r="O424" s="84"/>
    </row>
    <row r="425">
      <c r="A425" s="276"/>
      <c r="B425" s="276"/>
      <c r="C425" s="275"/>
      <c r="D425" s="276"/>
      <c r="E425" s="277"/>
      <c r="F425" s="278"/>
      <c r="G425" s="276"/>
      <c r="H425" s="277"/>
      <c r="I425" s="277"/>
      <c r="J425" s="276"/>
      <c r="K425" s="276"/>
      <c r="L425" s="277"/>
      <c r="M425" s="276"/>
      <c r="N425" s="277"/>
      <c r="O425" s="84"/>
    </row>
    <row r="426">
      <c r="A426" s="276"/>
      <c r="B426" s="276"/>
      <c r="C426" s="275"/>
      <c r="D426" s="276"/>
      <c r="E426" s="277"/>
      <c r="F426" s="278"/>
      <c r="G426" s="276"/>
      <c r="H426" s="277"/>
      <c r="I426" s="277"/>
      <c r="J426" s="276"/>
      <c r="K426" s="276"/>
      <c r="L426" s="277"/>
      <c r="M426" s="276"/>
      <c r="N426" s="277"/>
      <c r="O426" s="84"/>
    </row>
    <row r="427">
      <c r="A427" s="276"/>
      <c r="B427" s="276"/>
      <c r="C427" s="275"/>
      <c r="D427" s="276"/>
      <c r="E427" s="277"/>
      <c r="F427" s="278"/>
      <c r="G427" s="276"/>
      <c r="H427" s="277"/>
      <c r="I427" s="277"/>
      <c r="J427" s="276"/>
      <c r="K427" s="276"/>
      <c r="L427" s="277"/>
      <c r="M427" s="276"/>
      <c r="N427" s="277"/>
      <c r="O427" s="84"/>
    </row>
    <row r="428">
      <c r="A428" s="276"/>
      <c r="B428" s="276"/>
      <c r="C428" s="275"/>
      <c r="D428" s="276"/>
      <c r="E428" s="277"/>
      <c r="F428" s="278"/>
      <c r="G428" s="276"/>
      <c r="H428" s="277"/>
      <c r="I428" s="277"/>
      <c r="J428" s="276"/>
      <c r="K428" s="276"/>
      <c r="L428" s="277"/>
      <c r="M428" s="276"/>
      <c r="N428" s="277"/>
      <c r="O428" s="84"/>
    </row>
    <row r="429">
      <c r="A429" s="276"/>
      <c r="B429" s="276"/>
      <c r="C429" s="275"/>
      <c r="D429" s="276"/>
      <c r="E429" s="277"/>
      <c r="F429" s="278"/>
      <c r="G429" s="276"/>
      <c r="H429" s="277"/>
      <c r="I429" s="277"/>
      <c r="J429" s="276"/>
      <c r="K429" s="276"/>
      <c r="L429" s="277"/>
      <c r="M429" s="276"/>
      <c r="N429" s="277"/>
      <c r="O429" s="84"/>
    </row>
    <row r="430">
      <c r="A430" s="276"/>
      <c r="B430" s="276"/>
      <c r="C430" s="275"/>
      <c r="D430" s="276"/>
      <c r="E430" s="277"/>
      <c r="F430" s="278"/>
      <c r="G430" s="276"/>
      <c r="H430" s="277"/>
      <c r="I430" s="277"/>
      <c r="J430" s="276"/>
      <c r="K430" s="276"/>
      <c r="L430" s="277"/>
      <c r="M430" s="276"/>
      <c r="N430" s="277"/>
      <c r="O430" s="84"/>
    </row>
    <row r="431">
      <c r="A431" s="276"/>
      <c r="B431" s="276"/>
      <c r="C431" s="275"/>
      <c r="D431" s="276"/>
      <c r="E431" s="277"/>
      <c r="F431" s="278"/>
      <c r="G431" s="276"/>
      <c r="H431" s="277"/>
      <c r="I431" s="277"/>
      <c r="J431" s="276"/>
      <c r="K431" s="276"/>
      <c r="L431" s="277"/>
      <c r="M431" s="276"/>
      <c r="N431" s="277"/>
      <c r="O431" s="84"/>
    </row>
    <row r="432">
      <c r="A432" s="276"/>
      <c r="B432" s="276"/>
      <c r="C432" s="275"/>
      <c r="D432" s="276"/>
      <c r="E432" s="277"/>
      <c r="F432" s="278"/>
      <c r="G432" s="276"/>
      <c r="H432" s="277"/>
      <c r="I432" s="277"/>
      <c r="J432" s="276"/>
      <c r="K432" s="276"/>
      <c r="L432" s="277"/>
      <c r="M432" s="276"/>
      <c r="N432" s="277"/>
      <c r="O432" s="84"/>
    </row>
    <row r="433">
      <c r="A433" s="276"/>
      <c r="B433" s="276"/>
      <c r="C433" s="275"/>
      <c r="D433" s="276"/>
      <c r="E433" s="277"/>
      <c r="F433" s="278"/>
      <c r="G433" s="276"/>
      <c r="H433" s="277"/>
      <c r="I433" s="277"/>
      <c r="J433" s="276"/>
      <c r="K433" s="276"/>
      <c r="L433" s="277"/>
      <c r="M433" s="276"/>
      <c r="N433" s="277"/>
      <c r="O433" s="84"/>
    </row>
    <row r="434">
      <c r="A434" s="276"/>
      <c r="B434" s="276"/>
      <c r="C434" s="275"/>
      <c r="D434" s="276"/>
      <c r="E434" s="277"/>
      <c r="F434" s="278"/>
      <c r="G434" s="276"/>
      <c r="H434" s="277"/>
      <c r="I434" s="277"/>
      <c r="J434" s="276"/>
      <c r="K434" s="276"/>
      <c r="L434" s="277"/>
      <c r="M434" s="276"/>
      <c r="N434" s="277"/>
      <c r="O434" s="84"/>
    </row>
    <row r="435">
      <c r="A435" s="276"/>
      <c r="B435" s="276"/>
      <c r="C435" s="275"/>
      <c r="D435" s="276"/>
      <c r="E435" s="277"/>
      <c r="F435" s="278"/>
      <c r="G435" s="276"/>
      <c r="H435" s="277"/>
      <c r="I435" s="277"/>
      <c r="J435" s="276"/>
      <c r="K435" s="276"/>
      <c r="L435" s="277"/>
      <c r="M435" s="276"/>
      <c r="N435" s="277"/>
      <c r="O435" s="84"/>
    </row>
    <row r="436">
      <c r="A436" s="276"/>
      <c r="B436" s="276"/>
      <c r="C436" s="275"/>
      <c r="D436" s="276"/>
      <c r="E436" s="277"/>
      <c r="F436" s="278"/>
      <c r="G436" s="276"/>
      <c r="H436" s="277"/>
      <c r="I436" s="277"/>
      <c r="J436" s="276"/>
      <c r="K436" s="276"/>
      <c r="L436" s="277"/>
      <c r="M436" s="276"/>
      <c r="N436" s="277"/>
      <c r="O436" s="84"/>
    </row>
    <row r="437">
      <c r="A437" s="276"/>
      <c r="B437" s="276"/>
      <c r="C437" s="275"/>
      <c r="D437" s="276"/>
      <c r="E437" s="277"/>
      <c r="F437" s="278"/>
      <c r="G437" s="276"/>
      <c r="H437" s="277"/>
      <c r="I437" s="277"/>
      <c r="J437" s="276"/>
      <c r="K437" s="276"/>
      <c r="L437" s="277"/>
      <c r="M437" s="276"/>
      <c r="N437" s="277"/>
      <c r="O437" s="84"/>
    </row>
    <row r="438">
      <c r="A438" s="276"/>
      <c r="B438" s="276"/>
      <c r="C438" s="275"/>
      <c r="D438" s="276"/>
      <c r="E438" s="277"/>
      <c r="F438" s="278"/>
      <c r="G438" s="276"/>
      <c r="H438" s="277"/>
      <c r="I438" s="277"/>
      <c r="J438" s="276"/>
      <c r="K438" s="276"/>
      <c r="L438" s="277"/>
      <c r="M438" s="276"/>
      <c r="N438" s="277"/>
      <c r="O438" s="84"/>
    </row>
    <row r="439">
      <c r="A439" s="276"/>
      <c r="B439" s="276"/>
      <c r="C439" s="275"/>
      <c r="D439" s="276"/>
      <c r="E439" s="277"/>
      <c r="F439" s="278"/>
      <c r="G439" s="276"/>
      <c r="H439" s="277"/>
      <c r="I439" s="277"/>
      <c r="J439" s="276"/>
      <c r="K439" s="276"/>
      <c r="L439" s="277"/>
      <c r="M439" s="276"/>
      <c r="N439" s="277"/>
      <c r="O439" s="84"/>
    </row>
    <row r="440">
      <c r="A440" s="276"/>
      <c r="B440" s="276"/>
      <c r="C440" s="275"/>
      <c r="D440" s="276"/>
      <c r="E440" s="277"/>
      <c r="F440" s="278"/>
      <c r="G440" s="276"/>
      <c r="H440" s="277"/>
      <c r="I440" s="277"/>
      <c r="J440" s="276"/>
      <c r="K440" s="276"/>
      <c r="L440" s="277"/>
      <c r="M440" s="276"/>
      <c r="N440" s="277"/>
      <c r="O440" s="84"/>
    </row>
    <row r="441">
      <c r="A441" s="276"/>
      <c r="B441" s="276"/>
      <c r="C441" s="275"/>
      <c r="D441" s="276"/>
      <c r="E441" s="277"/>
      <c r="F441" s="278"/>
      <c r="G441" s="276"/>
      <c r="H441" s="277"/>
      <c r="I441" s="277"/>
      <c r="J441" s="276"/>
      <c r="K441" s="276"/>
      <c r="L441" s="277"/>
      <c r="M441" s="276"/>
      <c r="N441" s="277"/>
      <c r="O441" s="84"/>
    </row>
    <row r="442">
      <c r="A442" s="276"/>
      <c r="B442" s="276"/>
      <c r="C442" s="275"/>
      <c r="D442" s="276"/>
      <c r="E442" s="277"/>
      <c r="F442" s="278"/>
      <c r="G442" s="276"/>
      <c r="H442" s="277"/>
      <c r="I442" s="277"/>
      <c r="J442" s="276"/>
      <c r="K442" s="276"/>
      <c r="L442" s="277"/>
      <c r="M442" s="276"/>
      <c r="N442" s="277"/>
      <c r="O442" s="84"/>
    </row>
    <row r="443">
      <c r="A443" s="276"/>
      <c r="B443" s="276"/>
      <c r="C443" s="275"/>
      <c r="D443" s="276"/>
      <c r="E443" s="277"/>
      <c r="F443" s="278"/>
      <c r="G443" s="276"/>
      <c r="H443" s="277"/>
      <c r="I443" s="277"/>
      <c r="J443" s="276"/>
      <c r="K443" s="276"/>
      <c r="L443" s="277"/>
      <c r="M443" s="276"/>
      <c r="N443" s="277"/>
      <c r="O443" s="84"/>
    </row>
    <row r="444">
      <c r="A444" s="276"/>
      <c r="B444" s="276"/>
      <c r="C444" s="275"/>
      <c r="D444" s="276"/>
      <c r="E444" s="277"/>
      <c r="F444" s="278"/>
      <c r="G444" s="276"/>
      <c r="H444" s="277"/>
      <c r="I444" s="277"/>
      <c r="J444" s="276"/>
      <c r="K444" s="276"/>
      <c r="L444" s="277"/>
      <c r="M444" s="276"/>
      <c r="N444" s="277"/>
      <c r="O444" s="84"/>
    </row>
    <row r="445">
      <c r="A445" s="276"/>
      <c r="B445" s="276"/>
      <c r="C445" s="275"/>
      <c r="D445" s="276"/>
      <c r="E445" s="277"/>
      <c r="F445" s="278"/>
      <c r="G445" s="276"/>
      <c r="H445" s="277"/>
      <c r="I445" s="277"/>
      <c r="J445" s="276"/>
      <c r="K445" s="276"/>
      <c r="L445" s="277"/>
      <c r="M445" s="276"/>
      <c r="N445" s="277"/>
      <c r="O445" s="84"/>
    </row>
    <row r="446">
      <c r="A446" s="276"/>
      <c r="B446" s="276"/>
      <c r="C446" s="275"/>
      <c r="D446" s="276"/>
      <c r="E446" s="277"/>
      <c r="F446" s="278"/>
      <c r="G446" s="276"/>
      <c r="H446" s="277"/>
      <c r="I446" s="277"/>
      <c r="J446" s="276"/>
      <c r="K446" s="276"/>
      <c r="L446" s="277"/>
      <c r="M446" s="276"/>
      <c r="N446" s="277"/>
      <c r="O446" s="84"/>
    </row>
    <row r="447">
      <c r="A447" s="276"/>
      <c r="B447" s="276"/>
      <c r="C447" s="275"/>
      <c r="D447" s="276"/>
      <c r="E447" s="277"/>
      <c r="F447" s="278"/>
      <c r="G447" s="276"/>
      <c r="H447" s="277"/>
      <c r="I447" s="277"/>
      <c r="J447" s="276"/>
      <c r="K447" s="276"/>
      <c r="L447" s="277"/>
      <c r="M447" s="276"/>
      <c r="N447" s="277"/>
      <c r="O447" s="84"/>
    </row>
    <row r="448">
      <c r="A448" s="276"/>
      <c r="B448" s="276"/>
      <c r="C448" s="275"/>
      <c r="D448" s="276"/>
      <c r="E448" s="277"/>
      <c r="F448" s="278"/>
      <c r="G448" s="276"/>
      <c r="H448" s="277"/>
      <c r="I448" s="277"/>
      <c r="J448" s="276"/>
      <c r="K448" s="276"/>
      <c r="L448" s="277"/>
      <c r="M448" s="276"/>
      <c r="N448" s="277"/>
      <c r="O448" s="84"/>
    </row>
    <row r="449">
      <c r="A449" s="276"/>
      <c r="B449" s="276"/>
      <c r="C449" s="275"/>
      <c r="D449" s="276"/>
      <c r="E449" s="277"/>
      <c r="F449" s="278"/>
      <c r="G449" s="276"/>
      <c r="H449" s="277"/>
      <c r="I449" s="277"/>
      <c r="J449" s="276"/>
      <c r="K449" s="276"/>
      <c r="L449" s="277"/>
      <c r="M449" s="276"/>
      <c r="N449" s="277"/>
      <c r="O449" s="84"/>
    </row>
    <row r="450">
      <c r="A450" s="276"/>
      <c r="B450" s="276"/>
      <c r="C450" s="275"/>
      <c r="D450" s="276"/>
      <c r="E450" s="277"/>
      <c r="F450" s="278"/>
      <c r="G450" s="276"/>
      <c r="H450" s="277"/>
      <c r="I450" s="277"/>
      <c r="J450" s="276"/>
      <c r="K450" s="276"/>
      <c r="L450" s="277"/>
      <c r="M450" s="276"/>
      <c r="N450" s="277"/>
      <c r="O450" s="84"/>
    </row>
    <row r="451">
      <c r="A451" s="276"/>
      <c r="B451" s="276"/>
      <c r="C451" s="275"/>
      <c r="D451" s="276"/>
      <c r="E451" s="277"/>
      <c r="F451" s="278"/>
      <c r="G451" s="276"/>
      <c r="H451" s="277"/>
      <c r="I451" s="277"/>
      <c r="J451" s="276"/>
      <c r="K451" s="276"/>
      <c r="L451" s="277"/>
      <c r="M451" s="276"/>
      <c r="N451" s="277"/>
      <c r="O451" s="84"/>
    </row>
    <row r="452">
      <c r="A452" s="276"/>
      <c r="B452" s="276"/>
      <c r="C452" s="275"/>
      <c r="D452" s="276"/>
      <c r="E452" s="277"/>
      <c r="F452" s="278"/>
      <c r="G452" s="276"/>
      <c r="H452" s="277"/>
      <c r="I452" s="277"/>
      <c r="J452" s="276"/>
      <c r="K452" s="276"/>
      <c r="L452" s="277"/>
      <c r="M452" s="276"/>
      <c r="N452" s="277"/>
      <c r="O452" s="84"/>
    </row>
    <row r="453">
      <c r="A453" s="276"/>
      <c r="B453" s="276"/>
      <c r="C453" s="275"/>
      <c r="D453" s="276"/>
      <c r="E453" s="277"/>
      <c r="F453" s="278"/>
      <c r="G453" s="276"/>
      <c r="H453" s="277"/>
      <c r="I453" s="277"/>
      <c r="J453" s="276"/>
      <c r="K453" s="276"/>
      <c r="L453" s="277"/>
      <c r="M453" s="276"/>
      <c r="N453" s="277"/>
      <c r="O453" s="84"/>
    </row>
    <row r="454">
      <c r="A454" s="276"/>
      <c r="B454" s="276"/>
      <c r="C454" s="275"/>
      <c r="D454" s="276"/>
      <c r="E454" s="277"/>
      <c r="F454" s="278"/>
      <c r="G454" s="276"/>
      <c r="H454" s="277"/>
      <c r="I454" s="277"/>
      <c r="J454" s="276"/>
      <c r="K454" s="276"/>
      <c r="L454" s="277"/>
      <c r="M454" s="276"/>
      <c r="N454" s="277"/>
      <c r="O454" s="84"/>
    </row>
    <row r="455">
      <c r="A455" s="276"/>
      <c r="B455" s="276"/>
      <c r="C455" s="275"/>
      <c r="D455" s="276"/>
      <c r="E455" s="277"/>
      <c r="F455" s="278"/>
      <c r="G455" s="276"/>
      <c r="H455" s="277"/>
      <c r="I455" s="277"/>
      <c r="J455" s="276"/>
      <c r="K455" s="276"/>
      <c r="L455" s="277"/>
      <c r="M455" s="276"/>
      <c r="N455" s="277"/>
      <c r="O455" s="84"/>
    </row>
    <row r="456">
      <c r="A456" s="276"/>
      <c r="B456" s="276"/>
      <c r="C456" s="275"/>
      <c r="D456" s="276"/>
      <c r="E456" s="277"/>
      <c r="F456" s="278"/>
      <c r="G456" s="276"/>
      <c r="H456" s="277"/>
      <c r="I456" s="277"/>
      <c r="J456" s="276"/>
      <c r="K456" s="276"/>
      <c r="L456" s="277"/>
      <c r="M456" s="276"/>
      <c r="N456" s="277"/>
      <c r="O456" s="84"/>
    </row>
    <row r="457">
      <c r="A457" s="276"/>
      <c r="B457" s="276"/>
      <c r="C457" s="275"/>
      <c r="D457" s="276"/>
      <c r="E457" s="277"/>
      <c r="F457" s="278"/>
      <c r="G457" s="276"/>
      <c r="H457" s="277"/>
      <c r="I457" s="277"/>
      <c r="J457" s="276"/>
      <c r="K457" s="276"/>
      <c r="L457" s="277"/>
      <c r="M457" s="276"/>
      <c r="N457" s="277"/>
      <c r="O457" s="84"/>
    </row>
    <row r="458">
      <c r="A458" s="276"/>
      <c r="B458" s="276"/>
      <c r="C458" s="275"/>
      <c r="D458" s="276"/>
      <c r="E458" s="277"/>
      <c r="F458" s="278"/>
      <c r="G458" s="276"/>
      <c r="H458" s="277"/>
      <c r="I458" s="277"/>
      <c r="J458" s="276"/>
      <c r="K458" s="276"/>
      <c r="L458" s="277"/>
      <c r="M458" s="276"/>
      <c r="N458" s="277"/>
      <c r="O458" s="84"/>
    </row>
    <row r="459">
      <c r="A459" s="276"/>
      <c r="B459" s="276"/>
      <c r="C459" s="275"/>
      <c r="D459" s="276"/>
      <c r="E459" s="277"/>
      <c r="F459" s="278"/>
      <c r="G459" s="276"/>
      <c r="H459" s="277"/>
      <c r="I459" s="277"/>
      <c r="J459" s="276"/>
      <c r="K459" s="276"/>
      <c r="L459" s="277"/>
      <c r="M459" s="276"/>
      <c r="N459" s="277"/>
      <c r="O459" s="84"/>
    </row>
    <row r="460">
      <c r="A460" s="276"/>
      <c r="B460" s="276"/>
      <c r="C460" s="275"/>
      <c r="D460" s="276"/>
      <c r="E460" s="277"/>
      <c r="F460" s="278"/>
      <c r="G460" s="276"/>
      <c r="H460" s="277"/>
      <c r="I460" s="277"/>
      <c r="J460" s="276"/>
      <c r="K460" s="276"/>
      <c r="L460" s="277"/>
      <c r="M460" s="276"/>
      <c r="N460" s="277"/>
      <c r="O460" s="84"/>
    </row>
    <row r="461">
      <c r="A461" s="276"/>
      <c r="B461" s="276"/>
      <c r="C461" s="275"/>
      <c r="D461" s="276"/>
      <c r="E461" s="277"/>
      <c r="F461" s="278"/>
      <c r="G461" s="276"/>
      <c r="H461" s="277"/>
      <c r="I461" s="277"/>
      <c r="J461" s="276"/>
      <c r="K461" s="276"/>
      <c r="L461" s="277"/>
      <c r="M461" s="276"/>
      <c r="N461" s="277"/>
      <c r="O461" s="84"/>
    </row>
    <row r="462">
      <c r="A462" s="276"/>
      <c r="B462" s="276"/>
      <c r="C462" s="275"/>
      <c r="D462" s="276"/>
      <c r="E462" s="277"/>
      <c r="F462" s="278"/>
      <c r="G462" s="276"/>
      <c r="H462" s="277"/>
      <c r="I462" s="277"/>
      <c r="J462" s="276"/>
      <c r="K462" s="276"/>
      <c r="L462" s="277"/>
      <c r="M462" s="276"/>
      <c r="N462" s="277"/>
      <c r="O462" s="84"/>
    </row>
    <row r="463">
      <c r="A463" s="276"/>
      <c r="B463" s="276"/>
      <c r="C463" s="275"/>
      <c r="D463" s="276"/>
      <c r="E463" s="277"/>
      <c r="F463" s="278"/>
      <c r="G463" s="276"/>
      <c r="H463" s="277"/>
      <c r="I463" s="277"/>
      <c r="J463" s="276"/>
      <c r="K463" s="276"/>
      <c r="L463" s="277"/>
      <c r="M463" s="276"/>
      <c r="N463" s="277"/>
      <c r="O463" s="84"/>
    </row>
    <row r="464">
      <c r="A464" s="276"/>
      <c r="B464" s="276"/>
      <c r="C464" s="275"/>
      <c r="D464" s="276"/>
      <c r="E464" s="277"/>
      <c r="F464" s="278"/>
      <c r="G464" s="276"/>
      <c r="H464" s="277"/>
      <c r="I464" s="277"/>
      <c r="J464" s="276"/>
      <c r="K464" s="276"/>
      <c r="L464" s="277"/>
      <c r="M464" s="276"/>
      <c r="N464" s="277"/>
      <c r="O464" s="84"/>
    </row>
    <row r="465">
      <c r="A465" s="276"/>
      <c r="B465" s="276"/>
      <c r="C465" s="275"/>
      <c r="D465" s="276"/>
      <c r="E465" s="277"/>
      <c r="F465" s="278"/>
      <c r="G465" s="276"/>
      <c r="H465" s="277"/>
      <c r="I465" s="277"/>
      <c r="J465" s="276"/>
      <c r="K465" s="276"/>
      <c r="L465" s="277"/>
      <c r="M465" s="276"/>
      <c r="N465" s="277"/>
      <c r="O465" s="84"/>
    </row>
    <row r="466">
      <c r="A466" s="276"/>
      <c r="B466" s="276"/>
      <c r="C466" s="275"/>
      <c r="D466" s="276"/>
      <c r="E466" s="277"/>
      <c r="F466" s="278"/>
      <c r="G466" s="276"/>
      <c r="H466" s="277"/>
      <c r="I466" s="277"/>
      <c r="J466" s="276"/>
      <c r="K466" s="276"/>
      <c r="L466" s="277"/>
      <c r="M466" s="276"/>
      <c r="N466" s="277"/>
      <c r="O466" s="84"/>
    </row>
    <row r="467">
      <c r="A467" s="276"/>
      <c r="B467" s="276"/>
      <c r="C467" s="275"/>
      <c r="D467" s="276"/>
      <c r="E467" s="277"/>
      <c r="F467" s="278"/>
      <c r="G467" s="276"/>
      <c r="H467" s="277"/>
      <c r="I467" s="277"/>
      <c r="J467" s="276"/>
      <c r="K467" s="276"/>
      <c r="L467" s="277"/>
      <c r="M467" s="276"/>
      <c r="N467" s="277"/>
      <c r="O467" s="84"/>
    </row>
    <row r="468">
      <c r="A468" s="276"/>
      <c r="B468" s="276"/>
      <c r="C468" s="275"/>
      <c r="D468" s="276"/>
      <c r="E468" s="277"/>
      <c r="F468" s="278"/>
      <c r="G468" s="276"/>
      <c r="H468" s="277"/>
      <c r="I468" s="277"/>
      <c r="J468" s="276"/>
      <c r="K468" s="276"/>
      <c r="L468" s="277"/>
      <c r="M468" s="276"/>
      <c r="N468" s="277"/>
      <c r="O468" s="84"/>
    </row>
    <row r="469">
      <c r="A469" s="276"/>
      <c r="B469" s="276"/>
      <c r="C469" s="275"/>
      <c r="D469" s="276"/>
      <c r="E469" s="277"/>
      <c r="F469" s="278"/>
      <c r="G469" s="276"/>
      <c r="H469" s="277"/>
      <c r="I469" s="277"/>
      <c r="J469" s="276"/>
      <c r="K469" s="276"/>
      <c r="L469" s="277"/>
      <c r="M469" s="276"/>
      <c r="N469" s="277"/>
      <c r="O469" s="84"/>
    </row>
    <row r="470">
      <c r="A470" s="276"/>
      <c r="B470" s="276"/>
      <c r="C470" s="275"/>
      <c r="D470" s="276"/>
      <c r="E470" s="277"/>
      <c r="F470" s="278"/>
      <c r="G470" s="276"/>
      <c r="H470" s="277"/>
      <c r="I470" s="277"/>
      <c r="J470" s="276"/>
      <c r="K470" s="276"/>
      <c r="L470" s="277"/>
      <c r="M470" s="276"/>
      <c r="N470" s="277"/>
      <c r="O470" s="84"/>
    </row>
  </sheetData>
  <hyperlinks>
    <hyperlink ref="O21" display="https://mapid.co.id/MAPIDforGisara" r:id="rId1"/>
    <hyperlink ref="O252" display="https://www.canva.com/design/DAG7MhHBnYM/2RGZI6v24YaQ4yYUcM4WUg/edit?utm_content=DAG7MhHBnYM&amp;utm_campaign=designshare&amp;utm_medium=link2&amp;utm_source=sharebutton" r:id="rId2"/>
    <hyperlink ref="C13" display="dewi.madyani@takeda.com" r:id="rId3"/>
    <hyperlink ref="C66" display="dewi.madyani@takeda.com" r:id="rId4"/>
    <hyperlink ref="C282" display="‎indrawan.fauzi@cinema21.co.id" r:id="rId5"/>
    <hyperlink ref="C30" display="sylvia.monica@ocbc.id" r:id="rId6"/>
    <hyperlink ref="O63" display="https://mapid.co.id/CyberJaya" r:id="rId7"/>
    <hyperlink ref="O6" display="https://csgh0664zke9.sg.larksuite.com/file/Jnq3bU6vxoZH7Gx7oWFlEFoLgkb?from=from_copylink" r:id="rId8"/>
    <hyperlink ref="C5" display="nurkholis.ari@iconpln.co.id" r:id="rId9"/>
    <hyperlink ref="O7" display="https://www.canva.com/design/DAG2rlohTZI/OOQQEFbtN_oaupn5LVSCzA/edit" r:id="rId10"/>
    <hyperlink ref="O25" display="https://www.canva.com/design/DAG7MhHBnYM/2RGZI6v24YaQ4yYUcM4WUg/edit?utm_content=DAG7MhHBnYM&amp;utm_campaign=designshare&amp;utm_medium=link2&amp;utm_source=sharebutton" r:id="rId11"/>
    <hyperlink ref="O52" display="https://www.canva.com/design/DAG-8Jf2K5Q/aZSWwFEyTZ6dWrIEYHpP4A/edit?utm_content=DAG-8Jf2K5Q&amp;utm_campaign=designshare&amp;utm_medium=link2&amp;utm_source=sharebutton" r:id="rId12"/>
    <hyperlink ref="C10" display="radhi.ardhie@metranet.co.id" r:id="rId13"/>
    <hyperlink ref="C252" display="luanacastillo@shopee.com" r:id="rId14"/>
    <hyperlink ref="C261" display="lukito.galuh@toyota.astra.co.id" r:id="rId15"/>
    <hyperlink ref="C4" display="fransiscus.johan@erajaya.com" r:id="rId16"/>
    <hyperlink ref="C56" display="rhea.danaparamita@english1.com" r:id="rId17"/>
    <hyperlink ref="C260" display="kawano@indokoei.co.id" r:id="rId18"/>
    <hyperlink ref="C251" display="simon.pasito@hypernet.co.id" r:id="rId19"/>
    <hyperlink ref="O41" display="https://www.canva.com/design/DAG78v-baWo/5BobnRbsZ8Aqwnq1zgqrxg/edit?utm_content=DAG78v-baWo&amp;utm_campaign=designshare&amp;utm_medium=link2&amp;utm_source=sharebutton" r:id="rId20"/>
    <hyperlink ref="O55" display="https://www.canva.com/design/DAG2rlohTZI/OOQQEFbtN_oaupn5LVSCzA/edit" r:id="rId21"/>
    <hyperlink ref="O8" display="https://www.canva.com/design/DAGqH3HTkqU/sBZO-dIh7YVfYRJHUQ2dEA/edit?utm_content=DAGqH3HTkqU&amp;utm_campaign=designshare&amp;utm_medium=link2&amp;utm_source=sharebutton" r:id="rId22"/>
    <hyperlink ref="O251" display="https://mapid.co.id/MAPIDforHypernet" r:id="rId23"/>
    <hyperlink ref="O65" display="https://mapid.co.id/MAPIDforKino" r:id="rId24"/>
    <hyperlink ref="C8" display="rhea.danaparamita@english1.com" r:id="rId25"/>
    <hyperlink ref="C60" display="dolat@nec.co.id" r:id="rId26"/>
    <hyperlink ref="O268" display="https://www.canva.com/design/DAG78v-baWo/5BobnRbsZ8Aqwnq1zgqrxg/edit?utm_content=DAG78v-baWo&amp;utm_campaign=designshare&amp;utm_medium=link2&amp;utm_source=sharebutton" r:id="rId27"/>
    <hyperlink ref="C24" display="simon.pasito@hypernet.co.id" r:id="rId28"/>
    <hyperlink ref="C33" display="kawano@indokoei.co.id" r:id="rId29"/>
    <hyperlink ref="C254" display="irwansyah@psn.co.id" r:id="rId30"/>
    <hyperlink ref="C28" display="fransiscus.johan@erajaya.com" r:id="rId31"/>
    <hyperlink ref="C58" display="radhi.ardhie@metranet.co.id" r:id="rId32"/>
    <hyperlink ref="O29" display="https://www.canva.com/design/DAG2kqp6kxQ/xim5llb971WKriomuoOvaA/edit" r:id="rId33"/>
    <hyperlink ref="O12" display="https://mapid.co.id/MAPIDforKino" r:id="rId34"/>
    <hyperlink ref="O4" display="http://mapid.co.id/MAPIDforErajaya" r:id="rId35"/>
    <hyperlink ref="O58" display="https://www.canva.com/design/DAG30bLo_NM/rh3SdJlsLpjDp9E1t_pRCw/edit" r:id="rId36"/>
    <hyperlink ref="C35" display="jismil.lathif@gmail.com" r:id="rId37"/>
    <hyperlink ref="O24" display="https://mapid.co.id/MAPIDforHypernet" r:id="rId38"/>
    <hyperlink ref="O69" display="https://mapid.co.id/MAPIDforPelindo" r:id="rId39"/>
    <hyperlink ref="O11" display="https://mapid.co.id/CyberJaya" r:id="rId40"/>
    <hyperlink ref="C262" display="jismil.lathif@gmail.com" r:id="rId41"/>
    <hyperlink ref="O16" display="https://mapid.co.id/MAPIDforPelindo" r:id="rId42"/>
    <hyperlink ref="O5" display="https://www.canva.com/design/DAG2kqp6kxQ/xim5llb971WKriomuoOvaA/edit" r:id="rId43"/>
    <hyperlink ref="O10" display="https://www.canva.com/design/DAG30bLo_NM/rh3SdJlsLpjDp9E1t_pRCw/edit" r:id="rId44"/>
    <hyperlink ref="O30" display="RFP Document for OCBC - MAPID.pdf" r:id="rId45"/>
    <hyperlink ref="C25" display="luanacastillo@shopee.com" r:id="rId46"/>
    <hyperlink ref="O53" display="https://www.canva.com/design/DAG_MvGpVQk/1872v9AIXn2mZYo7pnf4vQ/edit?utm_content=DAG_MvGpVQk&amp;utm_campaign=designshare&amp;utm_medium=link2&amp;utm_source=sharebutton" r:id="rId47"/>
    <hyperlink ref="O28" display="http://mapid.co.id/MAPIDforErajaya" r:id="rId48"/>
    <hyperlink ref="O279" display="https://www.canva.com/design/DAG-8Jf2K5Q/aZSWwFEyTZ6dWrIEYHpP4A/edit?utm_content=DAG-8Jf2K5Q&amp;utm_campaign=designshare&amp;utm_medium=link2&amp;utm_source=sharebutton" r:id="rId49"/>
    <hyperlink ref="C59" display="antonius.wisanggeni@biznetnetworks.com" r:id="rId50"/>
    <hyperlink ref="C34" display="lukito.galuh@toyota.astra.co.id" r:id="rId51"/>
    <hyperlink ref="C27" display="irwansyah@psn.co.id" r:id="rId52"/>
    <hyperlink ref="C286" display="antonius.wisanggeni@biznetnetworks.com" r:id="rId53"/>
    <hyperlink ref="C29" display="nurkholis.ari@iconpln.co.id" r:id="rId54"/>
    <hyperlink ref="O248" display="https://mapid.co.id/MAPIDforGisara" r:id="rId55"/>
    <hyperlink ref="C287" display="dolat@nec.co.id" r:id="rId56"/>
    <hyperlink ref="C6" display="sylvia.monica@ocbc.id" r:id="rId57"/>
    <hyperlink ref="O56" display="https://www.canva.com/design/DAGqH3HTkqU/sBZO-dIh7YVfYRJHUQ2dEA/edit?utm_content=DAGqH3HTkqU&amp;utm_campaign=designshare&amp;utm_medium=link2&amp;utm_source=sharebutton" r:id="rId58"/>
    <hyperlink ref="O280" display="https://www.canva.com/design/DAG_MvGpVQk/1872v9AIXn2mZYo7pnf4vQ/edit?utm_content=DAG_MvGpVQk&amp;utm_campaign=designshare&amp;utm_medium=link2&amp;utm_source=sharebutton" r:id="rId59"/>
  </hyperlinks>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3"/>
    <col collapsed="false" customWidth="true" hidden="false" max="2" min="2" style="0" width="26"/>
  </cols>
  <sheetData>
    <row r="1">
      <c r="A1" s="14" t="str">
        <v>Daily task Community</v>
      </c>
      <c r="B1" s="14" t="s">
        <v>412</v>
      </c>
      <c r="D1" s="14" t="str">
        <v>fliphtml pse</v>
      </c>
    </row>
    <row r="2">
      <c r="A2" s="14" t="str">
        <v>Dokumen Report SNJ</v>
      </c>
      <c r="B2" s="14" t="s">
        <v>414</v>
      </c>
      <c r="D2" s="14" t="str">
        <v>kkb</v>
      </c>
      <c r="E2" s="14" t="s">
        <v>413</v>
      </c>
    </row>
    <row r="3">
      <c r="A3" s="14" t="str">
        <v>Folder Project Management</v>
      </c>
      <c r="B3" t="s">
        <v>415</v>
      </c>
      <c r="D3" s="14" t="str">
        <v>erajaya</v>
      </c>
      <c r="E3" s="14" t="s">
        <v>416</v>
      </c>
    </row>
    <row r="4">
      <c r="A4" s="14" t="str">
        <v>Company Profile</v>
      </c>
      <c r="B4" s="14" t="s">
        <v>417</v>
      </c>
      <c r="D4" s="14" t="str">
        <v>pelindo</v>
      </c>
      <c r="E4" s="14" t="s">
        <v>418</v>
      </c>
    </row>
    <row r="5"/>
    <row r="6"/>
    <row r="7"/>
    <row r="8"/>
    <row r="9"/>
    <row r="10"/>
    <row r="11"/>
    <row r="12"/>
    <row r="13"/>
    <row r="14"/>
    <row r="15"/>
    <row r="16"/>
    <row r="17"/>
    <row r="18">
      <c r="D18" s="14" t="str" xml:space="preserve">
        <v>  </v>
      </c>
    </row>
  </sheetData>
  <hyperlinks>
    <hyperlink ref="B2" display="https://drive.google.com/drive/folders/100lVF1ora1tETR_h7KYk2vXv4ztHB5ja?usp=drive_link" r:id="rId1"/>
    <hyperlink ref="B3" display="https://csgh0664zke9.sg.larksuite.com/drive/folder/TSsOf894VllmSPdn1dSldLwegvb?from=from_copylink" r:id="rId2"/>
    <hyperlink ref="E3" display="mapid.co.id/MAPIDforErajaya" r:id="rId3"/>
    <hyperlink ref="B4" display="mapid.co.id/MAPIDCOMPANYPROFILE" r:id="rId4"/>
    <hyperlink ref="E4" display="mapid.co.id/MAPIDforPelindo" r:id="rId5"/>
    <hyperlink ref="B1" display="Freelance Community - Hub" r:id="rId6"/>
    <hyperlink ref="E2" display="mapid.co.id/MAPIDforBTID" r:id="rId7"/>
  </hyperlinks>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40"/>
    <col collapsed="false" customWidth="true" hidden="false" max="2" min="2" style="0" width="15"/>
    <col collapsed="false" customWidth="true" hidden="false" max="7" min="7" style="0" width="34"/>
    <col collapsed="false" customWidth="true" hidden="false" max="9" min="9" style="0" width="60"/>
    <col collapsed="false" customWidth="true" hidden="false" max="10" min="10" style="0" width="57"/>
  </cols>
  <sheetData>
    <row r="1">
      <c r="A1" s="14" t="str">
        <v>Backlog List</v>
      </c>
      <c r="B1" s="14" t="str">
        <v>Requested by</v>
      </c>
      <c r="C1" s="14" t="str">
        <v>Status</v>
      </c>
    </row>
    <row r="2">
      <c r="A2" s="14" t="str">
        <v>Academy IKN</v>
      </c>
      <c r="B2" t="str">
        <v>Management</v>
      </c>
      <c r="C2" t="str">
        <v>hold</v>
      </c>
    </row>
    <row r="3">
      <c r="A3" s="14" t="str">
        <v>WaHa Activation</v>
      </c>
      <c r="B3" t="str">
        <v>Head Insiative</v>
      </c>
      <c r="C3" t="str">
        <v>Done</v>
      </c>
    </row>
    <row r="4">
      <c r="A4" s="14" t="str">
        <v>SEO Landing Page</v>
      </c>
      <c r="B4" t="str">
        <v>Head Insiative</v>
      </c>
      <c r="C4" t="str">
        <v>Done</v>
      </c>
    </row>
    <row r="5">
      <c r="A5" s="14" t="str">
        <v>CATALYST WebGIS Competition BINUS</v>
      </c>
      <c r="B5" t="str">
        <v>Management</v>
      </c>
      <c r="C5" t="str">
        <v>hold</v>
      </c>
    </row>
    <row r="6">
      <c r="A6" s="14" t="str">
        <v>CRM (WhatsApp Acc PSE gausah diganti2)</v>
      </c>
      <c r="B6" t="str">
        <v>Management</v>
      </c>
      <c r="C6" t="str">
        <v>hold</v>
      </c>
    </row>
    <row r="7">
      <c r="A7" s="14" t="str">
        <v>Ngelist fitur2 yg sering digunakan dari client</v>
      </c>
      <c r="B7" t="str">
        <v>Management</v>
      </c>
      <c r="C7" t="str">
        <v>In Progress</v>
      </c>
    </row>
    <row r="8">
      <c r="A8" s="14" t="str">
        <v>Sop kaya BRD dll perintilan project management</v>
      </c>
      <c r="B8" t="str">
        <v>Management</v>
      </c>
      <c r="C8" t="str">
        <v>Done</v>
      </c>
    </row>
    <row r="9">
      <c r="A9" s="14" t="str">
        <v>Inisiasi Academy Malaysia</v>
      </c>
      <c r="B9" t="str">
        <v>Management</v>
      </c>
      <c r="C9" t="str">
        <v>hold</v>
      </c>
    </row>
    <row r="10">
      <c r="A10" s="14" t="str">
        <v>Shareholders Report Magazine</v>
      </c>
      <c r="B10" t="str">
        <v>Management</v>
      </c>
      <c r="C10" t="str">
        <v>In Progress</v>
      </c>
    </row>
    <row r="11">
      <c r="A11" s="14" t="str">
        <v>Solution WebGIS</v>
      </c>
      <c r="B11" t="str">
        <v>Management</v>
      </c>
      <c r="C11" t="str">
        <v>hold</v>
      </c>
    </row>
    <row r="12">
      <c r="A12" s="14" t="str">
        <v>CSR w/ gubernur maluku utara</v>
      </c>
      <c r="B12" t="str">
        <v>Management</v>
      </c>
      <c r="C12" t="str">
        <v>In Progress</v>
      </c>
    </row>
    <row r="13">
      <c r="A13" s="14" t="str">
        <v>Bikin Event UMKM : talkshow (aldi's burger), popup store</v>
      </c>
      <c r="B13" t="str">
        <v>Management</v>
      </c>
      <c r="C13" t="str">
        <v>In Progress</v>
      </c>
    </row>
    <row r="14">
      <c r="A14" s="14" t="str">
        <v>Pricing Elevation &amp; Isochrone</v>
      </c>
    </row>
  </sheetData>
  <dataValidations count="2">
    <dataValidation allowBlank="true" errorStyle="stop" showErrorMessage="true" sqref="B2:B13" type="list">
      <formula1>"Management,Head Insiative,Market"</formula1>
    </dataValidation>
    <dataValidation allowBlank="true" errorStyle="stop" showErrorMessage="true" sqref="C2:C13" type="list">
      <formula1>"Done,In Progress,hold"</formula1>
    </dataValidation>
  </dataValidations>
  <legacyDrawing r:id="rId1"/>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1"/>
    <col collapsed="false" customWidth="true" hidden="false" max="2" min="2" style="0" width="15"/>
    <col collapsed="false" customWidth="true" hidden="false" max="3" min="3" style="0" width="35"/>
  </cols>
  <sheetData>
    <row r="1">
      <c r="A1" s="322" t="str">
        <v>Kategori Prioritas</v>
      </c>
      <c r="B1" s="322" t="str">
        <v>Nama User</v>
      </c>
      <c r="C1" s="322" t="str">
        <v>Kontak (WhatsApp/Email)</v>
      </c>
      <c r="D1" s="322" t="str">
        <v>Industri / Konteks</v>
      </c>
    </row>
    <row r="2">
      <c r="A2" s="321" t="str">
        <v>1. HOT LEADS (Abandoned Cart)</v>
      </c>
      <c r="B2" s="321" t="str">
        <v>feals</v>
      </c>
      <c r="C2" s="321">
        <v>62857142980391</v>
      </c>
      <c r="D2" s="321" t="str">
        <v>Unpaid Checkout (Feb) / Manufacture</v>
      </c>
    </row>
    <row r="3">
      <c r="A3" s="321" t="str">
        <v>1. HOT LEADS (Abandoned Cart)</v>
      </c>
      <c r="B3" s="321" t="str">
        <v>padangpanjang</v>
      </c>
      <c r="C3" s="321" t="s">
        <v>423</v>
      </c>
      <c r="D3" s="321" t="str">
        <v>Unpaid Checkout (Feb)</v>
      </c>
    </row>
    <row r="4">
      <c r="A4" s="321" t="str">
        <v>1. HOT LEADS (Abandoned Cart)</v>
      </c>
      <c r="B4" s="321" t="str">
        <v>annisa626</v>
      </c>
      <c r="C4" s="321">
        <v>6285156448250</v>
      </c>
      <c r="D4" s="321" t="str">
        <v>Unpaid Checkout (Feb)</v>
      </c>
    </row>
    <row r="5">
      <c r="A5" s="321" t="str">
        <v>1. HOT LEADS (Abandoned Cart)</v>
      </c>
      <c r="B5" s="321" t="str">
        <v>rfriska98</v>
      </c>
      <c r="C5" s="321">
        <v>6282187617402</v>
      </c>
      <c r="D5" s="321" t="str">
        <v>Unpaid Checkout (Feb) / Fishery &amp; Marine</v>
      </c>
    </row>
    <row r="6">
      <c r="A6" s="321" t="str">
        <v>1. HOT LEADS (Abandoned Cart)</v>
      </c>
      <c r="B6" s="321" t="str">
        <v>fazliaditya</v>
      </c>
      <c r="C6" s="321">
        <v>6281317021895</v>
      </c>
      <c r="D6" s="321" t="str">
        <v>Unpaid Checkout (Jan) / Research</v>
      </c>
    </row>
    <row r="7">
      <c r="A7" s="321" t="str">
        <v>1. HOT LEADS (Abandoned Cart)</v>
      </c>
      <c r="B7" s="321" t="str">
        <v>nirmalafika</v>
      </c>
      <c r="C7" s="321">
        <v>6285817940053</v>
      </c>
      <c r="D7" s="321" t="str">
        <v>Unpaid Checkout (Jan) / Research</v>
      </c>
    </row>
    <row r="8">
      <c r="A8" s="321" t="str">
        <v>1. HOT LEADS (Abandoned Cart)</v>
      </c>
      <c r="B8" s="321" t="str">
        <v>syhrlt</v>
      </c>
      <c r="C8" s="321">
        <v>6289666038464</v>
      </c>
      <c r="D8" s="321" t="str">
        <v>Unpaid Checkout (Jan) / IT Services</v>
      </c>
    </row>
    <row r="9">
      <c r="A9" s="321" t="str">
        <v>1. HOT LEADS (Abandoned Cart)</v>
      </c>
      <c r="B9" s="321" t="str">
        <v>ronunbudd</v>
      </c>
      <c r="C9" s="321">
        <v>628813772551</v>
      </c>
      <c r="D9" s="321" t="str">
        <v>Unpaid Checkout (Jan) / Research</v>
      </c>
    </row>
    <row r="10">
      <c r="A10" s="321" t="str">
        <v>1. HOT LEADS (Abandoned Cart)</v>
      </c>
      <c r="B10" s="321" t="str">
        <v>azman11</v>
      </c>
      <c r="C10" s="321" t="s">
        <v>421</v>
      </c>
      <c r="D10" s="321" t="str">
        <v>Unpaid Checkout (Jan)</v>
      </c>
    </row>
    <row r="11">
      <c r="A11" s="321" t="str">
        <v>1. HOT LEADS (Abandoned Cart)</v>
      </c>
      <c r="B11" s="321" t="str">
        <v>rizalnazari</v>
      </c>
      <c r="C11" s="321" t="s">
        <v>424</v>
      </c>
      <c r="D11" s="321" t="str">
        <v>Unpaid Checkout (Jan)</v>
      </c>
    </row>
    <row r="12">
      <c r="A12" s="321" t="str">
        <v>1. HOT LEADS (Abandoned Cart)</v>
      </c>
      <c r="B12" s="321" t="str">
        <v>ayypitt</v>
      </c>
      <c r="C12" s="321">
        <v>6282128887513</v>
      </c>
      <c r="D12" s="321" t="str">
        <v>Unpaid Checkout (Mar) / Research</v>
      </c>
    </row>
    <row r="13">
      <c r="A13" s="321" t="str">
        <v>1. HOT LEADS (Abandoned Cart)</v>
      </c>
      <c r="B13" s="321" t="str">
        <v>ferry_rssl</v>
      </c>
      <c r="C13" s="321">
        <v>628999382578</v>
      </c>
      <c r="D13" s="321" t="str">
        <v>Unpaid Checkout (Mar) / Government</v>
      </c>
    </row>
    <row r="14">
      <c r="A14" s="321" t="str">
        <v>1. HOT LEADS (Abandoned Cart)</v>
      </c>
      <c r="B14" s="321" t="str">
        <v>irfanfirdaus990</v>
      </c>
      <c r="C14" s="321" t="s">
        <v>419</v>
      </c>
      <c r="D14" s="321" t="str">
        <v>Unpaid Checkout (Mar) / Government</v>
      </c>
    </row>
    <row r="15">
      <c r="A15" s="321" t="str">
        <v>1. HOT LEADS (Abandoned Cart)</v>
      </c>
      <c r="B15" s="321" t="str">
        <v>jasminekhrn</v>
      </c>
      <c r="C15" s="321" t="s">
        <v>287</v>
      </c>
      <c r="D15" s="321" t="str">
        <v>Unpaid Checkout (Mar) / Nonprofit</v>
      </c>
    </row>
    <row r="16">
      <c r="A16" s="321" t="str">
        <v>1. HOT LEADS (Abandoned Cart)</v>
      </c>
      <c r="B16" s="321" t="str">
        <v>kris-simbolon</v>
      </c>
      <c r="C16" s="321" t="s">
        <v>420</v>
      </c>
      <c r="D16" s="321" t="str">
        <v>Unpaid Checkout (Mar) / IT Services</v>
      </c>
    </row>
    <row r="17">
      <c r="A17" s="321" t="str">
        <v>1. HOT LEADS (Abandoned Cart)</v>
      </c>
      <c r="B17" s="321" t="str">
        <v>manha</v>
      </c>
      <c r="C17" s="321">
        <v>62882008094778</v>
      </c>
      <c r="D17" s="321" t="str">
        <v>Unpaid Checkout (Mar) / IT Services</v>
      </c>
    </row>
    <row r="18">
      <c r="A18" s="321" t="str">
        <v>1. HOT LEADS (Abandoned Cart)</v>
      </c>
      <c r="B18" s="321" t="str">
        <v>rifqi_22</v>
      </c>
      <c r="C18" s="321" t="s">
        <v>422</v>
      </c>
      <c r="D18" s="321" t="str">
        <v>Unpaid Checkout (Mar)</v>
      </c>
    </row>
    <row r="19">
      <c r="A19" s="321" t="str">
        <v>1. HOT LEADS (Abandoned Cart)</v>
      </c>
      <c r="B19" s="321" t="str">
        <v>rziebrf</v>
      </c>
      <c r="C19" s="321">
        <v>6285156321923</v>
      </c>
      <c r="D19" s="321" t="str">
        <v>Unpaid Checkout (Mar)</v>
      </c>
    </row>
    <row r="20">
      <c r="A20" s="321" t="str">
        <v>1. HOT LEADS (Abandoned Cart)</v>
      </c>
      <c r="B20" s="321" t="str">
        <v>shfndyhmr</v>
      </c>
      <c r="C20" s="321">
        <v>6281215777350</v>
      </c>
      <c r="D20" s="321" t="str">
        <v>Unpaid Checkout (Mar) / Real Estate</v>
      </c>
    </row>
    <row r="21">
      <c r="A21" s="321" t="str">
        <v>2. HIGH VALUE (B2B/Business)</v>
      </c>
      <c r="B21" s="321" t="str">
        <v>risyad</v>
      </c>
      <c r="C21" s="321">
        <v>6281222820046</v>
      </c>
      <c r="D21" s="321" t="str">
        <v>Mining &amp; Metals</v>
      </c>
    </row>
    <row r="22">
      <c r="A22" s="321" t="str">
        <v>2. HIGH VALUE (B2B/Business)</v>
      </c>
      <c r="B22" s="321" t="str">
        <v>sahaware</v>
      </c>
      <c r="C22" s="321">
        <v>6285171164040</v>
      </c>
      <c r="D22" s="321" t="str">
        <v>IT Services</v>
      </c>
    </row>
    <row r="23">
      <c r="A23" s="321" t="str">
        <v>2. HIGH VALUE (B2B/Business)</v>
      </c>
      <c r="B23" s="321" t="str">
        <v>marzukyharry</v>
      </c>
      <c r="C23" s="321">
        <v>6283866806669</v>
      </c>
      <c r="D23" s="321" t="str">
        <v>F&amp;B (Kuliner)</v>
      </c>
    </row>
    <row r="24">
      <c r="A24" s="321" t="str">
        <v>2. HIGH VALUE (B2B/Business)</v>
      </c>
      <c r="B24" s="321" t="str">
        <v>anasiru</v>
      </c>
      <c r="C24" s="321">
        <v>62811439639</v>
      </c>
      <c r="D24" s="321" t="str">
        <v>Agriculture (Dr.)</v>
      </c>
    </row>
    <row r="25">
      <c r="A25" s="321" t="str">
        <v>2. HIGH VALUE (B2B/Business)</v>
      </c>
      <c r="B25" s="321" t="str">
        <v>fahmilutfi77</v>
      </c>
      <c r="C25" s="321">
        <v>628158713052</v>
      </c>
      <c r="D25" s="321" t="str">
        <v>Gov (BBWS Ciliwung)</v>
      </c>
    </row>
    <row r="26">
      <c r="A26" s="321" t="str">
        <v>2. HIGH VALUE (B2B/Business)</v>
      </c>
      <c r="B26" s="321" t="str">
        <v>polman</v>
      </c>
      <c r="C26" s="321">
        <v>6282133187759</v>
      </c>
      <c r="D26" s="321" t="str">
        <v>Government (Mar)</v>
      </c>
    </row>
    <row r="27">
      <c r="A27" s="321" t="str">
        <v>2. HIGH VALUE (B2B/Business)</v>
      </c>
      <c r="B27" s="321" t="str">
        <v>rouli</v>
      </c>
      <c r="C27" s="321">
        <v>6282111105314</v>
      </c>
      <c r="D27" s="321" t="str">
        <v>Transportation &amp; Mobility (Mar)</v>
      </c>
    </row>
    <row r="28">
      <c r="A28" s="321" t="str">
        <v>3. WARM LEADS (New User Feb)</v>
      </c>
      <c r="B28" s="321" t="str">
        <v>abraham</v>
      </c>
      <c r="C28" s="321">
        <v>6285183175593</v>
      </c>
      <c r="D28" s="321" t="str">
        <v>Retail &amp; Fashion</v>
      </c>
    </row>
    <row r="29">
      <c r="A29" s="321" t="str">
        <v>3. WARM LEADS (New User Feb)</v>
      </c>
      <c r="B29" s="321" t="str">
        <v>rommysb</v>
      </c>
      <c r="C29" s="321">
        <v>6285155193488</v>
      </c>
      <c r="D29" s="321" t="str">
        <v>Research</v>
      </c>
    </row>
    <row r="30">
      <c r="A30" s="321" t="str">
        <v>3. WARM LEADS (New User Feb)</v>
      </c>
      <c r="B30" s="321" t="str">
        <v>shaanieel</v>
      </c>
      <c r="C30" s="321">
        <v>6281211005595</v>
      </c>
      <c r="D30" s="321" t="str">
        <v>Media &amp; PR</v>
      </c>
    </row>
    <row r="31">
      <c r="A31" s="321" t="str">
        <v>3. WARM LEADS (New User Feb)</v>
      </c>
      <c r="B31" s="321" t="str">
        <v>percobaan1</v>
      </c>
      <c r="C31" s="321">
        <v>6281236850321</v>
      </c>
      <c r="D31" s="321" t="str">
        <v>Retail (Rudi Habibi)</v>
      </c>
    </row>
    <row r="32">
      <c r="A32" s="321" t="str">
        <v>3. WARM LEADS (New User Feb)</v>
      </c>
      <c r="B32" s="321" t="str">
        <v>abbie993</v>
      </c>
      <c r="C32" s="321">
        <v>6287797663397</v>
      </c>
      <c r="D32" s="321" t="str">
        <v>Retail</v>
      </c>
    </row>
    <row r="33">
      <c r="A33" s="321" t="str">
        <v>3. WARM LEADS (New User Feb)</v>
      </c>
      <c r="B33" s="321" t="str">
        <v>tamba</v>
      </c>
      <c r="C33" s="321">
        <v>6285224945453</v>
      </c>
      <c r="D33" s="321" t="str">
        <v>Research</v>
      </c>
    </row>
    <row r="34">
      <c r="A34" s="321" t="str">
        <v>3. WARM LEADS (New User Feb)</v>
      </c>
      <c r="B34" s="321" t="str">
        <v>rasucindhs</v>
      </c>
      <c r="C34" s="321">
        <v>628994220780</v>
      </c>
      <c r="D34" s="321" t="str">
        <v>IT Services</v>
      </c>
    </row>
    <row r="35">
      <c r="A35" s="321" t="str">
        <v>3. WARM LEADS (New User Feb)</v>
      </c>
      <c r="B35" s="321" t="str">
        <v>geofad</v>
      </c>
      <c r="C35" s="321">
        <v>6285725861128</v>
      </c>
      <c r="D35" s="321" t="str">
        <v>Government</v>
      </c>
    </row>
    <row r="36">
      <c r="A36" s="321" t="str">
        <v>3. WARM LEADS (New User Feb)</v>
      </c>
      <c r="B36" s="321" t="str">
        <v>fauzanarfanjani</v>
      </c>
      <c r="C36" s="321">
        <v>6289526757052</v>
      </c>
      <c r="D36" s="321" t="str">
        <v>Research</v>
      </c>
    </row>
    <row r="37">
      <c r="A37" s="321" t="str">
        <v>3. WARM LEADS (New User Feb)</v>
      </c>
      <c r="B37" s="321" t="str">
        <v>premacalya</v>
      </c>
      <c r="C37" s="321">
        <v>6281952928756</v>
      </c>
      <c r="D37" s="321" t="str">
        <v>Research</v>
      </c>
    </row>
    <row r="38">
      <c r="A38" s="321" t="str">
        <v>3. WARM LEADS (New User Feb)</v>
      </c>
      <c r="B38" s="321" t="str">
        <v>rbachtiar__</v>
      </c>
      <c r="C38" s="321">
        <v>6285725370175</v>
      </c>
      <c r="D38" s="321" t="str">
        <v>Government</v>
      </c>
    </row>
    <row r="39">
      <c r="A39" s="321" t="str">
        <v>3. WARM LEADS (New User Feb)</v>
      </c>
      <c r="B39" s="321" t="str">
        <v>frederika</v>
      </c>
      <c r="C39" s="321">
        <v>6285340000353</v>
      </c>
      <c r="D39" s="321" t="str">
        <v>IT Services</v>
      </c>
    </row>
    <row r="40">
      <c r="A40" s="321" t="str">
        <v>3. WARM LEADS (New User Feb)</v>
      </c>
      <c r="B40" s="321" t="str">
        <v>mridhadamanik</v>
      </c>
      <c r="C40" s="321">
        <v>6285225469715</v>
      </c>
      <c r="D40" s="321" t="str">
        <v>Research</v>
      </c>
    </row>
    <row r="41">
      <c r="A41" s="321" t="str">
        <v>3. WARM LEADS (New User Mar)</v>
      </c>
      <c r="B41" s="321" t="str">
        <v>megi03</v>
      </c>
      <c r="C41" s="321">
        <v>6282346753459</v>
      </c>
      <c r="D41" s="321" t="str">
        <v>Farming &amp; Agriculture (Mar)</v>
      </c>
    </row>
    <row r="42">
      <c r="A42" s="321" t="str">
        <v>3. WARM LEADS (New User Mar)</v>
      </c>
      <c r="B42" s="321" t="str">
        <v>andikaakbrr</v>
      </c>
      <c r="C42" s="321">
        <v>6282246652651</v>
      </c>
      <c r="D42" s="321" t="str">
        <v>Research (Mar)</v>
      </c>
    </row>
    <row r="43">
      <c r="A43" s="321" t="str">
        <v>3. WARM LEADS (New User Mar)</v>
      </c>
      <c r="B43" s="321" t="str">
        <v>firnashafeera</v>
      </c>
      <c r="C43" s="321">
        <v>6281315969848</v>
      </c>
      <c r="D43" s="321" t="str">
        <v>Farming &amp; Agriculture (Mar)</v>
      </c>
    </row>
    <row r="44">
      <c r="A44" s="321" t="str">
        <v>1. HOT LEADS (Abandoned Cart)</v>
      </c>
      <c r="B44" s="321" t="str">
        <v>muhammad.alhadiansyah</v>
      </c>
      <c r="C44" s="321">
        <v>6287893651874</v>
      </c>
      <c r="D44" s="321" t="str">
        <v>Unpaid Checkout (Feb) / Manufacture</v>
      </c>
    </row>
    <row r="45">
      <c r="A45" s="321" t="str">
        <v>1. HOT LEADS (Abandoned Cart)</v>
      </c>
      <c r="B45" s="321" t="str">
        <v>egi.pratama</v>
      </c>
      <c r="C45" s="321">
        <v>628329699396</v>
      </c>
      <c r="D45" s="321" t="str">
        <v>Unpaid Checkout (Feb)</v>
      </c>
    </row>
    <row r="46">
      <c r="A46" s="321" t="str">
        <v>1. HOT LEADS (Abandoned Cart)</v>
      </c>
      <c r="B46" s="321" t="str">
        <v>dwi.suhyar</v>
      </c>
      <c r="C46" s="321">
        <v>6289654467591</v>
      </c>
      <c r="D46" s="321" t="str">
        <v>Unpaid Checkout (Feb)</v>
      </c>
    </row>
    <row r="47">
      <c r="B47" s="14" t="str">
        <v>wina</v>
      </c>
      <c r="C47" s="14">
        <v>6281324011024</v>
      </c>
    </row>
  </sheetData>
  <hyperlinks>
    <hyperlink ref="C14" display="irfanfirdaus990@gmail.com" r:id="rId1"/>
    <hyperlink ref="C15" display="jasmine.khrn@gmail.com" r:id="rId2"/>
    <hyperlink ref="C16" display="krissimbolon28@gmail.com" r:id="rId3"/>
    <hyperlink ref="C10" display="azmansihab@gmail.com" r:id="rId4"/>
    <hyperlink ref="C18" display="rifqinaufalfayyadh@gmail.com" r:id="rId5"/>
    <hyperlink ref="C3" display="padangpanjang@gmail.com" r:id="rId6"/>
    <hyperlink ref="C11" display="rizalnazari11@gmail.com" r:id="rId7"/>
  </hyperlinks>
  <legacyDrawing r:id="rId8"/>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277"/>
      <c r="B1" s="277"/>
      <c r="C1" s="310"/>
      <c r="D1" s="277"/>
      <c r="E1" s="314"/>
      <c r="F1" s="315" t="str">
        <v>MAPID Partner Funnel</v>
      </c>
      <c r="G1" s="277"/>
      <c r="H1" s="277"/>
      <c r="I1" s="277"/>
      <c r="J1" s="277"/>
      <c r="K1" s="277"/>
      <c r="L1" s="277"/>
      <c r="M1" s="277"/>
      <c r="N1" s="277"/>
      <c r="O1" s="334"/>
    </row>
    <row r="2">
      <c r="A2" s="312">
        <v>2026</v>
      </c>
      <c r="B2" s="311"/>
      <c r="C2" s="310"/>
      <c r="D2" s="277"/>
      <c r="E2" s="277"/>
      <c r="F2" s="278"/>
      <c r="G2" s="277"/>
      <c r="H2" s="277"/>
      <c r="I2" s="277"/>
      <c r="J2" s="277"/>
      <c r="K2" s="277"/>
      <c r="L2" s="277"/>
      <c r="M2" s="277"/>
      <c r="N2" s="277"/>
      <c r="O2" s="335"/>
    </row>
    <row r="3">
      <c r="A3" s="306" t="str">
        <v>Company Name</v>
      </c>
      <c r="B3" s="303" t="str">
        <v>Partner Name</v>
      </c>
      <c r="C3" s="307" t="str">
        <v>Contact Email</v>
      </c>
      <c r="D3" s="309" t="str">
        <v>Contact Number</v>
      </c>
      <c r="E3" s="303" t="str">
        <v>Status</v>
      </c>
      <c r="F3" s="304" t="str">
        <v>Forecasted Value</v>
      </c>
      <c r="G3" s="309" t="str">
        <v>Probability</v>
      </c>
      <c r="H3" s="307" t="str">
        <v>Demo Date</v>
      </c>
      <c r="I3" s="307" t="str">
        <v>Expected 
 Close Date</v>
      </c>
      <c r="J3" s="303" t="str">
        <v>PIC Sales</v>
      </c>
      <c r="K3" s="303" t="str">
        <v>PIC PSE</v>
      </c>
      <c r="L3" s="307" t="str">
        <v>Progress to Won</v>
      </c>
      <c r="M3" s="308" t="str">
        <v>Last interacted on</v>
      </c>
      <c r="N3" s="305" t="str">
        <v>Next Step</v>
      </c>
      <c r="O3" s="324" t="str">
        <v>Proposal Link</v>
      </c>
    </row>
    <row r="4">
      <c r="A4" s="329" t="str">
        <v>GRAND TOTAL</v>
      </c>
      <c r="B4" s="326" t="str">
        <v>-</v>
      </c>
      <c r="C4" s="333" t="str">
        <v>-</v>
      </c>
      <c r="D4" s="326"/>
      <c r="E4" s="330"/>
      <c r="F4" s="327">
        <v>2652006000</v>
      </c>
      <c r="G4" s="326" t="str">
        <v>-</v>
      </c>
      <c r="H4" s="332" t="str">
        <v>-</v>
      </c>
      <c r="I4" s="326" t="str">
        <v>-</v>
      </c>
      <c r="J4" s="326" t="str">
        <v>-</v>
      </c>
      <c r="K4" s="326" t="str">
        <v>-</v>
      </c>
      <c r="L4" s="326" t="str">
        <v>-</v>
      </c>
      <c r="M4" s="331" t="str">
        <v>-</v>
      </c>
      <c r="N4" s="328" t="str">
        <v>-</v>
      </c>
      <c r="O4" s="328" t="str">
        <v>-</v>
      </c>
    </row>
    <row r="5">
      <c r="A5" s="279" t="str">
        <v>Metranet</v>
      </c>
      <c r="B5" s="279" t="str">
        <v>Radhi</v>
      </c>
      <c r="C5" s="289" t="s">
        <v>384</v>
      </c>
      <c r="D5" s="279" t="str">
        <v>+62 813-9899-6565</v>
      </c>
      <c r="E5" s="279" t="str">
        <v>Proposal made</v>
      </c>
      <c r="F5" s="279"/>
      <c r="G5" s="282">
        <v>0.5</v>
      </c>
      <c r="H5" s="293">
        <v>45965</v>
      </c>
      <c r="I5" s="279"/>
      <c r="J5" s="279" t="str">
        <v>Titan</v>
      </c>
      <c r="K5" s="279" t="str">
        <v>Amel</v>
      </c>
      <c r="L5" s="280">
        <v>0.5</v>
      </c>
      <c r="M5" s="267">
        <v>46076</v>
      </c>
      <c r="N5" s="279" t="str">
        <v>Tunggu kabar dari mas radhi (Mas radhi discuss w customer), FU Senin</v>
      </c>
      <c r="O5" s="292" t="s">
        <v>383</v>
      </c>
    </row>
    <row r="6">
      <c r="A6" s="266" t="str">
        <v>Cyberjaya</v>
      </c>
      <c r="B6" s="266"/>
      <c r="C6" s="269"/>
      <c r="D6" s="272"/>
      <c r="E6" s="286" t="str">
        <v>Fridge</v>
      </c>
      <c r="F6" s="266"/>
      <c r="G6" s="270">
        <v>0</v>
      </c>
      <c r="H6" s="266"/>
      <c r="I6" s="266"/>
      <c r="J6" s="266" t="str">
        <v>Rani</v>
      </c>
      <c r="K6" s="266" t="str">
        <v>Amel</v>
      </c>
      <c r="L6" s="274">
        <v>0</v>
      </c>
      <c r="M6" s="266"/>
      <c r="N6" s="266"/>
      <c r="O6" s="295" t="s">
        <v>385</v>
      </c>
    </row>
    <row r="7">
      <c r="A7" s="279" t="str">
        <v>Kino</v>
      </c>
      <c r="B7" s="279" t="str">
        <v>Andreas (Partner)</v>
      </c>
      <c r="C7" s="281"/>
      <c r="D7" s="279" t="str">
        <v>+62 812-9989-8008</v>
      </c>
      <c r="E7" s="279" t="str">
        <v>Proposal made</v>
      </c>
      <c r="F7" s="284"/>
      <c r="G7" s="282">
        <v>0.5</v>
      </c>
      <c r="H7" s="279"/>
      <c r="I7" s="279"/>
      <c r="J7" s="298" t="str">
        <v>Andrew</v>
      </c>
      <c r="K7" s="279" t="str">
        <v>Amel</v>
      </c>
      <c r="L7" s="280">
        <v>0.5</v>
      </c>
      <c r="M7" s="267">
        <v>46013</v>
      </c>
      <c r="N7" s="279"/>
      <c r="O7" s="296" t="s">
        <v>391</v>
      </c>
    </row>
    <row r="8">
      <c r="A8" s="266" t="str">
        <v>Sarana Jaya</v>
      </c>
      <c r="B8" s="279" t="str">
        <v>Andreas (Partner)</v>
      </c>
      <c r="C8" s="269"/>
      <c r="D8" s="272"/>
      <c r="E8" s="266" t="str">
        <v>Contacted</v>
      </c>
      <c r="F8" s="268"/>
      <c r="G8" s="270">
        <v>0.1</v>
      </c>
      <c r="H8" s="266"/>
      <c r="I8" s="266"/>
      <c r="J8" s="298" t="str">
        <v>Andrew</v>
      </c>
      <c r="K8" s="266" t="str">
        <v>Amel</v>
      </c>
      <c r="L8" s="274">
        <v>0.1</v>
      </c>
      <c r="M8" s="267">
        <v>46071</v>
      </c>
      <c r="N8" s="266"/>
      <c r="O8" s="271"/>
    </row>
    <row r="9">
      <c r="A9" s="279" t="str">
        <v>Nutech</v>
      </c>
      <c r="B9" s="279" t="str">
        <v>Isnur (Partner)</v>
      </c>
      <c r="C9" s="281"/>
      <c r="D9" s="279" t="str">
        <v>+62 812-1024-797</v>
      </c>
      <c r="E9" s="279" t="str">
        <v>Demo/Call of Interest</v>
      </c>
      <c r="F9" s="284"/>
      <c r="G9" s="282">
        <v>0.25</v>
      </c>
      <c r="H9" s="293">
        <v>45959</v>
      </c>
      <c r="I9" s="279"/>
      <c r="J9" s="298" t="str">
        <v>Andrew</v>
      </c>
      <c r="K9" s="279" t="str">
        <v>Amel</v>
      </c>
      <c r="L9" s="280">
        <v>0.25</v>
      </c>
      <c r="M9" s="267">
        <v>46009</v>
      </c>
      <c r="N9" s="279"/>
      <c r="O9" s="283"/>
    </row>
    <row r="10">
      <c r="A10" s="266" t="str">
        <v>Pelindo Excube (Pilotting Project)</v>
      </c>
      <c r="B10" s="266" t="str">
        <v>Impactto</v>
      </c>
      <c r="C10" s="269"/>
      <c r="D10" s="272"/>
      <c r="E10" s="301" t="str">
        <v>Won</v>
      </c>
      <c r="F10" s="297">
        <v>276390000</v>
      </c>
      <c r="G10" s="270">
        <v>1</v>
      </c>
      <c r="H10" s="266"/>
      <c r="I10" s="266"/>
      <c r="J10" s="266"/>
      <c r="K10" s="266" t="str">
        <v>Lossa</v>
      </c>
      <c r="L10" s="274">
        <v>1</v>
      </c>
      <c r="M10" s="266"/>
      <c r="N10" s="266" t="str">
        <v>Pitching for Pilot Project</v>
      </c>
      <c r="O10" s="295" t="s">
        <v>393</v>
      </c>
    </row>
    <row r="11">
      <c r="A11" s="279" t="str">
        <v>Stickearn</v>
      </c>
      <c r="B11" s="279" t="str">
        <v>Impactto</v>
      </c>
      <c r="C11" s="281"/>
      <c r="D11" s="279"/>
      <c r="E11" s="286" t="str">
        <v>Fridge</v>
      </c>
      <c r="F11" s="279"/>
      <c r="G11" s="282">
        <v>0</v>
      </c>
      <c r="H11" s="279"/>
      <c r="I11" s="279"/>
      <c r="J11" s="279"/>
      <c r="K11" s="279" t="str">
        <v>Lossa</v>
      </c>
      <c r="L11" s="274">
        <v>0</v>
      </c>
      <c r="M11" s="285"/>
      <c r="N11" s="279"/>
      <c r="O11" s="283"/>
    </row>
    <row r="12">
      <c r="A12" s="266" t="str">
        <v>Nestle</v>
      </c>
      <c r="B12" s="266" t="str">
        <v>Geosquare</v>
      </c>
      <c r="C12" s="269"/>
      <c r="D12" s="272"/>
      <c r="E12" s="286" t="str">
        <v>Fridge</v>
      </c>
      <c r="F12" s="266"/>
      <c r="G12" s="270">
        <v>0</v>
      </c>
      <c r="H12" s="266"/>
      <c r="I12" s="266"/>
      <c r="J12" s="266"/>
      <c r="K12" s="266" t="str">
        <v>Lossa</v>
      </c>
      <c r="L12" s="274">
        <v>0</v>
      </c>
      <c r="M12" s="266"/>
      <c r="N12" s="266"/>
      <c r="O12" s="271"/>
    </row>
    <row r="13">
      <c r="A13" s="279" t="str">
        <v>PwC</v>
      </c>
      <c r="B13" s="279" t="str">
        <v>Impactto</v>
      </c>
      <c r="C13" s="281"/>
      <c r="D13" s="279"/>
      <c r="E13" s="279" t="str">
        <v>Demo/Call of Interest</v>
      </c>
      <c r="F13" s="284"/>
      <c r="G13" s="282">
        <v>0.25</v>
      </c>
      <c r="H13" s="279"/>
      <c r="I13" s="279"/>
      <c r="J13" s="298" t="str">
        <v>Andrew</v>
      </c>
      <c r="K13" s="279" t="str">
        <v>Lossa</v>
      </c>
      <c r="L13" s="274">
        <v>0.25</v>
      </c>
      <c r="M13" s="285"/>
      <c r="N13" s="279" t="str">
        <v>ketemu hari jumat</v>
      </c>
      <c r="O13" s="283"/>
    </row>
    <row r="14">
      <c r="A14" s="266" t="str">
        <v>Mr. DIY</v>
      </c>
      <c r="B14" s="266" t="str">
        <v>Sugi (Partner)</v>
      </c>
      <c r="C14" s="269"/>
      <c r="D14" s="272" t="str">
        <v>+62 813-8327-0771</v>
      </c>
      <c r="E14" s="286" t="str">
        <v>Fridge</v>
      </c>
      <c r="F14" s="266"/>
      <c r="G14" s="270">
        <v>0</v>
      </c>
      <c r="H14" s="266"/>
      <c r="I14" s="266"/>
      <c r="J14" s="266" t="str">
        <v>Titan</v>
      </c>
      <c r="K14" s="266" t="str">
        <v>Lossa</v>
      </c>
      <c r="L14" s="274">
        <v>0</v>
      </c>
      <c r="M14" s="267">
        <v>46048</v>
      </c>
      <c r="N14" s="266" t="str">
        <v>Feasibility check confrim w PSE</v>
      </c>
      <c r="O14" s="271"/>
    </row>
    <row r="15">
      <c r="A15" s="279" t="str">
        <v>PT Gisara Tantra Berkarya</v>
      </c>
      <c r="B15" s="279" t="str">
        <v>Arief</v>
      </c>
      <c r="C15" s="281"/>
      <c r="D15" s="279" t="str">
        <v>+62 853-8848-6826‬</v>
      </c>
      <c r="E15" s="294" t="str">
        <v>Lost</v>
      </c>
      <c r="F15" s="279"/>
      <c r="G15" s="282">
        <v>0</v>
      </c>
      <c r="H15" s="293">
        <v>45989</v>
      </c>
      <c r="I15" s="279"/>
      <c r="J15" s="279"/>
      <c r="K15" s="279" t="str">
        <v>Amel</v>
      </c>
      <c r="L15" s="280">
        <v>0</v>
      </c>
      <c r="M15" s="285"/>
      <c r="N15" s="279" t="str">
        <v>handover to academy</v>
      </c>
      <c r="O15" s="296" t="s">
        <v>411</v>
      </c>
    </row>
    <row r="16">
      <c r="A16" s="279" t="str">
        <v>Shopee Express (PT. Nusantara Express Kilat)</v>
      </c>
      <c r="B16" s="279" t="str">
        <v>Luana</v>
      </c>
      <c r="C16" s="289" t="s">
        <v>404</v>
      </c>
      <c r="D16" s="279">
        <f>+6282124877058</f>
      </c>
      <c r="E16" s="294" t="str">
        <v>Lost</v>
      </c>
      <c r="F16" s="279"/>
      <c r="G16" s="282">
        <v>0</v>
      </c>
      <c r="H16" s="293">
        <v>45995</v>
      </c>
      <c r="I16" s="279"/>
      <c r="J16" s="279" t="str">
        <v>Andrew</v>
      </c>
      <c r="K16" s="279" t="str">
        <v>Lossa</v>
      </c>
      <c r="L16" s="280">
        <v>0</v>
      </c>
      <c r="M16" s="267">
        <v>46003</v>
      </c>
      <c r="N16" s="279"/>
      <c r="O16" s="296" t="s">
        <v>405</v>
      </c>
    </row>
    <row r="17">
      <c r="A17" s="266" t="str">
        <v>My Republic</v>
      </c>
      <c r="B17" s="266" t="str">
        <v>Isnur (Partner)</v>
      </c>
      <c r="C17" s="269"/>
      <c r="D17" s="266" t="str">
        <v>+62 812-1024-797</v>
      </c>
      <c r="E17" s="266" t="str">
        <v>Contacted</v>
      </c>
      <c r="F17" s="268"/>
      <c r="G17" s="270">
        <v>0.1</v>
      </c>
      <c r="H17" s="266"/>
      <c r="I17" s="266"/>
      <c r="J17" s="266" t="str">
        <v>Titan</v>
      </c>
      <c r="K17" s="266" t="str">
        <v>Amel</v>
      </c>
      <c r="L17" s="274">
        <v>0.1</v>
      </c>
      <c r="M17" s="267">
        <v>46062</v>
      </c>
      <c r="N17" s="266" t="str">
        <v>Menunggu kabar dari pak isnur, FU Senin</v>
      </c>
      <c r="O17" s="325"/>
    </row>
    <row r="18">
      <c r="A18" s="279" t="str">
        <v>Pasifik Satelit Nusantara</v>
      </c>
      <c r="B18" s="266" t="str">
        <v>Sugi (Partner)</v>
      </c>
      <c r="C18" s="318" t="s">
        <v>402</v>
      </c>
      <c r="D18" s="279"/>
      <c r="E18" s="279" t="str">
        <v>Demo/Call of Interest</v>
      </c>
      <c r="F18" s="284"/>
      <c r="G18" s="282">
        <v>0.25</v>
      </c>
      <c r="H18" s="293">
        <v>45999</v>
      </c>
      <c r="I18" s="279"/>
      <c r="J18" s="279" t="str">
        <v>Titan</v>
      </c>
      <c r="K18" s="279" t="str">
        <v>Lossa</v>
      </c>
      <c r="L18" s="280">
        <v>0.25</v>
      </c>
      <c r="M18" s="267">
        <v>46080</v>
      </c>
      <c r="N18" s="279" t="str">
        <v>Management presentation</v>
      </c>
      <c r="O18" s="323"/>
    </row>
    <row r="19">
      <c r="A19" s="266" t="str">
        <v>TechConnect</v>
      </c>
      <c r="B19" s="266" t="str">
        <v>Kornelis Putera Karunia Zebua</v>
      </c>
      <c r="C19" s="320"/>
      <c r="D19" s="272">
        <f>+6281322441516</f>
      </c>
      <c r="E19" s="266" t="str">
        <v>Contacted</v>
      </c>
      <c r="F19" s="268"/>
      <c r="G19" s="270">
        <v>0.1</v>
      </c>
      <c r="H19" s="266"/>
      <c r="I19" s="266"/>
      <c r="J19" s="266"/>
      <c r="K19" s="266"/>
      <c r="L19" s="274">
        <v>0.1</v>
      </c>
      <c r="M19" s="267">
        <v>46028</v>
      </c>
      <c r="N19" s="266" t="str">
        <v>Follow up 02/01</v>
      </c>
      <c r="O19" s="271"/>
    </row>
    <row r="20">
      <c r="A20" s="279" t="str">
        <v>Exact Global</v>
      </c>
      <c r="B20" s="279" t="str">
        <v>Arry M Manaf</v>
      </c>
      <c r="C20" s="84"/>
      <c r="D20" s="279">
        <f>+6282113119101</f>
      </c>
      <c r="E20" s="279" t="str">
        <v>Contacted</v>
      </c>
      <c r="F20" s="284"/>
      <c r="G20" s="282">
        <v>0.1</v>
      </c>
      <c r="H20" s="279"/>
      <c r="I20" s="279"/>
      <c r="J20" s="279"/>
      <c r="K20" s="279"/>
      <c r="L20" s="280">
        <v>0.1</v>
      </c>
      <c r="M20" s="267">
        <v>46028</v>
      </c>
      <c r="N20" s="266" t="str">
        <v>Follow up 16/12</v>
      </c>
      <c r="O20" s="283"/>
    </row>
    <row r="21">
      <c r="A21" s="266" t="str">
        <v>Toyota Astra Motor (Sustainability)</v>
      </c>
      <c r="B21" s="266" t="str">
        <v>Galuh Lukito</v>
      </c>
      <c r="C21" s="290" t="s">
        <v>406</v>
      </c>
      <c r="D21" s="272">
        <f>+62813-9932-8519</f>
      </c>
      <c r="E21" s="286" t="str">
        <v>Fridge</v>
      </c>
      <c r="F21" s="268"/>
      <c r="G21" s="270">
        <v>0</v>
      </c>
      <c r="H21" s="266"/>
      <c r="I21" s="266"/>
      <c r="J21" s="266" t="str">
        <v>Rani</v>
      </c>
      <c r="K21" s="266" t="str">
        <v>Amel</v>
      </c>
      <c r="L21" s="274">
        <v>0</v>
      </c>
      <c r="M21" s="267">
        <v>46028</v>
      </c>
      <c r="N21" s="266" t="str">
        <v>Meeting Scheduled on February</v>
      </c>
      <c r="O21" s="271"/>
    </row>
    <row r="22">
      <c r="A22" s="279" t="str">
        <v>PT Bangsawan Cyberindo</v>
      </c>
      <c r="B22" s="279" t="str">
        <v>Jismil Lathif (Partner)</v>
      </c>
      <c r="C22" s="289" t="s">
        <v>403</v>
      </c>
      <c r="D22" s="279"/>
      <c r="E22" s="279" t="str">
        <v>Demo/Call of Interest</v>
      </c>
      <c r="F22" s="284"/>
      <c r="G22" s="282">
        <v>0.25</v>
      </c>
      <c r="H22" s="293">
        <v>46001</v>
      </c>
      <c r="I22" s="279"/>
      <c r="J22" s="279" t="str">
        <v>Titan</v>
      </c>
      <c r="K22" s="279" t="str">
        <v>Lossa</v>
      </c>
      <c r="L22" s="280">
        <v>0.25</v>
      </c>
      <c r="M22" s="267">
        <v>46080</v>
      </c>
      <c r="N22" s="279" t="str">
        <v>Reschedule meeting</v>
      </c>
      <c r="O22" s="323"/>
    </row>
    <row r="23">
      <c r="A23" s="266" t="str">
        <v>PT KAI</v>
      </c>
      <c r="B23" s="266" t="str">
        <v>Angga</v>
      </c>
      <c r="C23" s="269"/>
      <c r="D23" s="272"/>
      <c r="E23" s="266" t="str">
        <v>Negotiation</v>
      </c>
      <c r="F23" s="297">
        <v>199000000</v>
      </c>
      <c r="G23" s="270">
        <v>0.75</v>
      </c>
      <c r="H23" s="266"/>
      <c r="I23" s="266"/>
      <c r="J23" s="266"/>
      <c r="K23" s="266" t="str">
        <v>Amel</v>
      </c>
      <c r="L23" s="274">
        <v>0.75</v>
      </c>
      <c r="M23" s="267">
        <v>46030</v>
      </c>
      <c r="N23" s="266"/>
      <c r="O23" s="271"/>
    </row>
    <row r="24">
      <c r="A24" s="279" t="str">
        <v>BTID</v>
      </c>
      <c r="B24" s="279" t="str">
        <v>Eggy (Partner)</v>
      </c>
      <c r="C24" s="281"/>
      <c r="D24" s="279"/>
      <c r="E24" s="279" t="str">
        <v>Negotiation</v>
      </c>
      <c r="F24" s="288">
        <v>1798866000</v>
      </c>
      <c r="G24" s="282">
        <v>0.75</v>
      </c>
      <c r="H24" s="279"/>
      <c r="I24" s="279"/>
      <c r="J24" s="279"/>
      <c r="K24" s="279" t="str">
        <v>Lossa</v>
      </c>
      <c r="L24" s="280">
        <v>0.75</v>
      </c>
      <c r="M24" s="267">
        <v>46006</v>
      </c>
      <c r="N24" s="279"/>
      <c r="O24" s="283"/>
    </row>
    <row r="25">
      <c r="A25" s="279" t="str">
        <v>SERA</v>
      </c>
      <c r="B25" s="279" t="str">
        <v>Agus</v>
      </c>
      <c r="C25" s="281"/>
      <c r="D25" s="279" t="str">
        <v>+62 811-972-253</v>
      </c>
      <c r="E25" s="286" t="str">
        <v>Fridge</v>
      </c>
      <c r="F25" s="284"/>
      <c r="G25" s="282">
        <v>0</v>
      </c>
      <c r="H25" s="279"/>
      <c r="I25" s="279"/>
      <c r="J25" s="279" t="str">
        <v>Rani</v>
      </c>
      <c r="K25" s="279" t="str">
        <v>Lossa</v>
      </c>
      <c r="L25" s="280">
        <v>0</v>
      </c>
      <c r="M25" s="267">
        <v>46045</v>
      </c>
      <c r="N25" s="279" t="str">
        <v>Menunggu konfirmasi jadwal meeting kedua</v>
      </c>
      <c r="O25" s="283"/>
    </row>
    <row r="26">
      <c r="A26" s="266" t="str">
        <v>PT Argo Pantes</v>
      </c>
      <c r="B26" s="266" t="str">
        <v>David Beta</v>
      </c>
      <c r="C26" s="269"/>
      <c r="D26" s="272" t="str">
        <v>+62 813-7351-6182</v>
      </c>
      <c r="E26" s="286" t="str">
        <v>Fridge</v>
      </c>
      <c r="F26" s="268"/>
      <c r="G26" s="270">
        <v>0</v>
      </c>
      <c r="H26" s="273">
        <v>46009</v>
      </c>
      <c r="I26" s="266"/>
      <c r="J26" s="266" t="str">
        <v>Rani</v>
      </c>
      <c r="K26" s="266" t="str">
        <v>Amel</v>
      </c>
      <c r="L26" s="274">
        <v>0</v>
      </c>
      <c r="M26" s="267">
        <v>46048</v>
      </c>
      <c r="N26" s="266"/>
      <c r="O26" s="271"/>
    </row>
    <row r="27">
      <c r="A27" s="279" t="str">
        <v>Datascrip</v>
      </c>
      <c r="B27" s="279" t="str">
        <v>Raka (Partner)</v>
      </c>
      <c r="C27" s="281"/>
      <c r="D27" s="279"/>
      <c r="E27" s="279" t="str">
        <v>Demo/Call of Interest</v>
      </c>
      <c r="F27" s="284"/>
      <c r="G27" s="282">
        <v>0.25</v>
      </c>
      <c r="H27" s="279"/>
      <c r="I27" s="279"/>
      <c r="J27" s="279" t="str">
        <v>Rani</v>
      </c>
      <c r="K27" s="279" t="str">
        <v>Amel</v>
      </c>
      <c r="L27" s="280">
        <v>0.25</v>
      </c>
      <c r="M27" s="285"/>
      <c r="N27" s="279"/>
      <c r="O27" s="283"/>
    </row>
    <row r="28">
      <c r="A28" s="266" t="str">
        <v>Telkomsat</v>
      </c>
      <c r="B28" s="266" t="str">
        <v>Nugroho (Partner)</v>
      </c>
      <c r="C28" s="269"/>
      <c r="D28" s="266"/>
      <c r="E28" s="266" t="str">
        <v>Demo/Call of Interest</v>
      </c>
      <c r="F28" s="268"/>
      <c r="G28" s="270">
        <v>0.25</v>
      </c>
      <c r="H28" s="266"/>
      <c r="I28" s="266"/>
      <c r="J28" s="266" t="str">
        <v>Titan</v>
      </c>
      <c r="K28" s="266" t="str">
        <v>Lossa</v>
      </c>
      <c r="L28" s="274">
        <v>0.25</v>
      </c>
      <c r="M28" s="267">
        <v>46041</v>
      </c>
      <c r="N28" s="266"/>
      <c r="O28" s="325"/>
    </row>
    <row r="29">
      <c r="A29" s="266" t="str">
        <v>Toyota Astra Motor (Mobility)</v>
      </c>
      <c r="B29" s="266" t="str">
        <v>Eco Enviro</v>
      </c>
      <c r="C29" s="269"/>
      <c r="D29" s="272"/>
      <c r="E29" s="266" t="str">
        <v>Demo/Call of Interest</v>
      </c>
      <c r="F29" s="268"/>
      <c r="G29" s="270">
        <v>0.25</v>
      </c>
      <c r="H29" s="266"/>
      <c r="I29" s="266"/>
      <c r="J29" s="266" t="str">
        <v>Rani</v>
      </c>
      <c r="K29" s="266" t="str">
        <v>Amel</v>
      </c>
      <c r="L29" s="274">
        <v>0.25</v>
      </c>
      <c r="M29" s="267">
        <v>46073</v>
      </c>
      <c r="N29" s="266"/>
      <c r="O29" s="271"/>
    </row>
    <row r="30">
      <c r="A30" s="266" t="str">
        <v>Savills Indonesia</v>
      </c>
      <c r="B30" s="266" t="str">
        <v>Ambo Wela</v>
      </c>
      <c r="C30" s="269"/>
      <c r="D30" s="272"/>
      <c r="E30" s="286" t="str">
        <v>Fridge</v>
      </c>
      <c r="F30" s="268"/>
      <c r="G30" s="270">
        <v>0</v>
      </c>
      <c r="H30" s="266"/>
      <c r="I30" s="266"/>
      <c r="J30" s="266" t="str">
        <v>Rani</v>
      </c>
      <c r="K30" s="266" t="str">
        <v>Amel</v>
      </c>
      <c r="L30" s="274">
        <v>0</v>
      </c>
      <c r="M30" s="266"/>
      <c r="N30" s="266" t="str">
        <v>Proposal on Review</v>
      </c>
      <c r="O30" s="295" t="s">
        <v>386</v>
      </c>
    </row>
    <row r="31">
      <c r="A31" s="279" t="str">
        <v>Cimory</v>
      </c>
      <c r="B31" s="279" t="str">
        <v>Ghifari</v>
      </c>
      <c r="C31" s="281"/>
      <c r="D31" s="279"/>
      <c r="E31" s="294" t="str">
        <v>Lost</v>
      </c>
      <c r="F31" s="284"/>
      <c r="G31" s="282">
        <v>0</v>
      </c>
      <c r="H31" s="279"/>
      <c r="I31" s="279"/>
      <c r="J31" s="279" t="str">
        <v>Rani</v>
      </c>
      <c r="K31" s="279" t="str">
        <v>Lossa</v>
      </c>
      <c r="L31" s="280">
        <v>0</v>
      </c>
      <c r="M31" s="267">
        <v>46048</v>
      </c>
      <c r="N31" s="279" t="str">
        <v>Proposal on Review</v>
      </c>
      <c r="O31" s="296" t="s">
        <v>390</v>
      </c>
    </row>
    <row r="32">
      <c r="A32" s="266" t="str">
        <v>SNJ</v>
      </c>
      <c r="B32" s="266" t="str">
        <v>Rachmat</v>
      </c>
      <c r="C32" s="269"/>
      <c r="D32" s="272"/>
      <c r="E32" s="294" t="str">
        <v>Lost</v>
      </c>
      <c r="F32" s="297">
        <v>377750000</v>
      </c>
      <c r="G32" s="270">
        <v>0</v>
      </c>
      <c r="H32" s="266"/>
      <c r="I32" s="266"/>
      <c r="J32" s="266" t="str">
        <v>Titan</v>
      </c>
      <c r="K32" s="266" t="str">
        <v>Amel</v>
      </c>
      <c r="L32" s="274">
        <v>0</v>
      </c>
      <c r="M32" s="267">
        <v>46062</v>
      </c>
      <c r="N32" s="266" t="str">
        <v>Menunggu kabar dari pak rachmat, FU Senin</v>
      </c>
      <c r="O32" s="271"/>
    </row>
    <row r="33">
      <c r="A33" s="266" t="str">
        <v>Cinema21</v>
      </c>
      <c r="B33" s="266" t="str">
        <v>Indrawan Fauzi</v>
      </c>
      <c r="C33" s="290" t="s">
        <v>408</v>
      </c>
      <c r="D33" s="266" t="str">
        <v>+62 811-175-176</v>
      </c>
      <c r="E33" s="266" t="str">
        <v>Lead</v>
      </c>
      <c r="F33" s="268"/>
      <c r="G33" s="270">
        <v>0.05</v>
      </c>
      <c r="H33" s="266"/>
      <c r="I33" s="266"/>
      <c r="J33" s="266" t="str">
        <v>Titan</v>
      </c>
      <c r="K33" s="266" t="str">
        <v>Zhafran</v>
      </c>
      <c r="L33" s="274">
        <v>0.05</v>
      </c>
      <c r="M33" s="267">
        <v>46080</v>
      </c>
      <c r="N33" s="266"/>
      <c r="O33" s="325"/>
    </row>
    <row r="34">
      <c r="A34" s="279" t="str">
        <v>BULOG</v>
      </c>
      <c r="B34" s="279" t="str">
        <v>Teguh</v>
      </c>
      <c r="C34" s="281"/>
      <c r="D34" s="279" t="str">
        <v>+62 811-1993-627</v>
      </c>
      <c r="E34" s="279" t="str">
        <v>Lead</v>
      </c>
      <c r="F34" s="284"/>
      <c r="G34" s="282">
        <v>0.05</v>
      </c>
      <c r="H34" s="279"/>
      <c r="I34" s="279"/>
      <c r="J34" s="279" t="str">
        <v>Titan</v>
      </c>
      <c r="K34" s="266" t="str">
        <v>Zhafran</v>
      </c>
      <c r="L34" s="280">
        <v>0.05</v>
      </c>
      <c r="M34" s="267">
        <v>46080</v>
      </c>
      <c r="N34" s="279"/>
      <c r="O34" s="323"/>
    </row>
    <row r="35">
      <c r="A35" s="266" t="str">
        <v>Surge</v>
      </c>
      <c r="B35" s="266" t="str">
        <v>Isnur (Partner)</v>
      </c>
      <c r="C35" s="269"/>
      <c r="D35" s="266" t="str">
        <v>+62 812-1024-797</v>
      </c>
      <c r="E35" s="266" t="str">
        <v>Contacted</v>
      </c>
      <c r="F35" s="268"/>
      <c r="G35" s="270">
        <v>0.1</v>
      </c>
      <c r="H35" s="266"/>
      <c r="I35" s="266"/>
      <c r="J35" s="266" t="str">
        <v>Titan</v>
      </c>
      <c r="K35" s="266" t="str">
        <v>Lossa</v>
      </c>
      <c r="L35" s="274">
        <v>0.1</v>
      </c>
      <c r="M35" s="267">
        <v>46076</v>
      </c>
      <c r="N35" s="266" t="str">
        <v>Menunggu kabar dari pak isnur</v>
      </c>
      <c r="O35" s="325"/>
    </row>
    <row r="36">
      <c r="A36" s="279" t="str">
        <v>Bank Permata</v>
      </c>
      <c r="B36" s="279" t="str">
        <v>Impactto</v>
      </c>
      <c r="C36" s="281"/>
      <c r="D36" s="279"/>
      <c r="E36" s="279" t="str">
        <v>Demo/Call of Interest</v>
      </c>
      <c r="F36" s="284"/>
      <c r="G36" s="282">
        <v>0.25</v>
      </c>
      <c r="H36" s="279"/>
      <c r="I36" s="279"/>
      <c r="J36" s="279" t="str">
        <v>Titan</v>
      </c>
      <c r="K36" s="279" t="str">
        <v>Amel</v>
      </c>
      <c r="L36" s="280">
        <v>0.25</v>
      </c>
      <c r="M36" s="267">
        <v>46049</v>
      </c>
      <c r="N36" s="279" t="str">
        <v>Belum ada kebutuhan</v>
      </c>
      <c r="O36" s="323"/>
    </row>
    <row r="37">
      <c r="A37" s="266" t="str">
        <v>Telkomsat (HR)</v>
      </c>
      <c r="B37" s="266" t="str">
        <v>Ridwan</v>
      </c>
      <c r="C37" s="269"/>
      <c r="D37" s="266" t="str">
        <v>+62 896-9483-0888</v>
      </c>
      <c r="E37" s="266" t="str">
        <v>Contacted</v>
      </c>
      <c r="F37" s="268"/>
      <c r="G37" s="270">
        <v>0.1</v>
      </c>
      <c r="H37" s="266"/>
      <c r="I37" s="266"/>
      <c r="J37" s="266" t="str">
        <v>Titan</v>
      </c>
      <c r="K37" s="266" t="str">
        <v>Lossa</v>
      </c>
      <c r="L37" s="274">
        <v>0.1</v>
      </c>
      <c r="M37" s="267">
        <v>46080</v>
      </c>
      <c r="N37" s="266" t="str">
        <v>Meeting on week 1 feb, FU senin</v>
      </c>
      <c r="O37" s="325"/>
    </row>
    <row r="38">
      <c r="A38" s="279" t="str">
        <v>BTN</v>
      </c>
      <c r="B38" s="279" t="str">
        <v>Impactto</v>
      </c>
      <c r="C38" s="281"/>
      <c r="D38" s="279"/>
      <c r="E38" s="279" t="str">
        <v>Proposal made</v>
      </c>
      <c r="F38" s="284"/>
      <c r="G38" s="282">
        <v>0.5</v>
      </c>
      <c r="H38" s="279"/>
      <c r="I38" s="279"/>
      <c r="J38" s="279" t="str">
        <v>Titan</v>
      </c>
      <c r="K38" s="279" t="str">
        <v>Amel</v>
      </c>
      <c r="L38" s="280">
        <v>0.5</v>
      </c>
      <c r="M38" s="267">
        <v>46072</v>
      </c>
      <c r="N38" s="279" t="str">
        <v>Tunggu kabar dari impactto</v>
      </c>
      <c r="O38" s="323"/>
    </row>
    <row r="39">
      <c r="A39" s="279" t="str">
        <v>KAI (TOYO)</v>
      </c>
      <c r="B39" s="279" t="str">
        <v>Satria</v>
      </c>
      <c r="C39" s="281"/>
      <c r="D39" s="279"/>
      <c r="E39" s="279" t="str">
        <v>Proposal made</v>
      </c>
      <c r="F39" s="284"/>
      <c r="G39" s="282">
        <v>0.5</v>
      </c>
      <c r="H39" s="279"/>
      <c r="I39" s="279"/>
      <c r="J39" s="279" t="str">
        <v>Rani</v>
      </c>
      <c r="K39" s="266" t="str">
        <v>Amel</v>
      </c>
      <c r="L39" s="280">
        <v>0.5</v>
      </c>
      <c r="M39" s="285"/>
      <c r="N39" s="279" t="str">
        <v>On Hold untuk sensor Banjir, concern sensor longsor</v>
      </c>
      <c r="O39" s="283"/>
    </row>
    <row r="40">
      <c r="A40" s="266" t="str">
        <v>AIBP</v>
      </c>
      <c r="B40" s="266"/>
      <c r="C40" s="269"/>
      <c r="D40" s="272"/>
      <c r="E40" s="266" t="str">
        <v>Demo/Call of Interest</v>
      </c>
      <c r="F40" s="268"/>
      <c r="G40" s="270">
        <v>0.25</v>
      </c>
      <c r="H40" s="266"/>
      <c r="I40" s="266"/>
      <c r="J40" s="266" t="str">
        <v>Rani</v>
      </c>
      <c r="K40" s="266" t="str">
        <v>Zhafran</v>
      </c>
      <c r="L40" s="274">
        <v>0.25</v>
      </c>
      <c r="M40" s="267">
        <v>46076</v>
      </c>
      <c r="N40" s="266" t="str">
        <v>Sedang Diskusi Internal untuk RFP</v>
      </c>
      <c r="O40" s="271"/>
    </row>
    <row r="41">
      <c r="A41" s="279" t="str">
        <v>TechConnect (Sinarmas Group Mining)</v>
      </c>
      <c r="B41" s="279" t="str">
        <v>Kornelius Zebua</v>
      </c>
      <c r="C41" s="281"/>
      <c r="D41" s="279"/>
      <c r="E41" s="279" t="str">
        <v>Lead</v>
      </c>
      <c r="F41" s="284"/>
      <c r="G41" s="282">
        <v>0.05</v>
      </c>
      <c r="H41" s="279"/>
      <c r="I41" s="279"/>
      <c r="J41" s="279"/>
      <c r="K41" s="266" t="str">
        <v>Zhafran</v>
      </c>
      <c r="L41" s="280">
        <v>0.05</v>
      </c>
      <c r="M41" s="285"/>
      <c r="N41" s="279" t="str">
        <v>Prepare proposal for Mining</v>
      </c>
      <c r="O41" s="283"/>
    </row>
    <row r="42">
      <c r="A42" s="266" t="str">
        <v>ORMAT</v>
      </c>
      <c r="B42" s="266" t="str">
        <v>Partner</v>
      </c>
      <c r="C42" s="269"/>
      <c r="D42" s="272"/>
      <c r="E42" s="266" t="str">
        <v>Contacted</v>
      </c>
      <c r="F42" s="268"/>
      <c r="G42" s="270">
        <v>0.1</v>
      </c>
      <c r="H42" s="266"/>
      <c r="I42" s="266"/>
      <c r="J42" s="266" t="str">
        <v>Rani</v>
      </c>
      <c r="K42" s="266" t="str">
        <v>Zhafran</v>
      </c>
      <c r="L42" s="274">
        <v>0.1</v>
      </c>
      <c r="M42" s="266"/>
      <c r="N42" s="266"/>
      <c r="O42" s="271"/>
    </row>
    <row r="43">
      <c r="A43" s="279" t="str">
        <v>Bank Danamon</v>
      </c>
      <c r="B43" s="279" t="str">
        <v>Impactto</v>
      </c>
      <c r="C43" s="281"/>
      <c r="D43" s="279"/>
      <c r="E43" s="279" t="str">
        <v>Proposal made</v>
      </c>
      <c r="F43" s="284"/>
      <c r="G43" s="282">
        <v>0.5</v>
      </c>
      <c r="H43" s="279"/>
      <c r="I43" s="279"/>
      <c r="J43" s="279" t="str">
        <v>Titan</v>
      </c>
      <c r="K43" s="279" t="str">
        <v>Amel</v>
      </c>
      <c r="L43" s="280">
        <v>0.5</v>
      </c>
      <c r="M43" s="267">
        <v>46077</v>
      </c>
      <c r="N43" s="279" t="str">
        <v>Proposal di impactto</v>
      </c>
      <c r="O43" s="323"/>
    </row>
    <row r="44">
      <c r="A44" s="266" t="str">
        <v>Astra World</v>
      </c>
      <c r="B44" s="266" t="str">
        <v>Partner (Eco Enviro)</v>
      </c>
      <c r="C44" s="269"/>
      <c r="D44" s="272"/>
      <c r="E44" s="266" t="str">
        <v>Contacted</v>
      </c>
      <c r="F44" s="268"/>
      <c r="G44" s="270">
        <v>0.1</v>
      </c>
      <c r="H44" s="266"/>
      <c r="I44" s="266"/>
      <c r="J44" s="266" t="str">
        <v>Rani</v>
      </c>
      <c r="K44" s="266" t="str">
        <v>Amel</v>
      </c>
      <c r="L44" s="274">
        <v>0.1</v>
      </c>
      <c r="M44" s="266"/>
      <c r="N44" s="266"/>
      <c r="O44" s="271"/>
    </row>
    <row r="45">
      <c r="A45" s="279" t="str">
        <v>Blue Power Technology</v>
      </c>
      <c r="B45" s="279"/>
      <c r="C45" s="281"/>
      <c r="D45" s="279"/>
      <c r="E45" s="279" t="str">
        <v>Demo/Call of Interest</v>
      </c>
      <c r="F45" s="284"/>
      <c r="G45" s="282">
        <v>0.25</v>
      </c>
      <c r="H45" s="279"/>
      <c r="I45" s="279"/>
      <c r="J45" s="279" t="str">
        <v>Rani</v>
      </c>
      <c r="K45" s="266" t="str">
        <v>Zhafran</v>
      </c>
      <c r="L45" s="280">
        <v>0.25</v>
      </c>
      <c r="M45" s="285"/>
      <c r="N45" s="279"/>
      <c r="O45" s="283"/>
    </row>
    <row r="46">
      <c r="A46" s="266" t="str">
        <v>Trans Jakarta</v>
      </c>
      <c r="B46" s="266" t="str">
        <v>Eco Enviro</v>
      </c>
      <c r="C46" s="269"/>
      <c r="D46" s="272"/>
      <c r="E46" s="266" t="str">
        <v>Contacted</v>
      </c>
      <c r="F46" s="268"/>
      <c r="G46" s="270">
        <v>0.1</v>
      </c>
      <c r="H46" s="266"/>
      <c r="I46" s="266"/>
      <c r="J46" s="266" t="str">
        <v>Rani</v>
      </c>
      <c r="K46" s="266" t="str">
        <v>Zhafran</v>
      </c>
      <c r="L46" s="274">
        <v>0.1</v>
      </c>
      <c r="M46" s="266"/>
      <c r="N46" s="266"/>
      <c r="O46" s="271"/>
    </row>
    <row r="47">
      <c r="A47" s="279" t="str">
        <v>Sigap</v>
      </c>
      <c r="B47" s="279" t="str">
        <v>Eco Enviro</v>
      </c>
      <c r="C47" s="281"/>
      <c r="D47" s="279"/>
      <c r="E47" s="279" t="str">
        <v>Contacted</v>
      </c>
      <c r="F47" s="284"/>
      <c r="G47" s="282">
        <v>0.1</v>
      </c>
      <c r="H47" s="279"/>
      <c r="I47" s="279"/>
      <c r="J47" s="279" t="str">
        <v>Rani</v>
      </c>
      <c r="K47" s="266" t="str">
        <v>Zhafran</v>
      </c>
      <c r="L47" s="280">
        <v>0.1</v>
      </c>
      <c r="M47" s="285"/>
      <c r="N47" s="279" t="str">
        <v>Terjadwal Demo</v>
      </c>
      <c r="O47" s="283"/>
    </row>
    <row r="48">
      <c r="A48" s="279" t="str">
        <v>Subaga Survey</v>
      </c>
      <c r="B48" s="279"/>
      <c r="C48" s="281"/>
      <c r="D48" s="279"/>
      <c r="E48" s="279" t="str">
        <v>Demo/Call of Interest</v>
      </c>
      <c r="F48" s="284"/>
      <c r="G48" s="282">
        <v>0.25</v>
      </c>
      <c r="H48" s="279"/>
      <c r="I48" s="279"/>
      <c r="J48" s="279" t="str">
        <v>Rani</v>
      </c>
      <c r="K48" s="279"/>
      <c r="L48" s="280">
        <v>0.25</v>
      </c>
      <c r="M48" s="285"/>
      <c r="N48" s="279" t="str">
        <v>Menunggu verifikasi vendor online</v>
      </c>
      <c r="O48" s="283"/>
    </row>
    <row r="49">
      <c r="A49" s="266" t="str">
        <v>Comcentric</v>
      </c>
      <c r="B49" s="266" t="str">
        <v>Ahmad</v>
      </c>
      <c r="C49" s="269"/>
      <c r="D49" s="272"/>
      <c r="E49" s="266" t="str">
        <v>Demo/Call of Interest</v>
      </c>
      <c r="F49" s="268"/>
      <c r="G49" s="270">
        <v>0.25</v>
      </c>
      <c r="H49" s="266"/>
      <c r="I49" s="266"/>
      <c r="J49" s="266" t="str">
        <v>Titan</v>
      </c>
      <c r="K49" s="266" t="str">
        <v>Zhafran</v>
      </c>
      <c r="L49" s="274">
        <v>0.25</v>
      </c>
      <c r="M49" s="266"/>
      <c r="N49" s="266" t="str">
        <v>Mengirimkan dokumen terkait pertanyaan teknis comcentric, NDA</v>
      </c>
      <c r="O49" s="271"/>
    </row>
    <row r="50">
      <c r="A50" s="279" t="str">
        <v>Alibaba</v>
      </c>
      <c r="B50" s="279"/>
      <c r="C50" s="281"/>
      <c r="D50" s="279"/>
      <c r="E50" s="279" t="str">
        <v>Demo/Call of Interest</v>
      </c>
      <c r="F50" s="284"/>
      <c r="G50" s="282">
        <v>0.25</v>
      </c>
      <c r="H50" s="279"/>
      <c r="I50" s="279"/>
      <c r="J50" s="279"/>
      <c r="K50" s="279"/>
      <c r="L50" s="280">
        <v>0.25</v>
      </c>
      <c r="M50" s="285"/>
      <c r="N50" s="279"/>
      <c r="O50" s="283"/>
    </row>
    <row r="51">
      <c r="A51" s="266"/>
      <c r="B51" s="266"/>
      <c r="C51" s="269"/>
      <c r="D51" s="272"/>
      <c r="E51" s="266"/>
      <c r="F51" s="268"/>
      <c r="G51" s="268"/>
      <c r="H51" s="266"/>
      <c r="I51" s="266"/>
      <c r="J51" s="266"/>
      <c r="K51" s="266"/>
      <c r="L51" s="266"/>
      <c r="M51" s="266"/>
      <c r="N51" s="266"/>
      <c r="O51" s="271"/>
    </row>
    <row r="52">
      <c r="A52" s="279"/>
      <c r="B52" s="279"/>
      <c r="C52" s="281"/>
      <c r="D52" s="279"/>
      <c r="E52" s="279"/>
      <c r="F52" s="284"/>
      <c r="G52" s="284"/>
      <c r="H52" s="279"/>
      <c r="I52" s="279"/>
      <c r="J52" s="279"/>
      <c r="K52" s="279"/>
      <c r="L52" s="285"/>
      <c r="M52" s="285"/>
      <c r="N52" s="279"/>
      <c r="O52" s="283"/>
    </row>
    <row r="53">
      <c r="A53" s="266"/>
      <c r="B53" s="266"/>
      <c r="C53" s="269"/>
      <c r="D53" s="272"/>
      <c r="E53" s="266"/>
      <c r="F53" s="268"/>
      <c r="G53" s="268"/>
      <c r="H53" s="266"/>
      <c r="I53" s="266"/>
      <c r="J53" s="266"/>
      <c r="K53" s="266"/>
      <c r="L53" s="266"/>
      <c r="M53" s="266"/>
      <c r="N53" s="266"/>
      <c r="O53" s="271"/>
    </row>
    <row r="54">
      <c r="A54" s="279"/>
      <c r="B54" s="279"/>
      <c r="C54" s="281"/>
      <c r="D54" s="279"/>
      <c r="E54" s="279"/>
      <c r="F54" s="284"/>
      <c r="G54" s="284"/>
      <c r="H54" s="279"/>
      <c r="I54" s="279"/>
      <c r="J54" s="279"/>
      <c r="K54" s="279"/>
      <c r="L54" s="285"/>
      <c r="M54" s="285"/>
      <c r="N54" s="279"/>
      <c r="O54" s="283"/>
    </row>
    <row r="55">
      <c r="A55" s="266"/>
      <c r="B55" s="266"/>
      <c r="C55" s="269"/>
      <c r="D55" s="272"/>
      <c r="E55" s="266"/>
      <c r="F55" s="268"/>
      <c r="G55" s="268"/>
      <c r="H55" s="266"/>
      <c r="I55" s="266"/>
      <c r="J55" s="266"/>
      <c r="K55" s="266"/>
      <c r="L55" s="266"/>
      <c r="M55" s="266"/>
      <c r="N55" s="266"/>
      <c r="O55" s="271"/>
    </row>
    <row r="56">
      <c r="A56" s="279"/>
      <c r="B56" s="279"/>
      <c r="C56" s="281"/>
      <c r="D56" s="279"/>
      <c r="E56" s="279"/>
      <c r="F56" s="284"/>
      <c r="G56" s="284"/>
      <c r="H56" s="279"/>
      <c r="I56" s="279"/>
      <c r="J56" s="279"/>
      <c r="K56" s="279"/>
      <c r="L56" s="285"/>
      <c r="M56" s="285"/>
      <c r="N56" s="279"/>
      <c r="O56" s="283"/>
    </row>
    <row r="57">
      <c r="A57" s="266"/>
      <c r="B57" s="266"/>
      <c r="C57" s="269"/>
      <c r="D57" s="272"/>
      <c r="E57" s="266"/>
      <c r="F57" s="268"/>
      <c r="G57" s="268"/>
      <c r="H57" s="266"/>
      <c r="I57" s="266"/>
      <c r="J57" s="266"/>
      <c r="K57" s="266"/>
      <c r="L57" s="266"/>
      <c r="M57" s="266"/>
      <c r="N57" s="266"/>
      <c r="O57" s="271"/>
    </row>
    <row r="58">
      <c r="A58" s="279"/>
      <c r="B58" s="279"/>
      <c r="C58" s="281"/>
      <c r="D58" s="279"/>
      <c r="E58" s="279"/>
      <c r="F58" s="284"/>
      <c r="G58" s="284"/>
      <c r="H58" s="279"/>
      <c r="I58" s="279"/>
      <c r="J58" s="279"/>
      <c r="K58" s="279"/>
      <c r="L58" s="285"/>
      <c r="M58" s="285"/>
      <c r="N58" s="279"/>
      <c r="O58" s="283"/>
    </row>
    <row r="59">
      <c r="A59" s="266"/>
      <c r="B59" s="266"/>
      <c r="C59" s="269"/>
      <c r="D59" s="272"/>
      <c r="E59" s="266"/>
      <c r="F59" s="268"/>
      <c r="G59" s="268"/>
      <c r="H59" s="266"/>
      <c r="I59" s="266"/>
      <c r="J59" s="266"/>
      <c r="K59" s="266"/>
      <c r="L59" s="266"/>
      <c r="M59" s="266"/>
      <c r="N59" s="266"/>
      <c r="O59" s="271"/>
    </row>
    <row r="60">
      <c r="A60" s="279"/>
      <c r="B60" s="279"/>
      <c r="C60" s="281"/>
      <c r="D60" s="279"/>
      <c r="E60" s="279"/>
      <c r="F60" s="284"/>
      <c r="G60" s="284"/>
      <c r="H60" s="279"/>
      <c r="I60" s="279"/>
      <c r="J60" s="279"/>
      <c r="K60" s="279"/>
      <c r="L60" s="285"/>
      <c r="M60" s="285"/>
      <c r="N60" s="279"/>
      <c r="O60" s="283"/>
    </row>
    <row r="61">
      <c r="A61" s="266"/>
      <c r="B61" s="266"/>
      <c r="C61" s="269"/>
      <c r="D61" s="272"/>
      <c r="E61" s="266"/>
      <c r="F61" s="268"/>
      <c r="G61" s="268"/>
      <c r="H61" s="266"/>
      <c r="I61" s="266"/>
      <c r="J61" s="266"/>
      <c r="K61" s="266"/>
      <c r="L61" s="266"/>
      <c r="M61" s="266"/>
      <c r="N61" s="266"/>
      <c r="O61" s="271"/>
    </row>
    <row r="62">
      <c r="A62" s="279"/>
      <c r="B62" s="279"/>
      <c r="C62" s="281"/>
      <c r="D62" s="279"/>
      <c r="E62" s="279"/>
      <c r="F62" s="284"/>
      <c r="G62" s="284"/>
      <c r="H62" s="279"/>
      <c r="I62" s="279"/>
      <c r="J62" s="279"/>
      <c r="K62" s="279"/>
      <c r="L62" s="285"/>
      <c r="M62" s="285"/>
      <c r="N62" s="279"/>
      <c r="O62" s="283"/>
    </row>
    <row r="63">
      <c r="A63" s="266"/>
      <c r="B63" s="266"/>
      <c r="C63" s="269"/>
      <c r="D63" s="272"/>
      <c r="E63" s="266"/>
      <c r="F63" s="268"/>
      <c r="G63" s="268"/>
      <c r="H63" s="266"/>
      <c r="I63" s="266"/>
      <c r="J63" s="266"/>
      <c r="K63" s="266"/>
      <c r="L63" s="266"/>
      <c r="M63" s="266"/>
      <c r="N63" s="266"/>
      <c r="O63" s="271"/>
    </row>
    <row r="64">
      <c r="A64" s="279"/>
      <c r="B64" s="279"/>
      <c r="C64" s="281"/>
      <c r="D64" s="279"/>
      <c r="E64" s="279"/>
      <c r="F64" s="284"/>
      <c r="G64" s="284"/>
      <c r="H64" s="279"/>
      <c r="I64" s="279"/>
      <c r="J64" s="279"/>
      <c r="K64" s="279"/>
      <c r="L64" s="285"/>
      <c r="M64" s="285"/>
      <c r="N64" s="279"/>
      <c r="O64" s="283"/>
    </row>
    <row r="65">
      <c r="A65" s="266"/>
      <c r="B65" s="266"/>
      <c r="C65" s="269"/>
      <c r="D65" s="272"/>
      <c r="E65" s="266"/>
      <c r="F65" s="268"/>
      <c r="G65" s="268"/>
      <c r="H65" s="266"/>
      <c r="I65" s="266"/>
      <c r="J65" s="266"/>
      <c r="K65" s="266"/>
      <c r="L65" s="266"/>
      <c r="M65" s="266"/>
      <c r="N65" s="266"/>
      <c r="O65" s="271"/>
    </row>
    <row r="66">
      <c r="A66" s="279"/>
      <c r="B66" s="279"/>
      <c r="C66" s="281"/>
      <c r="D66" s="279"/>
      <c r="E66" s="279"/>
      <c r="F66" s="284"/>
      <c r="G66" s="284"/>
      <c r="H66" s="279"/>
      <c r="I66" s="279"/>
      <c r="J66" s="279"/>
      <c r="K66" s="279"/>
      <c r="L66" s="285"/>
      <c r="M66" s="285"/>
      <c r="N66" s="279"/>
      <c r="O66" s="283"/>
    </row>
    <row r="67">
      <c r="A67" s="266"/>
      <c r="B67" s="266"/>
      <c r="C67" s="269"/>
      <c r="D67" s="272"/>
      <c r="E67" s="266"/>
      <c r="F67" s="268"/>
      <c r="G67" s="268"/>
      <c r="H67" s="266"/>
      <c r="I67" s="266"/>
      <c r="J67" s="266"/>
      <c r="K67" s="266"/>
      <c r="L67" s="266"/>
      <c r="M67" s="266"/>
      <c r="N67" s="266"/>
      <c r="O67" s="271"/>
    </row>
    <row r="68">
      <c r="A68" s="276"/>
      <c r="B68" s="276"/>
      <c r="C68" s="275"/>
      <c r="D68" s="276"/>
      <c r="E68" s="277"/>
      <c r="F68" s="278"/>
      <c r="G68" s="276"/>
      <c r="H68" s="277"/>
      <c r="I68" s="277"/>
      <c r="J68" s="276"/>
      <c r="K68" s="276"/>
      <c r="L68" s="277"/>
      <c r="M68" s="276"/>
      <c r="N68" s="277"/>
      <c r="O68" s="84"/>
    </row>
    <row r="69">
      <c r="A69" s="276"/>
      <c r="B69" s="276"/>
      <c r="C69" s="275"/>
      <c r="D69" s="276"/>
      <c r="E69" s="277"/>
      <c r="F69" s="278"/>
      <c r="G69" s="276"/>
      <c r="H69" s="277"/>
      <c r="I69" s="277"/>
      <c r="J69" s="276"/>
      <c r="K69" s="276"/>
      <c r="L69" s="277"/>
      <c r="M69" s="276"/>
      <c r="N69" s="277"/>
      <c r="O69" s="84"/>
    </row>
    <row r="70">
      <c r="A70" s="276"/>
      <c r="B70" s="276"/>
      <c r="C70" s="275"/>
      <c r="D70" s="276"/>
      <c r="E70" s="277"/>
      <c r="F70" s="278"/>
      <c r="G70" s="276"/>
      <c r="H70" s="277"/>
      <c r="I70" s="277"/>
      <c r="J70" s="276"/>
      <c r="K70" s="276"/>
      <c r="L70" s="277"/>
      <c r="M70" s="276"/>
      <c r="N70" s="277"/>
      <c r="O70" s="84"/>
    </row>
    <row r="71">
      <c r="A71" s="276"/>
      <c r="B71" s="276"/>
      <c r="C71" s="275"/>
      <c r="D71" s="276"/>
      <c r="E71" s="277"/>
      <c r="F71" s="278"/>
      <c r="G71" s="276"/>
      <c r="H71" s="277"/>
      <c r="I71" s="277"/>
      <c r="J71" s="276"/>
      <c r="K71" s="276"/>
      <c r="L71" s="277"/>
      <c r="M71" s="276"/>
      <c r="N71" s="277"/>
      <c r="O71" s="84"/>
    </row>
    <row r="72">
      <c r="A72" s="276"/>
      <c r="B72" s="276"/>
      <c r="C72" s="275"/>
      <c r="D72" s="276"/>
      <c r="E72" s="277"/>
      <c r="F72" s="278"/>
      <c r="G72" s="276"/>
      <c r="H72" s="277"/>
      <c r="I72" s="277"/>
      <c r="J72" s="276"/>
      <c r="K72" s="276"/>
      <c r="L72" s="277"/>
      <c r="M72" s="276"/>
      <c r="N72" s="277"/>
      <c r="O72" s="84"/>
    </row>
    <row r="73">
      <c r="A73" s="276"/>
      <c r="B73" s="276"/>
      <c r="C73" s="275"/>
      <c r="D73" s="276"/>
      <c r="E73" s="277"/>
      <c r="F73" s="278"/>
      <c r="G73" s="276"/>
      <c r="H73" s="277"/>
      <c r="I73" s="277"/>
      <c r="J73" s="276"/>
      <c r="K73" s="276"/>
      <c r="L73" s="277"/>
      <c r="M73" s="276"/>
      <c r="N73" s="277"/>
      <c r="O73" s="84"/>
    </row>
    <row r="74">
      <c r="A74" s="276"/>
      <c r="B74" s="276"/>
      <c r="C74" s="275"/>
      <c r="D74" s="276"/>
      <c r="E74" s="277"/>
      <c r="F74" s="278"/>
      <c r="G74" s="276"/>
      <c r="H74" s="277"/>
      <c r="I74" s="277"/>
      <c r="J74" s="276"/>
      <c r="K74" s="276"/>
      <c r="L74" s="277"/>
      <c r="M74" s="276"/>
      <c r="N74" s="277"/>
      <c r="O74" s="84"/>
    </row>
    <row r="75">
      <c r="A75" s="276"/>
      <c r="B75" s="276"/>
      <c r="C75" s="275"/>
      <c r="D75" s="276"/>
      <c r="E75" s="277"/>
      <c r="F75" s="278"/>
      <c r="G75" s="276"/>
      <c r="H75" s="277"/>
      <c r="I75" s="277"/>
      <c r="J75" s="276"/>
      <c r="K75" s="276"/>
      <c r="L75" s="277"/>
      <c r="M75" s="276"/>
      <c r="N75" s="277"/>
      <c r="O75" s="84"/>
    </row>
    <row r="76">
      <c r="A76" s="276"/>
      <c r="B76" s="276"/>
      <c r="C76" s="275"/>
      <c r="D76" s="276"/>
      <c r="E76" s="277"/>
      <c r="F76" s="278"/>
      <c r="G76" s="276"/>
      <c r="H76" s="277"/>
      <c r="I76" s="277"/>
      <c r="J76" s="276"/>
      <c r="K76" s="276"/>
      <c r="L76" s="277"/>
      <c r="M76" s="276"/>
      <c r="N76" s="277"/>
      <c r="O76" s="84"/>
    </row>
    <row r="77">
      <c r="A77" s="276"/>
      <c r="B77" s="276"/>
      <c r="C77" s="275"/>
      <c r="D77" s="276"/>
      <c r="E77" s="277"/>
      <c r="F77" s="278"/>
      <c r="G77" s="276"/>
      <c r="H77" s="277"/>
      <c r="I77" s="277"/>
      <c r="J77" s="276"/>
      <c r="K77" s="276"/>
      <c r="L77" s="277"/>
      <c r="M77" s="276"/>
      <c r="N77" s="277"/>
      <c r="O77" s="84"/>
    </row>
    <row r="78">
      <c r="A78" s="276"/>
      <c r="B78" s="276"/>
      <c r="C78" s="275"/>
      <c r="D78" s="276"/>
      <c r="E78" s="277"/>
      <c r="F78" s="278"/>
      <c r="G78" s="276"/>
      <c r="H78" s="277"/>
      <c r="I78" s="277"/>
      <c r="J78" s="276"/>
      <c r="K78" s="276"/>
      <c r="L78" s="277"/>
      <c r="M78" s="276"/>
      <c r="N78" s="277"/>
      <c r="O78" s="84"/>
    </row>
    <row r="79">
      <c r="A79" s="276"/>
      <c r="B79" s="276"/>
      <c r="C79" s="275"/>
      <c r="D79" s="276"/>
      <c r="E79" s="277"/>
      <c r="F79" s="278"/>
      <c r="G79" s="276"/>
      <c r="H79" s="277"/>
      <c r="I79" s="277"/>
      <c r="J79" s="276"/>
      <c r="K79" s="276"/>
      <c r="L79" s="277"/>
      <c r="M79" s="276"/>
      <c r="N79" s="277"/>
      <c r="O79" s="84"/>
    </row>
    <row r="80">
      <c r="A80" s="276"/>
      <c r="B80" s="276"/>
      <c r="C80" s="275"/>
      <c r="D80" s="276"/>
      <c r="E80" s="277"/>
      <c r="F80" s="278"/>
      <c r="G80" s="276"/>
      <c r="H80" s="277"/>
      <c r="I80" s="277"/>
      <c r="J80" s="276"/>
      <c r="K80" s="276"/>
      <c r="L80" s="277"/>
      <c r="M80" s="276"/>
      <c r="N80" s="277"/>
      <c r="O80" s="84"/>
    </row>
    <row r="81">
      <c r="A81" s="276"/>
      <c r="B81" s="276"/>
      <c r="C81" s="275"/>
      <c r="D81" s="276"/>
      <c r="E81" s="277"/>
      <c r="F81" s="278"/>
      <c r="G81" s="276"/>
      <c r="H81" s="277"/>
      <c r="I81" s="277"/>
      <c r="J81" s="276"/>
      <c r="K81" s="276"/>
      <c r="L81" s="277"/>
      <c r="M81" s="276"/>
      <c r="N81" s="277"/>
      <c r="O81" s="84"/>
    </row>
    <row r="82">
      <c r="A82" s="276"/>
      <c r="B82" s="276"/>
      <c r="C82" s="275"/>
      <c r="D82" s="276"/>
      <c r="E82" s="277"/>
      <c r="F82" s="278"/>
      <c r="G82" s="276"/>
      <c r="H82" s="277"/>
      <c r="I82" s="277"/>
      <c r="J82" s="276"/>
      <c r="K82" s="276"/>
      <c r="L82" s="277"/>
      <c r="M82" s="276"/>
      <c r="N82" s="277"/>
      <c r="O82" s="84"/>
    </row>
    <row r="83">
      <c r="A83" s="276"/>
      <c r="B83" s="276"/>
      <c r="C83" s="275"/>
      <c r="D83" s="276"/>
      <c r="E83" s="277"/>
      <c r="F83" s="278"/>
      <c r="G83" s="276"/>
      <c r="H83" s="277"/>
      <c r="I83" s="277"/>
      <c r="J83" s="276"/>
      <c r="K83" s="276"/>
      <c r="L83" s="277"/>
      <c r="M83" s="276"/>
      <c r="N83" s="277"/>
      <c r="O83" s="84"/>
    </row>
    <row r="84">
      <c r="A84" s="276"/>
      <c r="B84" s="276"/>
      <c r="C84" s="275"/>
      <c r="D84" s="276"/>
      <c r="E84" s="277"/>
      <c r="F84" s="278"/>
      <c r="G84" s="276"/>
      <c r="H84" s="277"/>
      <c r="I84" s="277"/>
      <c r="J84" s="276"/>
      <c r="K84" s="276"/>
      <c r="L84" s="277"/>
      <c r="M84" s="276"/>
      <c r="N84" s="277"/>
      <c r="O84" s="84"/>
    </row>
    <row r="85">
      <c r="A85" s="276"/>
      <c r="B85" s="276"/>
      <c r="C85" s="275"/>
      <c r="D85" s="276"/>
      <c r="E85" s="277"/>
      <c r="F85" s="278"/>
      <c r="G85" s="276"/>
      <c r="H85" s="277"/>
      <c r="I85" s="277"/>
      <c r="J85" s="276"/>
      <c r="K85" s="276"/>
      <c r="L85" s="277"/>
      <c r="M85" s="276"/>
      <c r="N85" s="277"/>
      <c r="O85" s="84"/>
    </row>
    <row r="86">
      <c r="A86" s="276"/>
      <c r="B86" s="276"/>
      <c r="C86" s="275"/>
      <c r="D86" s="276"/>
      <c r="E86" s="277"/>
      <c r="F86" s="278"/>
      <c r="G86" s="276"/>
      <c r="H86" s="277"/>
      <c r="I86" s="277"/>
      <c r="J86" s="276"/>
      <c r="K86" s="276"/>
      <c r="L86" s="277"/>
      <c r="M86" s="276"/>
      <c r="N86" s="277"/>
      <c r="O86" s="84"/>
    </row>
    <row r="87">
      <c r="A87" s="276"/>
      <c r="B87" s="276"/>
      <c r="C87" s="275"/>
      <c r="D87" s="276"/>
      <c r="E87" s="277"/>
      <c r="F87" s="278"/>
      <c r="G87" s="276"/>
      <c r="H87" s="277"/>
      <c r="I87" s="277"/>
      <c r="J87" s="276"/>
      <c r="K87" s="276"/>
      <c r="L87" s="277"/>
      <c r="M87" s="276"/>
      <c r="N87" s="277"/>
      <c r="O87" s="84"/>
    </row>
    <row r="88">
      <c r="A88" s="276"/>
      <c r="B88" s="276"/>
      <c r="C88" s="275"/>
      <c r="D88" s="276"/>
      <c r="E88" s="277"/>
      <c r="F88" s="278"/>
      <c r="G88" s="276"/>
      <c r="H88" s="277"/>
      <c r="I88" s="277"/>
      <c r="J88" s="276"/>
      <c r="K88" s="276"/>
      <c r="L88" s="277"/>
      <c r="M88" s="276"/>
      <c r="N88" s="277"/>
      <c r="O88" s="84"/>
    </row>
    <row r="89">
      <c r="A89" s="276"/>
      <c r="B89" s="276"/>
      <c r="C89" s="275"/>
      <c r="D89" s="276"/>
      <c r="E89" s="277"/>
      <c r="F89" s="278"/>
      <c r="G89" s="276"/>
      <c r="H89" s="277"/>
      <c r="I89" s="277"/>
      <c r="J89" s="276"/>
      <c r="K89" s="276"/>
      <c r="L89" s="277"/>
      <c r="M89" s="276"/>
      <c r="N89" s="277"/>
      <c r="O89" s="84"/>
    </row>
    <row r="90">
      <c r="A90" s="276"/>
      <c r="B90" s="276"/>
      <c r="C90" s="275"/>
      <c r="D90" s="276"/>
      <c r="E90" s="277"/>
      <c r="F90" s="278"/>
      <c r="G90" s="276"/>
      <c r="H90" s="277"/>
      <c r="I90" s="277"/>
      <c r="J90" s="276"/>
      <c r="K90" s="276"/>
      <c r="L90" s="277"/>
      <c r="M90" s="276"/>
      <c r="N90" s="277"/>
      <c r="O90" s="84"/>
    </row>
    <row r="91">
      <c r="A91" s="276"/>
      <c r="B91" s="276"/>
      <c r="C91" s="275"/>
      <c r="D91" s="276"/>
      <c r="E91" s="277"/>
      <c r="F91" s="278"/>
      <c r="G91" s="276"/>
      <c r="H91" s="277"/>
      <c r="I91" s="277"/>
      <c r="J91" s="276"/>
      <c r="K91" s="276"/>
      <c r="L91" s="277"/>
      <c r="M91" s="276"/>
      <c r="N91" s="277"/>
      <c r="O91" s="84"/>
    </row>
    <row r="92">
      <c r="A92" s="276"/>
      <c r="B92" s="276"/>
      <c r="C92" s="275"/>
      <c r="D92" s="276"/>
      <c r="E92" s="277"/>
      <c r="F92" s="278"/>
      <c r="G92" s="276"/>
      <c r="H92" s="277"/>
      <c r="I92" s="277"/>
      <c r="J92" s="276"/>
      <c r="K92" s="276"/>
      <c r="L92" s="277"/>
      <c r="M92" s="276"/>
      <c r="N92" s="277"/>
      <c r="O92" s="84"/>
    </row>
    <row r="93">
      <c r="A93" s="276"/>
      <c r="B93" s="276"/>
      <c r="C93" s="275"/>
      <c r="D93" s="276"/>
      <c r="E93" s="277"/>
      <c r="F93" s="278"/>
      <c r="G93" s="276"/>
      <c r="H93" s="277"/>
      <c r="I93" s="277"/>
      <c r="J93" s="276"/>
      <c r="K93" s="276"/>
      <c r="L93" s="277"/>
      <c r="M93" s="276"/>
      <c r="N93" s="277"/>
      <c r="O93" s="84"/>
    </row>
    <row r="94">
      <c r="A94" s="276"/>
      <c r="B94" s="276"/>
      <c r="C94" s="275"/>
      <c r="D94" s="276"/>
      <c r="E94" s="277"/>
      <c r="F94" s="278"/>
      <c r="G94" s="276"/>
      <c r="H94" s="277"/>
      <c r="I94" s="277"/>
      <c r="J94" s="276"/>
      <c r="K94" s="276"/>
      <c r="L94" s="277"/>
      <c r="M94" s="276"/>
      <c r="N94" s="277"/>
      <c r="O94" s="84"/>
    </row>
    <row r="95">
      <c r="A95" s="276"/>
      <c r="B95" s="276"/>
      <c r="C95" s="275"/>
      <c r="D95" s="276"/>
      <c r="E95" s="277"/>
      <c r="F95" s="278"/>
      <c r="G95" s="276"/>
      <c r="H95" s="277"/>
      <c r="I95" s="277"/>
      <c r="J95" s="276"/>
      <c r="K95" s="276"/>
      <c r="L95" s="277"/>
      <c r="M95" s="276"/>
      <c r="N95" s="277"/>
      <c r="O95" s="84"/>
    </row>
    <row r="96">
      <c r="A96" s="276"/>
      <c r="B96" s="276"/>
      <c r="C96" s="275"/>
      <c r="D96" s="276"/>
      <c r="E96" s="277"/>
      <c r="F96" s="278"/>
      <c r="G96" s="276"/>
      <c r="H96" s="277"/>
      <c r="I96" s="277"/>
      <c r="J96" s="276"/>
      <c r="K96" s="276"/>
      <c r="L96" s="277"/>
      <c r="M96" s="276"/>
      <c r="N96" s="277"/>
      <c r="O96" s="84"/>
    </row>
    <row r="97">
      <c r="A97" s="276"/>
      <c r="B97" s="276"/>
      <c r="C97" s="275"/>
      <c r="D97" s="276"/>
      <c r="E97" s="277"/>
      <c r="F97" s="278"/>
      <c r="G97" s="276"/>
      <c r="H97" s="277"/>
      <c r="I97" s="277"/>
      <c r="J97" s="276"/>
      <c r="K97" s="276"/>
      <c r="L97" s="277"/>
      <c r="M97" s="276"/>
      <c r="N97" s="277"/>
      <c r="O97" s="84"/>
    </row>
    <row r="98">
      <c r="A98" s="276"/>
      <c r="B98" s="276"/>
      <c r="C98" s="275"/>
      <c r="D98" s="276"/>
      <c r="E98" s="277"/>
      <c r="F98" s="278"/>
      <c r="G98" s="276"/>
      <c r="H98" s="277"/>
      <c r="I98" s="277"/>
      <c r="J98" s="276"/>
      <c r="K98" s="276"/>
      <c r="L98" s="277"/>
      <c r="M98" s="276"/>
      <c r="N98" s="277"/>
      <c r="O98" s="84"/>
    </row>
    <row r="99">
      <c r="A99" s="276"/>
      <c r="B99" s="276"/>
      <c r="C99" s="275"/>
      <c r="D99" s="276"/>
      <c r="E99" s="277"/>
      <c r="F99" s="278"/>
      <c r="G99" s="276"/>
      <c r="H99" s="277"/>
      <c r="I99" s="277"/>
      <c r="J99" s="276"/>
      <c r="K99" s="276"/>
      <c r="L99" s="277"/>
      <c r="M99" s="276"/>
      <c r="N99" s="277"/>
      <c r="O99" s="84"/>
    </row>
    <row r="100">
      <c r="A100" s="276"/>
      <c r="B100" s="276"/>
      <c r="C100" s="275"/>
      <c r="D100" s="276"/>
      <c r="E100" s="277"/>
      <c r="F100" s="278"/>
      <c r="G100" s="276"/>
      <c r="H100" s="277"/>
      <c r="I100" s="277"/>
      <c r="J100" s="276"/>
      <c r="K100" s="276"/>
      <c r="L100" s="277"/>
      <c r="M100" s="276"/>
      <c r="N100" s="277"/>
      <c r="O100" s="84"/>
    </row>
    <row r="101">
      <c r="A101" s="276"/>
      <c r="B101" s="276"/>
      <c r="C101" s="275"/>
      <c r="D101" s="276"/>
      <c r="E101" s="277"/>
      <c r="F101" s="278"/>
      <c r="G101" s="276"/>
      <c r="H101" s="277"/>
      <c r="I101" s="277"/>
      <c r="J101" s="276"/>
      <c r="K101" s="276"/>
      <c r="L101" s="277"/>
      <c r="M101" s="276"/>
      <c r="N101" s="277"/>
      <c r="O101" s="84"/>
    </row>
    <row r="102">
      <c r="A102" s="276"/>
      <c r="B102" s="276"/>
      <c r="C102" s="275"/>
      <c r="D102" s="276"/>
      <c r="E102" s="277"/>
      <c r="F102" s="278"/>
      <c r="G102" s="276"/>
      <c r="H102" s="277"/>
      <c r="I102" s="277"/>
      <c r="J102" s="276"/>
      <c r="K102" s="276"/>
      <c r="L102" s="277"/>
      <c r="M102" s="276"/>
      <c r="N102" s="277"/>
      <c r="O102" s="84"/>
    </row>
    <row r="103">
      <c r="A103" s="276"/>
      <c r="B103" s="276"/>
      <c r="C103" s="275"/>
      <c r="D103" s="276"/>
      <c r="E103" s="277"/>
      <c r="F103" s="278"/>
      <c r="G103" s="276"/>
      <c r="H103" s="277"/>
      <c r="I103" s="277"/>
      <c r="J103" s="276"/>
      <c r="K103" s="276"/>
      <c r="L103" s="277"/>
      <c r="M103" s="276"/>
      <c r="N103" s="277"/>
      <c r="O103" s="84"/>
    </row>
    <row r="104">
      <c r="A104" s="276"/>
      <c r="B104" s="276"/>
      <c r="C104" s="275"/>
      <c r="D104" s="276"/>
      <c r="E104" s="277"/>
      <c r="F104" s="278"/>
      <c r="G104" s="276"/>
      <c r="H104" s="277"/>
      <c r="I104" s="277"/>
      <c r="J104" s="276"/>
      <c r="K104" s="276"/>
      <c r="L104" s="277"/>
      <c r="M104" s="276"/>
      <c r="N104" s="277"/>
      <c r="O104" s="84"/>
    </row>
    <row r="105">
      <c r="A105" s="276"/>
      <c r="B105" s="276"/>
      <c r="C105" s="275"/>
      <c r="D105" s="276"/>
      <c r="E105" s="277"/>
      <c r="F105" s="278"/>
      <c r="G105" s="276"/>
      <c r="H105" s="277"/>
      <c r="I105" s="277"/>
      <c r="J105" s="276"/>
      <c r="K105" s="276"/>
      <c r="L105" s="277"/>
      <c r="M105" s="276"/>
      <c r="N105" s="277"/>
      <c r="O105" s="84"/>
    </row>
    <row r="106">
      <c r="A106" s="276"/>
      <c r="B106" s="276"/>
      <c r="C106" s="275"/>
      <c r="D106" s="276"/>
      <c r="E106" s="277"/>
      <c r="F106" s="278"/>
      <c r="G106" s="276"/>
      <c r="H106" s="277"/>
      <c r="I106" s="277"/>
      <c r="J106" s="276"/>
      <c r="K106" s="276"/>
      <c r="L106" s="277"/>
      <c r="M106" s="276"/>
      <c r="N106" s="277"/>
      <c r="O106" s="84"/>
    </row>
    <row r="107">
      <c r="A107" s="276"/>
      <c r="B107" s="276"/>
      <c r="C107" s="275"/>
      <c r="D107" s="276"/>
      <c r="E107" s="277"/>
      <c r="F107" s="278"/>
      <c r="G107" s="276"/>
      <c r="H107" s="277"/>
      <c r="I107" s="277"/>
      <c r="J107" s="276"/>
      <c r="K107" s="276"/>
      <c r="L107" s="277"/>
      <c r="M107" s="276"/>
      <c r="N107" s="277"/>
      <c r="O107" s="84"/>
    </row>
    <row r="108">
      <c r="A108" s="276"/>
      <c r="B108" s="276"/>
      <c r="C108" s="275"/>
      <c r="D108" s="276"/>
      <c r="E108" s="277"/>
      <c r="F108" s="278"/>
      <c r="G108" s="276"/>
      <c r="H108" s="277"/>
      <c r="I108" s="277"/>
      <c r="J108" s="276"/>
      <c r="K108" s="276"/>
      <c r="L108" s="277"/>
      <c r="M108" s="276"/>
      <c r="N108" s="277"/>
      <c r="O108" s="84"/>
    </row>
    <row r="109">
      <c r="A109" s="276"/>
      <c r="B109" s="276"/>
      <c r="C109" s="275"/>
      <c r="D109" s="276"/>
      <c r="E109" s="277"/>
      <c r="F109" s="278"/>
      <c r="G109" s="276"/>
      <c r="H109" s="277"/>
      <c r="I109" s="277"/>
      <c r="J109" s="276"/>
      <c r="K109" s="276"/>
      <c r="L109" s="277"/>
      <c r="M109" s="276"/>
      <c r="N109" s="277"/>
      <c r="O109" s="84"/>
    </row>
    <row r="110">
      <c r="A110" s="276"/>
      <c r="B110" s="276"/>
      <c r="C110" s="275"/>
      <c r="D110" s="276"/>
      <c r="E110" s="277"/>
      <c r="F110" s="278"/>
      <c r="G110" s="276"/>
      <c r="H110" s="277"/>
      <c r="I110" s="277"/>
      <c r="J110" s="276"/>
      <c r="K110" s="276"/>
      <c r="L110" s="277"/>
      <c r="M110" s="276"/>
      <c r="N110" s="277"/>
      <c r="O110" s="84"/>
    </row>
    <row r="111">
      <c r="A111" s="276"/>
      <c r="B111" s="276"/>
      <c r="C111" s="275"/>
      <c r="D111" s="276"/>
      <c r="E111" s="277"/>
      <c r="F111" s="278"/>
      <c r="G111" s="276"/>
      <c r="H111" s="277"/>
      <c r="I111" s="277"/>
      <c r="J111" s="276"/>
      <c r="K111" s="276"/>
      <c r="L111" s="277"/>
      <c r="M111" s="276"/>
      <c r="N111" s="277"/>
      <c r="O111" s="84"/>
    </row>
    <row r="112">
      <c r="A112" s="276"/>
      <c r="B112" s="276"/>
      <c r="C112" s="275"/>
      <c r="D112" s="276"/>
      <c r="E112" s="277"/>
      <c r="F112" s="278"/>
      <c r="G112" s="276"/>
      <c r="H112" s="277"/>
      <c r="I112" s="277"/>
      <c r="J112" s="276"/>
      <c r="K112" s="276"/>
      <c r="L112" s="277"/>
      <c r="M112" s="276"/>
      <c r="N112" s="277"/>
      <c r="O112" s="84"/>
    </row>
    <row r="113">
      <c r="A113" s="276"/>
      <c r="B113" s="276"/>
      <c r="C113" s="275"/>
      <c r="D113" s="276"/>
      <c r="E113" s="277"/>
      <c r="F113" s="278"/>
      <c r="G113" s="276"/>
      <c r="H113" s="277"/>
      <c r="I113" s="277"/>
      <c r="J113" s="276"/>
      <c r="K113" s="276"/>
      <c r="L113" s="277"/>
      <c r="M113" s="276"/>
      <c r="N113" s="277"/>
      <c r="O113" s="84"/>
    </row>
    <row r="114">
      <c r="A114" s="276"/>
      <c r="B114" s="276"/>
      <c r="C114" s="275"/>
      <c r="D114" s="276"/>
      <c r="E114" s="277"/>
      <c r="F114" s="278"/>
      <c r="G114" s="276"/>
      <c r="H114" s="277"/>
      <c r="I114" s="277"/>
      <c r="J114" s="276"/>
      <c r="K114" s="276"/>
      <c r="L114" s="277"/>
      <c r="M114" s="276"/>
      <c r="N114" s="277"/>
      <c r="O114" s="84"/>
    </row>
    <row r="115">
      <c r="A115" s="276"/>
      <c r="B115" s="276"/>
      <c r="C115" s="275"/>
      <c r="D115" s="276"/>
      <c r="E115" s="277"/>
      <c r="F115" s="278"/>
      <c r="G115" s="276"/>
      <c r="H115" s="277"/>
      <c r="I115" s="277"/>
      <c r="J115" s="276"/>
      <c r="K115" s="276"/>
      <c r="L115" s="277"/>
      <c r="M115" s="276"/>
      <c r="N115" s="277"/>
      <c r="O115" s="84"/>
    </row>
    <row r="116">
      <c r="A116" s="276"/>
      <c r="B116" s="276"/>
      <c r="C116" s="275"/>
      <c r="D116" s="276"/>
      <c r="E116" s="277"/>
      <c r="F116" s="278"/>
      <c r="G116" s="276"/>
      <c r="H116" s="277"/>
      <c r="I116" s="277"/>
      <c r="J116" s="276"/>
      <c r="K116" s="276"/>
      <c r="L116" s="277"/>
      <c r="M116" s="276"/>
      <c r="N116" s="277"/>
      <c r="O116" s="84"/>
    </row>
    <row r="117">
      <c r="A117" s="276"/>
      <c r="B117" s="276"/>
      <c r="C117" s="275"/>
      <c r="D117" s="276"/>
      <c r="E117" s="277"/>
      <c r="F117" s="278"/>
      <c r="G117" s="276"/>
      <c r="H117" s="277"/>
      <c r="I117" s="277"/>
      <c r="J117" s="276"/>
      <c r="K117" s="276"/>
      <c r="L117" s="277"/>
      <c r="M117" s="276"/>
      <c r="N117" s="277"/>
      <c r="O117" s="84"/>
    </row>
    <row r="118">
      <c r="A118" s="276"/>
      <c r="B118" s="276"/>
      <c r="C118" s="275"/>
      <c r="D118" s="276"/>
      <c r="E118" s="277"/>
      <c r="F118" s="278"/>
      <c r="G118" s="276"/>
      <c r="H118" s="277"/>
      <c r="I118" s="277"/>
      <c r="J118" s="276"/>
      <c r="K118" s="276"/>
      <c r="L118" s="277"/>
      <c r="M118" s="276"/>
      <c r="N118" s="277"/>
      <c r="O118" s="84"/>
    </row>
    <row r="119">
      <c r="A119" s="276"/>
      <c r="B119" s="276"/>
      <c r="C119" s="275"/>
      <c r="D119" s="276"/>
      <c r="E119" s="277"/>
      <c r="F119" s="278"/>
      <c r="G119" s="276"/>
      <c r="H119" s="277"/>
      <c r="I119" s="277"/>
      <c r="J119" s="276"/>
      <c r="K119" s="276"/>
      <c r="L119" s="277"/>
      <c r="M119" s="276"/>
      <c r="N119" s="277"/>
      <c r="O119" s="84"/>
    </row>
    <row r="120">
      <c r="A120" s="276"/>
      <c r="B120" s="276"/>
      <c r="C120" s="275"/>
      <c r="D120" s="276"/>
      <c r="E120" s="277"/>
      <c r="F120" s="278"/>
      <c r="G120" s="276"/>
      <c r="H120" s="277"/>
      <c r="I120" s="277"/>
      <c r="J120" s="276"/>
      <c r="K120" s="276"/>
      <c r="L120" s="277"/>
      <c r="M120" s="276"/>
      <c r="N120" s="277"/>
      <c r="O120" s="84"/>
    </row>
    <row r="121">
      <c r="A121" s="276"/>
      <c r="B121" s="276"/>
      <c r="C121" s="275"/>
      <c r="D121" s="276"/>
      <c r="E121" s="277"/>
      <c r="F121" s="278"/>
      <c r="G121" s="276"/>
      <c r="H121" s="277"/>
      <c r="I121" s="277"/>
      <c r="J121" s="276"/>
      <c r="K121" s="276"/>
      <c r="L121" s="277"/>
      <c r="M121" s="276"/>
      <c r="N121" s="277"/>
      <c r="O121" s="84"/>
    </row>
    <row r="122">
      <c r="A122" s="276"/>
      <c r="B122" s="276"/>
      <c r="C122" s="275"/>
      <c r="D122" s="276"/>
      <c r="E122" s="277"/>
      <c r="F122" s="278"/>
      <c r="G122" s="276"/>
      <c r="H122" s="277"/>
      <c r="I122" s="277"/>
      <c r="J122" s="276"/>
      <c r="K122" s="276"/>
      <c r="L122" s="277"/>
      <c r="M122" s="276"/>
      <c r="N122" s="277"/>
      <c r="O122" s="84"/>
    </row>
    <row r="123">
      <c r="A123" s="276"/>
      <c r="B123" s="276"/>
      <c r="C123" s="275"/>
      <c r="D123" s="276"/>
      <c r="E123" s="277"/>
      <c r="F123" s="278"/>
      <c r="G123" s="276"/>
      <c r="H123" s="277"/>
      <c r="I123" s="277"/>
      <c r="J123" s="276"/>
      <c r="K123" s="276"/>
      <c r="L123" s="277"/>
      <c r="M123" s="276"/>
      <c r="N123" s="277"/>
      <c r="O123" s="84"/>
    </row>
    <row r="124">
      <c r="A124" s="276"/>
      <c r="B124" s="276"/>
      <c r="C124" s="275"/>
      <c r="D124" s="276"/>
      <c r="E124" s="277"/>
      <c r="F124" s="278"/>
      <c r="G124" s="276"/>
      <c r="H124" s="277"/>
      <c r="I124" s="277"/>
      <c r="J124" s="276"/>
      <c r="K124" s="276"/>
      <c r="L124" s="277"/>
      <c r="M124" s="276"/>
      <c r="N124" s="277"/>
      <c r="O124" s="84"/>
    </row>
    <row r="125">
      <c r="A125" s="276"/>
      <c r="B125" s="276"/>
      <c r="C125" s="275"/>
      <c r="D125" s="276"/>
      <c r="E125" s="277"/>
      <c r="F125" s="278"/>
      <c r="G125" s="276"/>
      <c r="H125" s="277"/>
      <c r="I125" s="277"/>
      <c r="J125" s="276"/>
      <c r="K125" s="276"/>
      <c r="L125" s="277"/>
      <c r="M125" s="276"/>
      <c r="N125" s="277"/>
      <c r="O125" s="84"/>
    </row>
    <row r="126">
      <c r="A126" s="276"/>
      <c r="B126" s="276"/>
      <c r="C126" s="275"/>
      <c r="D126" s="276"/>
      <c r="E126" s="277"/>
      <c r="F126" s="278"/>
      <c r="G126" s="276"/>
      <c r="H126" s="277"/>
      <c r="I126" s="277"/>
      <c r="J126" s="276"/>
      <c r="K126" s="276"/>
      <c r="L126" s="277"/>
      <c r="M126" s="276"/>
      <c r="N126" s="277"/>
      <c r="O126" s="84"/>
    </row>
    <row r="127">
      <c r="A127" s="276"/>
      <c r="B127" s="276"/>
      <c r="C127" s="275"/>
      <c r="D127" s="276"/>
      <c r="E127" s="277"/>
      <c r="F127" s="278"/>
      <c r="G127" s="276"/>
      <c r="H127" s="277"/>
      <c r="I127" s="277"/>
      <c r="J127" s="276"/>
      <c r="K127" s="276"/>
      <c r="L127" s="277"/>
      <c r="M127" s="276"/>
      <c r="N127" s="277"/>
      <c r="O127" s="84"/>
    </row>
    <row r="128">
      <c r="A128" s="276"/>
      <c r="B128" s="276"/>
      <c r="C128" s="275"/>
      <c r="D128" s="276"/>
      <c r="E128" s="277"/>
      <c r="F128" s="278"/>
      <c r="G128" s="276"/>
      <c r="H128" s="277"/>
      <c r="I128" s="277"/>
      <c r="J128" s="276"/>
      <c r="K128" s="276"/>
      <c r="L128" s="277"/>
      <c r="M128" s="276"/>
      <c r="N128" s="277"/>
      <c r="O128" s="84"/>
    </row>
    <row r="129">
      <c r="A129" s="276"/>
      <c r="B129" s="276"/>
      <c r="C129" s="275"/>
      <c r="D129" s="276"/>
      <c r="E129" s="277"/>
      <c r="F129" s="278"/>
      <c r="G129" s="276"/>
      <c r="H129" s="277"/>
      <c r="I129" s="277"/>
      <c r="J129" s="276"/>
      <c r="K129" s="276"/>
      <c r="L129" s="277"/>
      <c r="M129" s="276"/>
      <c r="N129" s="277"/>
      <c r="O129" s="84"/>
    </row>
    <row r="130">
      <c r="A130" s="276"/>
      <c r="B130" s="276"/>
      <c r="C130" s="275"/>
      <c r="D130" s="276"/>
      <c r="E130" s="277"/>
      <c r="F130" s="278"/>
      <c r="G130" s="276"/>
      <c r="H130" s="277"/>
      <c r="I130" s="277"/>
      <c r="J130" s="276"/>
      <c r="K130" s="276"/>
      <c r="L130" s="277"/>
      <c r="M130" s="276"/>
      <c r="N130" s="277"/>
      <c r="O130" s="84"/>
    </row>
    <row r="131">
      <c r="A131" s="276"/>
      <c r="B131" s="276"/>
      <c r="C131" s="275"/>
      <c r="D131" s="276"/>
      <c r="E131" s="277"/>
      <c r="F131" s="278"/>
      <c r="G131" s="276"/>
      <c r="H131" s="277"/>
      <c r="I131" s="277"/>
      <c r="J131" s="276"/>
      <c r="K131" s="276"/>
      <c r="L131" s="277"/>
      <c r="M131" s="276"/>
      <c r="N131" s="277"/>
      <c r="O131" s="84"/>
    </row>
    <row r="132">
      <c r="A132" s="276"/>
      <c r="B132" s="276"/>
      <c r="C132" s="275"/>
      <c r="D132" s="276"/>
      <c r="E132" s="277"/>
      <c r="F132" s="278"/>
      <c r="G132" s="276"/>
      <c r="H132" s="277"/>
      <c r="I132" s="277"/>
      <c r="J132" s="276"/>
      <c r="K132" s="276"/>
      <c r="L132" s="277"/>
      <c r="M132" s="276"/>
      <c r="N132" s="277"/>
      <c r="O132" s="84"/>
    </row>
    <row r="133">
      <c r="A133" s="276"/>
      <c r="B133" s="276"/>
      <c r="C133" s="275"/>
      <c r="D133" s="276"/>
      <c r="E133" s="277"/>
      <c r="F133" s="278"/>
      <c r="G133" s="276"/>
      <c r="H133" s="277"/>
      <c r="I133" s="277"/>
      <c r="J133" s="276"/>
      <c r="K133" s="276"/>
      <c r="L133" s="277"/>
      <c r="M133" s="276"/>
      <c r="N133" s="277"/>
      <c r="O133" s="84"/>
    </row>
    <row r="134">
      <c r="A134" s="276"/>
      <c r="B134" s="276"/>
      <c r="C134" s="275"/>
      <c r="D134" s="276"/>
      <c r="E134" s="277"/>
      <c r="F134" s="278"/>
      <c r="G134" s="276"/>
      <c r="H134" s="277"/>
      <c r="I134" s="277"/>
      <c r="J134" s="276"/>
      <c r="K134" s="276"/>
      <c r="L134" s="277"/>
      <c r="M134" s="276"/>
      <c r="N134" s="277"/>
      <c r="O134" s="84"/>
    </row>
    <row r="135">
      <c r="A135" s="276"/>
      <c r="B135" s="276"/>
      <c r="C135" s="275"/>
      <c r="D135" s="276"/>
      <c r="E135" s="277"/>
      <c r="F135" s="278"/>
      <c r="G135" s="276"/>
      <c r="H135" s="277"/>
      <c r="I135" s="277"/>
      <c r="J135" s="276"/>
      <c r="K135" s="276"/>
      <c r="L135" s="277"/>
      <c r="M135" s="276"/>
      <c r="N135" s="277"/>
      <c r="O135" s="84"/>
    </row>
    <row r="136">
      <c r="A136" s="276"/>
      <c r="B136" s="276"/>
      <c r="C136" s="275"/>
      <c r="D136" s="276"/>
      <c r="E136" s="277"/>
      <c r="F136" s="278"/>
      <c r="G136" s="276"/>
      <c r="H136" s="277"/>
      <c r="I136" s="277"/>
      <c r="J136" s="276"/>
      <c r="K136" s="276"/>
      <c r="L136" s="277"/>
      <c r="M136" s="276"/>
      <c r="N136" s="277"/>
      <c r="O136" s="84"/>
    </row>
    <row r="137">
      <c r="A137" s="276"/>
      <c r="B137" s="276"/>
      <c r="C137" s="275"/>
      <c r="D137" s="276"/>
      <c r="E137" s="277"/>
      <c r="F137" s="278"/>
      <c r="G137" s="276"/>
      <c r="H137" s="277"/>
      <c r="I137" s="277"/>
      <c r="J137" s="276"/>
      <c r="K137" s="276"/>
      <c r="L137" s="277"/>
      <c r="M137" s="276"/>
      <c r="N137" s="277"/>
      <c r="O137" s="84"/>
    </row>
    <row r="138">
      <c r="A138" s="276"/>
      <c r="B138" s="276"/>
      <c r="C138" s="275"/>
      <c r="D138" s="276"/>
      <c r="E138" s="277"/>
      <c r="F138" s="278"/>
      <c r="G138" s="276"/>
      <c r="H138" s="277"/>
      <c r="I138" s="277"/>
      <c r="J138" s="276"/>
      <c r="K138" s="276"/>
      <c r="L138" s="277"/>
      <c r="M138" s="276"/>
      <c r="N138" s="277"/>
      <c r="O138" s="84"/>
    </row>
    <row r="139">
      <c r="A139" s="276"/>
      <c r="B139" s="276"/>
      <c r="C139" s="275"/>
      <c r="D139" s="276"/>
      <c r="E139" s="277"/>
      <c r="F139" s="278"/>
      <c r="G139" s="276"/>
      <c r="H139" s="277"/>
      <c r="I139" s="277"/>
      <c r="J139" s="276"/>
      <c r="K139" s="276"/>
      <c r="L139" s="277"/>
      <c r="M139" s="276"/>
      <c r="N139" s="277"/>
      <c r="O139" s="84"/>
    </row>
    <row r="140">
      <c r="A140" s="276"/>
      <c r="B140" s="276"/>
      <c r="C140" s="275"/>
      <c r="D140" s="276"/>
      <c r="E140" s="277"/>
      <c r="F140" s="278"/>
      <c r="G140" s="276"/>
      <c r="H140" s="277"/>
      <c r="I140" s="277"/>
      <c r="J140" s="276"/>
      <c r="K140" s="276"/>
      <c r="L140" s="277"/>
      <c r="M140" s="276"/>
      <c r="N140" s="277"/>
      <c r="O140" s="84"/>
    </row>
    <row r="141">
      <c r="A141" s="276"/>
      <c r="B141" s="276"/>
      <c r="C141" s="275"/>
      <c r="D141" s="276"/>
      <c r="E141" s="277"/>
      <c r="F141" s="278"/>
      <c r="G141" s="276"/>
      <c r="H141" s="277"/>
      <c r="I141" s="277"/>
      <c r="J141" s="276"/>
      <c r="K141" s="276"/>
      <c r="L141" s="277"/>
      <c r="M141" s="276"/>
      <c r="N141" s="277"/>
      <c r="O141" s="84"/>
    </row>
    <row r="142">
      <c r="A142" s="276"/>
      <c r="B142" s="276"/>
      <c r="C142" s="275"/>
      <c r="D142" s="276"/>
      <c r="E142" s="277"/>
      <c r="F142" s="278"/>
      <c r="G142" s="276"/>
      <c r="H142" s="277"/>
      <c r="I142" s="277"/>
      <c r="J142" s="276"/>
      <c r="K142" s="276"/>
      <c r="L142" s="277"/>
      <c r="M142" s="276"/>
      <c r="N142" s="277"/>
      <c r="O142" s="84"/>
    </row>
    <row r="143">
      <c r="A143" s="276"/>
      <c r="B143" s="276"/>
      <c r="C143" s="275"/>
      <c r="D143" s="276"/>
      <c r="E143" s="277"/>
      <c r="F143" s="278"/>
      <c r="G143" s="276"/>
      <c r="H143" s="277"/>
      <c r="I143" s="277"/>
      <c r="J143" s="276"/>
      <c r="K143" s="276"/>
      <c r="L143" s="277"/>
      <c r="M143" s="276"/>
      <c r="N143" s="277"/>
      <c r="O143" s="84"/>
    </row>
    <row r="144">
      <c r="A144" s="276"/>
      <c r="B144" s="276"/>
      <c r="C144" s="275"/>
      <c r="D144" s="276"/>
      <c r="E144" s="277"/>
      <c r="F144" s="278"/>
      <c r="G144" s="276"/>
      <c r="H144" s="277"/>
      <c r="I144" s="277"/>
      <c r="J144" s="276"/>
      <c r="K144" s="276"/>
      <c r="L144" s="277"/>
      <c r="M144" s="276"/>
      <c r="N144" s="277"/>
      <c r="O144" s="84"/>
    </row>
    <row r="145">
      <c r="A145" s="276"/>
      <c r="B145" s="276"/>
      <c r="C145" s="275"/>
      <c r="D145" s="276"/>
      <c r="E145" s="277"/>
      <c r="F145" s="278"/>
      <c r="G145" s="276"/>
      <c r="H145" s="277"/>
      <c r="I145" s="277"/>
      <c r="J145" s="276"/>
      <c r="K145" s="276"/>
      <c r="L145" s="277"/>
      <c r="M145" s="276"/>
      <c r="N145" s="277"/>
      <c r="O145" s="84"/>
    </row>
    <row r="146">
      <c r="A146" s="276"/>
      <c r="B146" s="276"/>
      <c r="C146" s="275"/>
      <c r="D146" s="276"/>
      <c r="E146" s="277"/>
      <c r="F146" s="278"/>
      <c r="G146" s="276"/>
      <c r="H146" s="277"/>
      <c r="I146" s="277"/>
      <c r="J146" s="276"/>
      <c r="K146" s="276"/>
      <c r="L146" s="277"/>
      <c r="M146" s="276"/>
      <c r="N146" s="277"/>
      <c r="O146" s="84"/>
    </row>
    <row r="147">
      <c r="A147" s="276"/>
      <c r="B147" s="276"/>
      <c r="C147" s="275"/>
      <c r="D147" s="276"/>
      <c r="E147" s="277"/>
      <c r="F147" s="278"/>
      <c r="G147" s="276"/>
      <c r="H147" s="277"/>
      <c r="I147" s="277"/>
      <c r="J147" s="276"/>
      <c r="K147" s="276"/>
      <c r="L147" s="277"/>
      <c r="M147" s="276"/>
      <c r="N147" s="277"/>
      <c r="O147" s="84"/>
    </row>
    <row r="148">
      <c r="A148" s="276"/>
      <c r="B148" s="276"/>
      <c r="C148" s="275"/>
      <c r="D148" s="276"/>
      <c r="E148" s="277"/>
      <c r="F148" s="278"/>
      <c r="G148" s="276"/>
      <c r="H148" s="277"/>
      <c r="I148" s="277"/>
      <c r="J148" s="276"/>
      <c r="K148" s="276"/>
      <c r="L148" s="277"/>
      <c r="M148" s="276"/>
      <c r="N148" s="277"/>
      <c r="O148" s="84"/>
    </row>
    <row r="149">
      <c r="A149" s="276"/>
      <c r="B149" s="276"/>
      <c r="C149" s="275"/>
      <c r="D149" s="276"/>
      <c r="E149" s="277"/>
      <c r="F149" s="278"/>
      <c r="G149" s="276"/>
      <c r="H149" s="277"/>
      <c r="I149" s="277"/>
      <c r="J149" s="276"/>
      <c r="K149" s="276"/>
      <c r="L149" s="277"/>
      <c r="M149" s="276"/>
      <c r="N149" s="277"/>
      <c r="O149" s="84"/>
    </row>
    <row r="150">
      <c r="A150" s="276"/>
      <c r="B150" s="276"/>
      <c r="C150" s="275"/>
      <c r="D150" s="276"/>
      <c r="E150" s="277"/>
      <c r="F150" s="278"/>
      <c r="G150" s="276"/>
      <c r="H150" s="277"/>
      <c r="I150" s="277"/>
      <c r="J150" s="276"/>
      <c r="K150" s="276"/>
      <c r="L150" s="277"/>
      <c r="M150" s="276"/>
      <c r="N150" s="277"/>
      <c r="O150" s="84"/>
    </row>
    <row r="151">
      <c r="A151" s="276"/>
      <c r="B151" s="276"/>
      <c r="C151" s="275"/>
      <c r="D151" s="276"/>
      <c r="E151" s="277"/>
      <c r="F151" s="278"/>
      <c r="G151" s="276"/>
      <c r="H151" s="277"/>
      <c r="I151" s="277"/>
      <c r="J151" s="276"/>
      <c r="K151" s="276"/>
      <c r="L151" s="277"/>
      <c r="M151" s="276"/>
      <c r="N151" s="277"/>
      <c r="O151" s="84"/>
    </row>
    <row r="152">
      <c r="A152" s="276"/>
      <c r="B152" s="276"/>
      <c r="C152" s="275"/>
      <c r="D152" s="276"/>
      <c r="E152" s="277"/>
      <c r="F152" s="278"/>
      <c r="G152" s="276"/>
      <c r="H152" s="277"/>
      <c r="I152" s="277"/>
      <c r="J152" s="276"/>
      <c r="K152" s="276"/>
      <c r="L152" s="277"/>
      <c r="M152" s="276"/>
      <c r="N152" s="277"/>
      <c r="O152" s="84"/>
    </row>
    <row r="153">
      <c r="A153" s="276"/>
      <c r="B153" s="276"/>
      <c r="C153" s="275"/>
      <c r="D153" s="276"/>
      <c r="E153" s="277"/>
      <c r="F153" s="278"/>
      <c r="G153" s="276"/>
      <c r="H153" s="277"/>
      <c r="I153" s="277"/>
      <c r="J153" s="276"/>
      <c r="K153" s="276"/>
      <c r="L153" s="277"/>
      <c r="M153" s="276"/>
      <c r="N153" s="277"/>
      <c r="O153" s="84"/>
    </row>
    <row r="154">
      <c r="A154" s="276"/>
      <c r="B154" s="276"/>
      <c r="C154" s="275"/>
      <c r="D154" s="276"/>
      <c r="E154" s="277"/>
      <c r="F154" s="278"/>
      <c r="G154" s="276"/>
      <c r="H154" s="277"/>
      <c r="I154" s="277"/>
      <c r="J154" s="276"/>
      <c r="K154" s="276"/>
      <c r="L154" s="277"/>
      <c r="M154" s="276"/>
      <c r="N154" s="277"/>
      <c r="O154" s="84"/>
    </row>
    <row r="155">
      <c r="A155" s="276"/>
      <c r="B155" s="276"/>
      <c r="C155" s="275"/>
      <c r="D155" s="276"/>
      <c r="E155" s="277"/>
      <c r="F155" s="278"/>
      <c r="G155" s="276"/>
      <c r="H155" s="277"/>
      <c r="I155" s="277"/>
      <c r="J155" s="276"/>
      <c r="K155" s="276"/>
      <c r="L155" s="277"/>
      <c r="M155" s="276"/>
      <c r="N155" s="277"/>
      <c r="O155" s="84"/>
    </row>
    <row r="156">
      <c r="A156" s="276"/>
      <c r="B156" s="276"/>
      <c r="C156" s="275"/>
      <c r="D156" s="276"/>
      <c r="E156" s="277"/>
      <c r="F156" s="278"/>
      <c r="G156" s="276"/>
      <c r="H156" s="277"/>
      <c r="I156" s="277"/>
      <c r="J156" s="276"/>
      <c r="K156" s="276"/>
      <c r="L156" s="277"/>
      <c r="M156" s="276"/>
      <c r="N156" s="277"/>
      <c r="O156" s="84"/>
    </row>
    <row r="157">
      <c r="A157" s="276"/>
      <c r="B157" s="276"/>
      <c r="C157" s="275"/>
      <c r="D157" s="276"/>
      <c r="E157" s="277"/>
      <c r="F157" s="278"/>
      <c r="G157" s="276"/>
      <c r="H157" s="277"/>
      <c r="I157" s="277"/>
      <c r="J157" s="276"/>
      <c r="K157" s="276"/>
      <c r="L157" s="277"/>
      <c r="M157" s="276"/>
      <c r="N157" s="277"/>
      <c r="O157" s="84"/>
    </row>
    <row r="158">
      <c r="A158" s="276"/>
      <c r="B158" s="276"/>
      <c r="C158" s="275"/>
      <c r="D158" s="276"/>
      <c r="E158" s="277"/>
      <c r="F158" s="278"/>
      <c r="G158" s="276"/>
      <c r="H158" s="277"/>
      <c r="I158" s="277"/>
      <c r="J158" s="276"/>
      <c r="K158" s="276"/>
      <c r="L158" s="277"/>
      <c r="M158" s="276"/>
      <c r="N158" s="277"/>
      <c r="O158" s="84"/>
    </row>
    <row r="159">
      <c r="A159" s="276"/>
      <c r="B159" s="276"/>
      <c r="C159" s="275"/>
      <c r="D159" s="276"/>
      <c r="E159" s="277"/>
      <c r="F159" s="278"/>
      <c r="G159" s="276"/>
      <c r="H159" s="277"/>
      <c r="I159" s="277"/>
      <c r="J159" s="276"/>
      <c r="K159" s="276"/>
      <c r="L159" s="277"/>
      <c r="M159" s="276"/>
      <c r="N159" s="277"/>
      <c r="O159" s="84"/>
    </row>
    <row r="160">
      <c r="A160" s="276"/>
      <c r="B160" s="276"/>
      <c r="C160" s="275"/>
      <c r="D160" s="276"/>
      <c r="E160" s="277"/>
      <c r="F160" s="278"/>
      <c r="G160" s="276"/>
      <c r="H160" s="277"/>
      <c r="I160" s="277"/>
      <c r="J160" s="276"/>
      <c r="K160" s="276"/>
      <c r="L160" s="277"/>
      <c r="M160" s="276"/>
      <c r="N160" s="277"/>
      <c r="O160" s="84"/>
    </row>
    <row r="161">
      <c r="A161" s="276"/>
      <c r="B161" s="276"/>
      <c r="C161" s="275"/>
      <c r="D161" s="276"/>
      <c r="E161" s="277"/>
      <c r="F161" s="278"/>
      <c r="G161" s="276"/>
      <c r="H161" s="277"/>
      <c r="I161" s="277"/>
      <c r="J161" s="276"/>
      <c r="K161" s="276"/>
      <c r="L161" s="277"/>
      <c r="M161" s="276"/>
      <c r="N161" s="277"/>
      <c r="O161" s="84"/>
    </row>
    <row r="162">
      <c r="A162" s="276"/>
      <c r="B162" s="276"/>
      <c r="C162" s="275"/>
      <c r="D162" s="276"/>
      <c r="E162" s="277"/>
      <c r="F162" s="278"/>
      <c r="G162" s="276"/>
      <c r="H162" s="277"/>
      <c r="I162" s="277"/>
      <c r="J162" s="276"/>
      <c r="K162" s="276"/>
      <c r="L162" s="277"/>
      <c r="M162" s="276"/>
      <c r="N162" s="277"/>
      <c r="O162" s="84"/>
    </row>
    <row r="163">
      <c r="A163" s="276"/>
      <c r="B163" s="276"/>
      <c r="C163" s="275"/>
      <c r="D163" s="276"/>
      <c r="E163" s="277"/>
      <c r="F163" s="278"/>
      <c r="G163" s="276"/>
      <c r="H163" s="277"/>
      <c r="I163" s="277"/>
      <c r="J163" s="276"/>
      <c r="K163" s="276"/>
      <c r="L163" s="277"/>
      <c r="M163" s="276"/>
      <c r="N163" s="277"/>
      <c r="O163" s="84"/>
    </row>
    <row r="164">
      <c r="A164" s="276"/>
      <c r="B164" s="276"/>
      <c r="C164" s="275"/>
      <c r="D164" s="276"/>
      <c r="E164" s="277"/>
      <c r="F164" s="278"/>
      <c r="G164" s="276"/>
      <c r="H164" s="277"/>
      <c r="I164" s="277"/>
      <c r="J164" s="276"/>
      <c r="K164" s="276"/>
      <c r="L164" s="277"/>
      <c r="M164" s="276"/>
      <c r="N164" s="277"/>
      <c r="O164" s="84"/>
    </row>
    <row r="165">
      <c r="A165" s="276"/>
      <c r="B165" s="276"/>
      <c r="C165" s="275"/>
      <c r="D165" s="276"/>
      <c r="E165" s="277"/>
      <c r="F165" s="278"/>
      <c r="G165" s="276"/>
      <c r="H165" s="277"/>
      <c r="I165" s="277"/>
      <c r="J165" s="276"/>
      <c r="K165" s="276"/>
      <c r="L165" s="277"/>
      <c r="M165" s="276"/>
      <c r="N165" s="277"/>
      <c r="O165" s="84"/>
    </row>
    <row r="166">
      <c r="A166" s="276"/>
      <c r="B166" s="276"/>
      <c r="C166" s="275"/>
      <c r="D166" s="276"/>
      <c r="E166" s="277"/>
      <c r="F166" s="278"/>
      <c r="G166" s="276"/>
      <c r="H166" s="277"/>
      <c r="I166" s="277"/>
      <c r="J166" s="276"/>
      <c r="K166" s="276"/>
      <c r="L166" s="277"/>
      <c r="M166" s="276"/>
      <c r="N166" s="277"/>
      <c r="O166" s="84"/>
    </row>
    <row r="167">
      <c r="A167" s="276"/>
      <c r="B167" s="276"/>
      <c r="C167" s="275"/>
      <c r="D167" s="276"/>
      <c r="E167" s="277"/>
      <c r="F167" s="278"/>
      <c r="G167" s="276"/>
      <c r="H167" s="277"/>
      <c r="I167" s="277"/>
      <c r="J167" s="276"/>
      <c r="K167" s="276"/>
      <c r="L167" s="277"/>
      <c r="M167" s="276"/>
      <c r="N167" s="277"/>
      <c r="O167" s="84"/>
    </row>
    <row r="168">
      <c r="A168" s="276"/>
      <c r="B168" s="276"/>
      <c r="C168" s="275"/>
      <c r="D168" s="276"/>
      <c r="E168" s="277"/>
      <c r="F168" s="278"/>
      <c r="G168" s="276"/>
      <c r="H168" s="277"/>
      <c r="I168" s="277"/>
      <c r="J168" s="276"/>
      <c r="K168" s="276"/>
      <c r="L168" s="277"/>
      <c r="M168" s="276"/>
      <c r="N168" s="277"/>
      <c r="O168" s="84"/>
    </row>
    <row r="169">
      <c r="A169" s="276"/>
      <c r="B169" s="276"/>
      <c r="C169" s="275"/>
      <c r="D169" s="276"/>
      <c r="E169" s="277"/>
      <c r="F169" s="278"/>
      <c r="G169" s="276"/>
      <c r="H169" s="277"/>
      <c r="I169" s="277"/>
      <c r="J169" s="276"/>
      <c r="K169" s="276"/>
      <c r="L169" s="277"/>
      <c r="M169" s="276"/>
      <c r="N169" s="277"/>
      <c r="O169" s="84"/>
    </row>
    <row r="170">
      <c r="A170" s="276"/>
      <c r="B170" s="276"/>
      <c r="C170" s="275"/>
      <c r="D170" s="276"/>
      <c r="E170" s="277"/>
      <c r="F170" s="278"/>
      <c r="G170" s="276"/>
      <c r="H170" s="277"/>
      <c r="I170" s="277"/>
      <c r="J170" s="276"/>
      <c r="K170" s="276"/>
      <c r="L170" s="277"/>
      <c r="M170" s="276"/>
      <c r="N170" s="277"/>
      <c r="O170" s="84"/>
    </row>
    <row r="171">
      <c r="A171" s="276"/>
      <c r="B171" s="276"/>
      <c r="C171" s="275"/>
      <c r="D171" s="276"/>
      <c r="E171" s="277"/>
      <c r="F171" s="278"/>
      <c r="G171" s="276"/>
      <c r="H171" s="277"/>
      <c r="I171" s="277"/>
      <c r="J171" s="276"/>
      <c r="K171" s="276"/>
      <c r="L171" s="277"/>
      <c r="M171" s="276"/>
      <c r="N171" s="277"/>
      <c r="O171" s="84"/>
    </row>
    <row r="172">
      <c r="A172" s="276"/>
      <c r="B172" s="276"/>
      <c r="C172" s="275"/>
      <c r="D172" s="276"/>
      <c r="E172" s="277"/>
      <c r="F172" s="278"/>
      <c r="G172" s="276"/>
      <c r="H172" s="277"/>
      <c r="I172" s="277"/>
      <c r="J172" s="276"/>
      <c r="K172" s="276"/>
      <c r="L172" s="277"/>
      <c r="M172" s="276"/>
      <c r="N172" s="277"/>
      <c r="O172" s="84"/>
    </row>
    <row r="173">
      <c r="A173" s="276"/>
      <c r="B173" s="276"/>
      <c r="C173" s="275"/>
      <c r="D173" s="276"/>
      <c r="E173" s="277"/>
      <c r="F173" s="278"/>
      <c r="G173" s="276"/>
      <c r="H173" s="277"/>
      <c r="I173" s="277"/>
      <c r="J173" s="276"/>
      <c r="K173" s="276"/>
      <c r="L173" s="277"/>
      <c r="M173" s="276"/>
      <c r="N173" s="277"/>
      <c r="O173" s="84"/>
    </row>
    <row r="174">
      <c r="A174" s="276"/>
      <c r="B174" s="276"/>
      <c r="C174" s="275"/>
      <c r="D174" s="276"/>
      <c r="E174" s="277"/>
      <c r="F174" s="278"/>
      <c r="G174" s="276"/>
      <c r="H174" s="277"/>
      <c r="I174" s="277"/>
      <c r="J174" s="276"/>
      <c r="K174" s="276"/>
      <c r="L174" s="277"/>
      <c r="M174" s="276"/>
      <c r="N174" s="277"/>
      <c r="O174" s="84"/>
    </row>
    <row r="175">
      <c r="A175" s="276"/>
      <c r="B175" s="276"/>
      <c r="C175" s="275"/>
      <c r="D175" s="276"/>
      <c r="E175" s="277"/>
      <c r="F175" s="278"/>
      <c r="G175" s="276"/>
      <c r="H175" s="277"/>
      <c r="I175" s="277"/>
      <c r="J175" s="276"/>
      <c r="K175" s="276"/>
      <c r="L175" s="277"/>
      <c r="M175" s="276"/>
      <c r="N175" s="277"/>
      <c r="O175" s="84"/>
    </row>
    <row r="176">
      <c r="A176" s="276"/>
      <c r="B176" s="276"/>
      <c r="C176" s="275"/>
      <c r="D176" s="276"/>
      <c r="E176" s="277"/>
      <c r="F176" s="278"/>
      <c r="G176" s="276"/>
      <c r="H176" s="277"/>
      <c r="I176" s="277"/>
      <c r="J176" s="276"/>
      <c r="K176" s="276"/>
      <c r="L176" s="277"/>
      <c r="M176" s="276"/>
      <c r="N176" s="277"/>
      <c r="O176" s="84"/>
    </row>
    <row r="177">
      <c r="A177" s="276"/>
      <c r="B177" s="276"/>
      <c r="C177" s="275"/>
      <c r="D177" s="276"/>
      <c r="E177" s="277"/>
      <c r="F177" s="278"/>
      <c r="G177" s="276"/>
      <c r="H177" s="277"/>
      <c r="I177" s="277"/>
      <c r="J177" s="276"/>
      <c r="K177" s="276"/>
      <c r="L177" s="277"/>
      <c r="M177" s="276"/>
      <c r="N177" s="277"/>
      <c r="O177" s="84"/>
    </row>
    <row r="178">
      <c r="A178" s="276"/>
      <c r="B178" s="276"/>
      <c r="C178" s="275"/>
      <c r="D178" s="276"/>
      <c r="E178" s="277"/>
      <c r="F178" s="278"/>
      <c r="G178" s="276"/>
      <c r="H178" s="277"/>
      <c r="I178" s="277"/>
      <c r="J178" s="276"/>
      <c r="K178" s="276"/>
      <c r="L178" s="277"/>
      <c r="M178" s="276"/>
      <c r="N178" s="277"/>
      <c r="O178" s="84"/>
    </row>
    <row r="179">
      <c r="A179" s="276"/>
      <c r="B179" s="276"/>
      <c r="C179" s="275"/>
      <c r="D179" s="276"/>
      <c r="E179" s="277"/>
      <c r="F179" s="278"/>
      <c r="G179" s="276"/>
      <c r="H179" s="277"/>
      <c r="I179" s="277"/>
      <c r="J179" s="276"/>
      <c r="K179" s="276"/>
      <c r="L179" s="277"/>
      <c r="M179" s="276"/>
      <c r="N179" s="277"/>
      <c r="O179" s="84"/>
    </row>
    <row r="180">
      <c r="A180" s="276"/>
      <c r="B180" s="276"/>
      <c r="C180" s="275"/>
      <c r="D180" s="276"/>
      <c r="E180" s="277"/>
      <c r="F180" s="278"/>
      <c r="G180" s="276"/>
      <c r="H180" s="277"/>
      <c r="I180" s="277"/>
      <c r="J180" s="276"/>
      <c r="K180" s="276"/>
      <c r="L180" s="277"/>
      <c r="M180" s="276"/>
      <c r="N180" s="277"/>
      <c r="O180" s="84"/>
    </row>
    <row r="181">
      <c r="A181" s="276"/>
      <c r="B181" s="276"/>
      <c r="C181" s="275"/>
      <c r="D181" s="276"/>
      <c r="E181" s="277"/>
      <c r="F181" s="278"/>
      <c r="G181" s="276"/>
      <c r="H181" s="277"/>
      <c r="I181" s="277"/>
      <c r="J181" s="276"/>
      <c r="K181" s="276"/>
      <c r="L181" s="277"/>
      <c r="M181" s="276"/>
      <c r="N181" s="277"/>
      <c r="O181" s="84"/>
    </row>
    <row r="182">
      <c r="A182" s="276"/>
      <c r="B182" s="276"/>
      <c r="C182" s="275"/>
      <c r="D182" s="276"/>
      <c r="E182" s="277"/>
      <c r="F182" s="278"/>
      <c r="G182" s="276"/>
      <c r="H182" s="277"/>
      <c r="I182" s="277"/>
      <c r="J182" s="276"/>
      <c r="K182" s="276"/>
      <c r="L182" s="277"/>
      <c r="M182" s="276"/>
      <c r="N182" s="277"/>
      <c r="O182" s="84"/>
    </row>
    <row r="183">
      <c r="A183" s="276"/>
      <c r="B183" s="276"/>
      <c r="C183" s="275"/>
      <c r="D183" s="276"/>
      <c r="E183" s="277"/>
      <c r="F183" s="278"/>
      <c r="G183" s="276"/>
      <c r="H183" s="277"/>
      <c r="I183" s="277"/>
      <c r="J183" s="276"/>
      <c r="K183" s="276"/>
      <c r="L183" s="277"/>
      <c r="M183" s="276"/>
      <c r="N183" s="277"/>
      <c r="O183" s="84"/>
    </row>
    <row r="184">
      <c r="A184" s="276"/>
      <c r="B184" s="276"/>
      <c r="C184" s="275"/>
      <c r="D184" s="276"/>
      <c r="E184" s="277"/>
      <c r="F184" s="278"/>
      <c r="G184" s="276"/>
      <c r="H184" s="277"/>
      <c r="I184" s="277"/>
      <c r="J184" s="276"/>
      <c r="K184" s="276"/>
      <c r="L184" s="277"/>
      <c r="M184" s="276"/>
      <c r="N184" s="277"/>
      <c r="O184" s="84"/>
    </row>
    <row r="185">
      <c r="A185" s="276"/>
      <c r="B185" s="276"/>
      <c r="C185" s="275"/>
      <c r="D185" s="276"/>
      <c r="E185" s="277"/>
      <c r="F185" s="278"/>
      <c r="G185" s="276"/>
      <c r="H185" s="277"/>
      <c r="I185" s="277"/>
      <c r="J185" s="276"/>
      <c r="K185" s="276"/>
      <c r="L185" s="277"/>
      <c r="M185" s="276"/>
      <c r="N185" s="277"/>
      <c r="O185" s="84"/>
    </row>
    <row r="186">
      <c r="A186" s="276"/>
      <c r="B186" s="276"/>
      <c r="C186" s="275"/>
      <c r="D186" s="276"/>
      <c r="E186" s="277"/>
      <c r="F186" s="278"/>
      <c r="G186" s="276"/>
      <c r="H186" s="277"/>
      <c r="I186" s="277"/>
      <c r="J186" s="276"/>
      <c r="K186" s="276"/>
      <c r="L186" s="277"/>
      <c r="M186" s="276"/>
      <c r="N186" s="277"/>
      <c r="O186" s="84"/>
    </row>
    <row r="187">
      <c r="A187" s="276"/>
      <c r="B187" s="276"/>
      <c r="C187" s="275"/>
      <c r="D187" s="276"/>
      <c r="E187" s="277"/>
      <c r="F187" s="278"/>
      <c r="G187" s="276"/>
      <c r="H187" s="277"/>
      <c r="I187" s="277"/>
      <c r="J187" s="276"/>
      <c r="K187" s="276"/>
      <c r="L187" s="277"/>
      <c r="M187" s="276"/>
      <c r="N187" s="277"/>
      <c r="O187" s="84"/>
    </row>
    <row r="188">
      <c r="A188" s="276"/>
      <c r="B188" s="276"/>
      <c r="C188" s="275"/>
      <c r="D188" s="276"/>
      <c r="E188" s="277"/>
      <c r="F188" s="278"/>
      <c r="G188" s="276"/>
      <c r="H188" s="277"/>
      <c r="I188" s="277"/>
      <c r="J188" s="276"/>
      <c r="K188" s="276"/>
      <c r="L188" s="277"/>
      <c r="M188" s="276"/>
      <c r="N188" s="277"/>
      <c r="O188" s="84"/>
    </row>
    <row r="189">
      <c r="A189" s="276"/>
      <c r="B189" s="276"/>
      <c r="C189" s="275"/>
      <c r="D189" s="276"/>
      <c r="E189" s="277"/>
      <c r="F189" s="278"/>
      <c r="G189" s="276"/>
      <c r="H189" s="277"/>
      <c r="I189" s="277"/>
      <c r="J189" s="276"/>
      <c r="K189" s="276"/>
      <c r="L189" s="277"/>
      <c r="M189" s="276"/>
      <c r="N189" s="277"/>
      <c r="O189" s="84"/>
    </row>
    <row r="190">
      <c r="A190" s="276"/>
      <c r="B190" s="276"/>
      <c r="C190" s="275"/>
      <c r="D190" s="276"/>
      <c r="E190" s="277"/>
      <c r="F190" s="278"/>
      <c r="G190" s="276"/>
      <c r="H190" s="277"/>
      <c r="I190" s="277"/>
      <c r="J190" s="276"/>
      <c r="K190" s="276"/>
      <c r="L190" s="277"/>
      <c r="M190" s="276"/>
      <c r="N190" s="277"/>
      <c r="O190" s="84"/>
    </row>
    <row r="191">
      <c r="A191" s="276"/>
      <c r="B191" s="276"/>
      <c r="C191" s="275"/>
      <c r="D191" s="276"/>
      <c r="E191" s="277"/>
      <c r="F191" s="278"/>
      <c r="G191" s="276"/>
      <c r="H191" s="277"/>
      <c r="I191" s="277"/>
      <c r="J191" s="276"/>
      <c r="K191" s="276"/>
      <c r="L191" s="277"/>
      <c r="M191" s="276"/>
      <c r="N191" s="277"/>
      <c r="O191" s="84"/>
    </row>
    <row r="192">
      <c r="A192" s="276"/>
      <c r="B192" s="276"/>
      <c r="C192" s="275"/>
      <c r="D192" s="276"/>
      <c r="E192" s="277"/>
      <c r="F192" s="278"/>
      <c r="G192" s="276"/>
      <c r="H192" s="277"/>
      <c r="I192" s="277"/>
      <c r="J192" s="276"/>
      <c r="K192" s="276"/>
      <c r="L192" s="277"/>
      <c r="M192" s="276"/>
      <c r="N192" s="277"/>
      <c r="O192" s="84"/>
    </row>
    <row r="193">
      <c r="A193" s="276"/>
      <c r="B193" s="276"/>
      <c r="C193" s="275"/>
      <c r="D193" s="276"/>
      <c r="E193" s="277"/>
      <c r="F193" s="278"/>
      <c r="G193" s="276"/>
      <c r="H193" s="277"/>
      <c r="I193" s="277"/>
      <c r="J193" s="276"/>
      <c r="K193" s="276"/>
      <c r="L193" s="277"/>
      <c r="M193" s="276"/>
      <c r="N193" s="277"/>
      <c r="O193" s="84"/>
    </row>
    <row r="194">
      <c r="A194" s="276"/>
      <c r="B194" s="276"/>
      <c r="C194" s="275"/>
      <c r="D194" s="276"/>
      <c r="E194" s="277"/>
      <c r="F194" s="278"/>
      <c r="G194" s="276"/>
      <c r="H194" s="277"/>
      <c r="I194" s="277"/>
      <c r="J194" s="276"/>
      <c r="K194" s="276"/>
      <c r="L194" s="277"/>
      <c r="M194" s="276"/>
      <c r="N194" s="277"/>
      <c r="O194" s="84"/>
    </row>
    <row r="195">
      <c r="A195" s="276"/>
      <c r="B195" s="276"/>
      <c r="C195" s="275"/>
      <c r="D195" s="276"/>
      <c r="E195" s="277"/>
      <c r="F195" s="278"/>
      <c r="G195" s="276"/>
      <c r="H195" s="277"/>
      <c r="I195" s="277"/>
      <c r="J195" s="276"/>
      <c r="K195" s="276"/>
      <c r="L195" s="277"/>
      <c r="M195" s="276"/>
      <c r="N195" s="277"/>
      <c r="O195" s="84"/>
    </row>
    <row r="196">
      <c r="A196" s="276"/>
      <c r="B196" s="276"/>
      <c r="C196" s="275"/>
      <c r="D196" s="276"/>
      <c r="E196" s="277"/>
      <c r="F196" s="278"/>
      <c r="G196" s="276"/>
      <c r="H196" s="277"/>
      <c r="I196" s="277"/>
      <c r="J196" s="276"/>
      <c r="K196" s="276"/>
      <c r="L196" s="277"/>
      <c r="M196" s="276"/>
      <c r="N196" s="277"/>
      <c r="O196" s="84"/>
    </row>
    <row r="197">
      <c r="A197" s="276"/>
      <c r="B197" s="276"/>
      <c r="C197" s="275"/>
      <c r="D197" s="276"/>
      <c r="E197" s="277"/>
      <c r="F197" s="278"/>
      <c r="G197" s="276"/>
      <c r="H197" s="277"/>
      <c r="I197" s="277"/>
      <c r="J197" s="276"/>
      <c r="K197" s="276"/>
      <c r="L197" s="277"/>
      <c r="M197" s="276"/>
      <c r="N197" s="277"/>
      <c r="O197" s="84"/>
    </row>
    <row r="198">
      <c r="A198" s="276"/>
      <c r="B198" s="276"/>
      <c r="C198" s="275"/>
      <c r="D198" s="276"/>
      <c r="E198" s="277"/>
      <c r="F198" s="278"/>
      <c r="G198" s="276"/>
      <c r="H198" s="277"/>
      <c r="I198" s="277"/>
      <c r="J198" s="276"/>
      <c r="K198" s="276"/>
      <c r="L198" s="277"/>
      <c r="M198" s="276"/>
      <c r="N198" s="277"/>
      <c r="O198" s="84"/>
    </row>
    <row r="199">
      <c r="A199" s="276"/>
      <c r="B199" s="276"/>
      <c r="C199" s="275"/>
      <c r="D199" s="276"/>
      <c r="E199" s="277"/>
      <c r="F199" s="278"/>
      <c r="G199" s="276"/>
      <c r="H199" s="277"/>
      <c r="I199" s="277"/>
      <c r="J199" s="276"/>
      <c r="K199" s="276"/>
      <c r="L199" s="277"/>
      <c r="M199" s="276"/>
      <c r="N199" s="277"/>
      <c r="O199" s="84"/>
    </row>
    <row r="200">
      <c r="A200" s="276"/>
      <c r="B200" s="276"/>
      <c r="C200" s="275"/>
      <c r="D200" s="276"/>
      <c r="E200" s="277"/>
      <c r="F200" s="278"/>
      <c r="G200" s="276"/>
      <c r="H200" s="277"/>
      <c r="I200" s="277"/>
      <c r="J200" s="276"/>
      <c r="K200" s="276"/>
      <c r="L200" s="277"/>
      <c r="M200" s="276"/>
      <c r="N200" s="277"/>
      <c r="O200" s="84"/>
    </row>
    <row r="201">
      <c r="A201" s="276"/>
      <c r="B201" s="276"/>
      <c r="C201" s="275"/>
      <c r="D201" s="276"/>
      <c r="E201" s="277"/>
      <c r="F201" s="278"/>
      <c r="G201" s="276"/>
      <c r="H201" s="277"/>
      <c r="I201" s="277"/>
      <c r="J201" s="276"/>
      <c r="K201" s="276"/>
      <c r="L201" s="277"/>
      <c r="M201" s="276"/>
      <c r="N201" s="277"/>
      <c r="O201" s="84"/>
    </row>
    <row r="202">
      <c r="A202" s="276"/>
      <c r="B202" s="276"/>
      <c r="C202" s="275"/>
      <c r="D202" s="276"/>
      <c r="E202" s="277"/>
      <c r="F202" s="278"/>
      <c r="G202" s="276"/>
      <c r="H202" s="277"/>
      <c r="I202" s="277"/>
      <c r="J202" s="276"/>
      <c r="K202" s="276"/>
      <c r="L202" s="277"/>
      <c r="M202" s="276"/>
      <c r="N202" s="277"/>
      <c r="O202" s="84"/>
    </row>
    <row r="203">
      <c r="A203" s="276"/>
      <c r="B203" s="276"/>
      <c r="C203" s="275"/>
      <c r="D203" s="276"/>
      <c r="E203" s="277"/>
      <c r="F203" s="278"/>
      <c r="G203" s="276"/>
      <c r="H203" s="277"/>
      <c r="I203" s="277"/>
      <c r="J203" s="276"/>
      <c r="K203" s="276"/>
      <c r="L203" s="277"/>
      <c r="M203" s="276"/>
      <c r="N203" s="277"/>
      <c r="O203" s="84"/>
    </row>
    <row r="204">
      <c r="A204" s="276"/>
      <c r="B204" s="276"/>
      <c r="C204" s="275"/>
      <c r="D204" s="276"/>
      <c r="E204" s="277"/>
      <c r="F204" s="278"/>
      <c r="G204" s="276"/>
      <c r="H204" s="277"/>
      <c r="I204" s="277"/>
      <c r="J204" s="276"/>
      <c r="K204" s="276"/>
      <c r="L204" s="277"/>
      <c r="M204" s="276"/>
      <c r="N204" s="277"/>
      <c r="O204" s="84"/>
    </row>
    <row r="205">
      <c r="A205" s="276"/>
      <c r="B205" s="276"/>
      <c r="C205" s="275"/>
      <c r="D205" s="276"/>
      <c r="E205" s="277"/>
      <c r="F205" s="278"/>
      <c r="G205" s="276"/>
      <c r="H205" s="277"/>
      <c r="I205" s="277"/>
      <c r="J205" s="276"/>
      <c r="K205" s="276"/>
      <c r="L205" s="277"/>
      <c r="M205" s="276"/>
      <c r="N205" s="277"/>
      <c r="O205" s="84"/>
    </row>
    <row r="206">
      <c r="A206" s="276"/>
      <c r="B206" s="276"/>
      <c r="C206" s="275"/>
      <c r="D206" s="276"/>
      <c r="E206" s="277"/>
      <c r="F206" s="278"/>
      <c r="G206" s="276"/>
      <c r="H206" s="277"/>
      <c r="I206" s="277"/>
      <c r="J206" s="276"/>
      <c r="K206" s="276"/>
      <c r="L206" s="277"/>
      <c r="M206" s="276"/>
      <c r="N206" s="277"/>
      <c r="O206" s="84"/>
    </row>
    <row r="207">
      <c r="A207" s="276"/>
      <c r="B207" s="276"/>
      <c r="C207" s="275"/>
      <c r="D207" s="276"/>
      <c r="E207" s="277"/>
      <c r="F207" s="278"/>
      <c r="G207" s="276"/>
      <c r="H207" s="277"/>
      <c r="I207" s="277"/>
      <c r="J207" s="276"/>
      <c r="K207" s="276"/>
      <c r="L207" s="277"/>
      <c r="M207" s="276"/>
      <c r="N207" s="277"/>
      <c r="O207" s="84"/>
    </row>
    <row r="208">
      <c r="A208" s="276"/>
      <c r="B208" s="276"/>
      <c r="C208" s="275"/>
      <c r="D208" s="276"/>
      <c r="E208" s="277"/>
      <c r="F208" s="278"/>
      <c r="G208" s="276"/>
      <c r="H208" s="277"/>
      <c r="I208" s="277"/>
      <c r="J208" s="276"/>
      <c r="K208" s="276"/>
      <c r="L208" s="277"/>
      <c r="M208" s="276"/>
      <c r="N208" s="277"/>
      <c r="O208" s="84"/>
    </row>
    <row r="209">
      <c r="A209" s="276"/>
      <c r="B209" s="276"/>
      <c r="C209" s="275"/>
      <c r="D209" s="276"/>
      <c r="E209" s="277"/>
      <c r="F209" s="278"/>
      <c r="G209" s="276"/>
      <c r="H209" s="277"/>
      <c r="I209" s="277"/>
      <c r="J209" s="276"/>
      <c r="K209" s="276"/>
      <c r="L209" s="277"/>
      <c r="M209" s="276"/>
      <c r="N209" s="277"/>
      <c r="O209" s="84"/>
    </row>
    <row r="210">
      <c r="A210" s="276"/>
      <c r="B210" s="276"/>
      <c r="C210" s="275"/>
      <c r="D210" s="276"/>
      <c r="E210" s="277"/>
      <c r="F210" s="278"/>
      <c r="G210" s="276"/>
      <c r="H210" s="277"/>
      <c r="I210" s="277"/>
      <c r="J210" s="276"/>
      <c r="K210" s="276"/>
      <c r="L210" s="277"/>
      <c r="M210" s="276"/>
      <c r="N210" s="277"/>
      <c r="O210" s="84"/>
    </row>
    <row r="211">
      <c r="A211" s="276"/>
      <c r="B211" s="276"/>
      <c r="C211" s="275"/>
      <c r="D211" s="276"/>
      <c r="E211" s="277"/>
      <c r="F211" s="278"/>
      <c r="G211" s="276"/>
      <c r="H211" s="277"/>
      <c r="I211" s="277"/>
      <c r="J211" s="276"/>
      <c r="K211" s="276"/>
      <c r="L211" s="277"/>
      <c r="M211" s="276"/>
      <c r="N211" s="277"/>
      <c r="O211" s="84"/>
    </row>
    <row r="212">
      <c r="A212" s="276"/>
      <c r="B212" s="276"/>
      <c r="C212" s="275"/>
      <c r="D212" s="276"/>
      <c r="E212" s="277"/>
      <c r="F212" s="278"/>
      <c r="G212" s="276"/>
      <c r="H212" s="277"/>
      <c r="I212" s="277"/>
      <c r="J212" s="276"/>
      <c r="K212" s="276"/>
      <c r="L212" s="277"/>
      <c r="M212" s="276"/>
      <c r="N212" s="277"/>
      <c r="O212" s="84"/>
    </row>
    <row r="213">
      <c r="A213" s="276"/>
      <c r="B213" s="276"/>
      <c r="C213" s="275"/>
      <c r="D213" s="276"/>
      <c r="E213" s="277"/>
      <c r="F213" s="278"/>
      <c r="G213" s="276"/>
      <c r="H213" s="277"/>
      <c r="I213" s="277"/>
      <c r="J213" s="276"/>
      <c r="K213" s="276"/>
      <c r="L213" s="277"/>
      <c r="M213" s="276"/>
      <c r="N213" s="277"/>
      <c r="O213" s="84"/>
    </row>
    <row r="214">
      <c r="A214" s="276"/>
      <c r="B214" s="276"/>
      <c r="C214" s="275"/>
      <c r="D214" s="276"/>
      <c r="E214" s="277"/>
      <c r="F214" s="278"/>
      <c r="G214" s="276"/>
      <c r="H214" s="277"/>
      <c r="I214" s="277"/>
      <c r="J214" s="276"/>
      <c r="K214" s="276"/>
      <c r="L214" s="277"/>
      <c r="M214" s="276"/>
      <c r="N214" s="277"/>
      <c r="O214" s="84"/>
    </row>
  </sheetData>
  <hyperlinks>
    <hyperlink ref="C18" display="irwansyah@psn.co.id" r:id="rId1"/>
    <hyperlink ref="O16" display="https://www.canva.com/design/DAG7MhHBnYM/2RGZI6v24YaQ4yYUcM4WUg/edit?utm_content=DAG7MhHBnYM&amp;utm_campaign=designshare&amp;utm_medium=link2&amp;utm_source=sharebutton" r:id="rId2"/>
    <hyperlink ref="O15" display="https://mapid.co.id/MAPIDforGisara" r:id="rId3"/>
    <hyperlink ref="O5" display="https://www.canva.com/design/DAG30bLo_NM/rh3SdJlsLpjDp9E1t_pRCw/edit" r:id="rId4"/>
    <hyperlink ref="C5" display="radhi.ardhie@metranet.co.id" r:id="rId5"/>
    <hyperlink ref="O10" display="https://mapid.co.id/MAPIDforPelindo" r:id="rId6"/>
    <hyperlink ref="O31" display="https://www.canva.com/design/DAG_MvGpVQk/1872v9AIXn2mZYo7pnf4vQ/edit?utm_content=DAG_MvGpVQk&amp;utm_campaign=designshare&amp;utm_medium=link2&amp;utm_source=sharebutton" r:id="rId7"/>
    <hyperlink ref="O30" display="https://www.canva.com/design/DAG-8Jf2K5Q/aZSWwFEyTZ6dWrIEYHpP4A/edit?utm_content=DAG-8Jf2K5Q&amp;utm_campaign=designshare&amp;utm_medium=link2&amp;utm_source=sharebutton" r:id="rId8"/>
    <hyperlink ref="O7" display="https://mapid.co.id/MAPIDforKino" r:id="rId9"/>
    <hyperlink ref="O6" display="https://mapid.co.id/CyberJaya" r:id="rId10"/>
    <hyperlink ref="C21" display="lukito.galuh@toyota.astra.co.id" r:id="rId11"/>
    <hyperlink ref="C22" display="jismil.lathif@gmail.com" r:id="rId12"/>
    <hyperlink ref="C16" display="luanacastillo@shopee.com" r:id="rId13"/>
    <hyperlink ref="C33" display="‎indrawan.fauzi@cinema21.co.id" r:id="rId14"/>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